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166925"/>
  <mc:AlternateContent xmlns:mc="http://schemas.openxmlformats.org/markup-compatibility/2006">
    <mc:Choice Requires="x15">
      <x15ac:absPath xmlns:x15ac="http://schemas.microsoft.com/office/spreadsheetml/2010/11/ac" url="D:\Manoj'\excel tasks\archive (3)\"/>
    </mc:Choice>
  </mc:AlternateContent>
  <xr:revisionPtr revIDLastSave="0" documentId="13_ncr:1_{F9C46D3E-7A69-4AC7-81B6-BC1DF6589607}" xr6:coauthVersionLast="47" xr6:coauthVersionMax="47" xr10:uidLastSave="{00000000-0000-0000-0000-000000000000}"/>
  <bookViews>
    <workbookView xWindow="-108" yWindow="-108" windowWidth="23256" windowHeight="12456" activeTab="3" xr2:uid="{4880C864-B165-497A-8992-0C7D003DF554}"/>
  </bookViews>
  <sheets>
    <sheet name="Formatting" sheetId="1" r:id="rId1"/>
    <sheet name="Tables and formulas" sheetId="2" r:id="rId2"/>
    <sheet name="Tables and formulas_2" sheetId="6" r:id="rId3"/>
    <sheet name="Pivot_table" sheetId="8" r:id="rId4"/>
    <sheet name="Analysis and playing" sheetId="3" r:id="rId5"/>
    <sheet name="Display and visualize" sheetId="4" r:id="rId6"/>
  </sheets>
  <definedNames>
    <definedName name="Slicer_Column4">#N/A</definedName>
  </definedNames>
  <calcPr calcId="191029"/>
  <pivotCaches>
    <pivotCache cacheId="15" r:id="rId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Lst>
</workbook>
</file>

<file path=xl/calcChain.xml><?xml version="1.0" encoding="utf-8"?>
<calcChain xmlns="http://schemas.openxmlformats.org/spreadsheetml/2006/main">
  <c r="P20" i="3" l="1"/>
  <c r="Q16" i="3"/>
  <c r="R10" i="3"/>
  <c r="P10" i="3"/>
  <c r="Q5" i="3"/>
  <c r="H2" i="3"/>
  <c r="H3" i="3" s="1"/>
  <c r="H4" i="3" s="1"/>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H43" i="3" s="1"/>
  <c r="H44" i="3" s="1"/>
  <c r="H45" i="3" s="1"/>
  <c r="H46" i="3" s="1"/>
  <c r="H47" i="3" s="1"/>
  <c r="H48" i="3" s="1"/>
  <c r="H49" i="3" s="1"/>
  <c r="H50" i="3" s="1"/>
  <c r="H51" i="3" s="1"/>
  <c r="H52" i="3" s="1"/>
  <c r="H53" i="3" s="1"/>
  <c r="H54" i="3" s="1"/>
  <c r="H55" i="3" s="1"/>
  <c r="H56" i="3" s="1"/>
  <c r="H57" i="3" s="1"/>
  <c r="H58" i="3" s="1"/>
  <c r="H59" i="3" s="1"/>
  <c r="H60" i="3" s="1"/>
  <c r="H61" i="3" s="1"/>
  <c r="H62" i="3" s="1"/>
  <c r="H63" i="3" s="1"/>
  <c r="H64" i="3" s="1"/>
  <c r="H65" i="3" s="1"/>
  <c r="H66" i="3" s="1"/>
  <c r="H67" i="3" s="1"/>
  <c r="H68" i="3" s="1"/>
  <c r="H69" i="3" s="1"/>
  <c r="H70" i="3" s="1"/>
  <c r="H71" i="3" s="1"/>
  <c r="H72" i="3" s="1"/>
  <c r="H73" i="3" s="1"/>
  <c r="H74" i="3" s="1"/>
  <c r="H75" i="3" s="1"/>
  <c r="H76" i="3" s="1"/>
  <c r="H77" i="3" s="1"/>
  <c r="H78" i="3" s="1"/>
  <c r="H79" i="3" s="1"/>
  <c r="H80" i="3" s="1"/>
  <c r="H81" i="3" s="1"/>
  <c r="H82" i="3" s="1"/>
  <c r="H83" i="3" s="1"/>
  <c r="H84" i="3" s="1"/>
  <c r="H85" i="3" s="1"/>
  <c r="H86" i="3" s="1"/>
  <c r="H87" i="3" s="1"/>
  <c r="H88" i="3" s="1"/>
  <c r="H89" i="3" s="1"/>
  <c r="H90" i="3" s="1"/>
  <c r="H91" i="3" s="1"/>
  <c r="H92" i="3" s="1"/>
  <c r="H93" i="3" s="1"/>
  <c r="H94" i="3" s="1"/>
  <c r="H95" i="3" s="1"/>
  <c r="H96" i="3" s="1"/>
  <c r="H97" i="3" s="1"/>
  <c r="H98" i="3" s="1"/>
  <c r="H99" i="3" s="1"/>
  <c r="H100" i="3" s="1"/>
  <c r="H101" i="3" s="1"/>
  <c r="H102" i="3" s="1"/>
  <c r="H103" i="3" s="1"/>
  <c r="H104" i="3" s="1"/>
  <c r="H105" i="3" s="1"/>
  <c r="H106" i="3" s="1"/>
  <c r="H107" i="3" s="1"/>
  <c r="H108" i="3" s="1"/>
  <c r="H109" i="3" s="1"/>
  <c r="H110" i="3" s="1"/>
  <c r="H111" i="3" s="1"/>
  <c r="H112" i="3" s="1"/>
  <c r="H113" i="3" s="1"/>
  <c r="H114" i="3" s="1"/>
  <c r="H115" i="3" s="1"/>
  <c r="H116" i="3" s="1"/>
  <c r="H117" i="3" s="1"/>
  <c r="H118" i="3" s="1"/>
  <c r="H119" i="3" s="1"/>
  <c r="H120" i="3" s="1"/>
  <c r="H121" i="3" s="1"/>
  <c r="H122" i="3" s="1"/>
  <c r="H123" i="3" s="1"/>
  <c r="H124" i="3" s="1"/>
  <c r="H125" i="3" s="1"/>
  <c r="H126" i="3" s="1"/>
  <c r="H127" i="3" s="1"/>
  <c r="H128" i="3" s="1"/>
  <c r="H129" i="3" s="1"/>
  <c r="H130" i="3" s="1"/>
  <c r="H131" i="3" s="1"/>
  <c r="H132" i="3" s="1"/>
  <c r="H133" i="3" s="1"/>
  <c r="H134" i="3" s="1"/>
  <c r="H135" i="3" s="1"/>
  <c r="H136" i="3" s="1"/>
  <c r="H137" i="3" s="1"/>
  <c r="H138" i="3" s="1"/>
  <c r="H139" i="3" s="1"/>
  <c r="H140" i="3" s="1"/>
  <c r="H141" i="3" s="1"/>
  <c r="H142" i="3" s="1"/>
  <c r="H143" i="3" s="1"/>
  <c r="H144" i="3" s="1"/>
  <c r="H145" i="3" s="1"/>
  <c r="H146" i="3" s="1"/>
  <c r="H147" i="3" s="1"/>
  <c r="H148" i="3" s="1"/>
  <c r="H149" i="3" s="1"/>
  <c r="H150" i="3" s="1"/>
  <c r="H151" i="3" s="1"/>
  <c r="H152" i="3" s="1"/>
  <c r="H153" i="3" s="1"/>
  <c r="H154" i="3" s="1"/>
  <c r="H155" i="3" s="1"/>
  <c r="H156" i="3" s="1"/>
  <c r="H157" i="3" s="1"/>
  <c r="H158" i="3" s="1"/>
  <c r="H159" i="3" s="1"/>
  <c r="H160" i="3" s="1"/>
  <c r="H161" i="3" s="1"/>
  <c r="H162" i="3" s="1"/>
  <c r="H163" i="3" s="1"/>
  <c r="H164" i="3" s="1"/>
  <c r="H165" i="3" s="1"/>
  <c r="H166" i="3" s="1"/>
  <c r="H167" i="3" s="1"/>
  <c r="H168" i="3" s="1"/>
  <c r="H169" i="3" s="1"/>
  <c r="H170" i="3" s="1"/>
  <c r="H171" i="3" s="1"/>
  <c r="H172" i="3" s="1"/>
  <c r="H173" i="3" s="1"/>
  <c r="H174" i="3" s="1"/>
  <c r="H175" i="3" s="1"/>
  <c r="H176" i="3" s="1"/>
  <c r="H177" i="3" s="1"/>
  <c r="H178" i="3" s="1"/>
  <c r="H179" i="3" s="1"/>
  <c r="H180" i="3" s="1"/>
  <c r="H181" i="3" s="1"/>
  <c r="H182" i="3" s="1"/>
  <c r="H183" i="3" s="1"/>
  <c r="H184" i="3" s="1"/>
  <c r="H185" i="3" s="1"/>
  <c r="H186" i="3" s="1"/>
  <c r="H187" i="3" s="1"/>
  <c r="H188" i="3" s="1"/>
  <c r="H189" i="3" s="1"/>
  <c r="H190" i="3" s="1"/>
  <c r="H191" i="3" s="1"/>
  <c r="H192" i="3" s="1"/>
  <c r="H193" i="3" s="1"/>
  <c r="H194" i="3" s="1"/>
  <c r="H195" i="3" s="1"/>
  <c r="H196" i="3" s="1"/>
  <c r="H197" i="3" s="1"/>
  <c r="H198" i="3" s="1"/>
  <c r="H199" i="3" s="1"/>
  <c r="H200" i="3" s="1"/>
  <c r="H201" i="3" s="1"/>
  <c r="H202" i="3" s="1"/>
  <c r="H203" i="3" s="1"/>
  <c r="H204" i="3" s="1"/>
  <c r="H205" i="3" s="1"/>
  <c r="H206" i="3" s="1"/>
  <c r="H207" i="3" s="1"/>
  <c r="H208" i="3" s="1"/>
  <c r="H209" i="3" s="1"/>
  <c r="H210" i="3" s="1"/>
  <c r="H211" i="3" s="1"/>
  <c r="H212" i="3" s="1"/>
  <c r="H213" i="3" s="1"/>
  <c r="H214" i="3" s="1"/>
  <c r="H215" i="3" s="1"/>
  <c r="H216" i="3" s="1"/>
  <c r="H217" i="3" s="1"/>
  <c r="H218" i="3" s="1"/>
  <c r="H219" i="3" s="1"/>
  <c r="H220" i="3" s="1"/>
  <c r="H221" i="3" s="1"/>
  <c r="H222" i="3" s="1"/>
  <c r="H223" i="3" s="1"/>
  <c r="H224" i="3" s="1"/>
  <c r="H225" i="3" s="1"/>
  <c r="H226" i="3" s="1"/>
  <c r="H227" i="3" s="1"/>
  <c r="H228" i="3" s="1"/>
  <c r="H229" i="3" s="1"/>
  <c r="H230" i="3" s="1"/>
  <c r="H231" i="3" s="1"/>
  <c r="H232" i="3" s="1"/>
  <c r="H233" i="3" s="1"/>
  <c r="H234" i="3" s="1"/>
  <c r="H235" i="3" s="1"/>
  <c r="H236" i="3" s="1"/>
  <c r="H237" i="3" s="1"/>
  <c r="H238" i="3" s="1"/>
  <c r="H239" i="3" s="1"/>
  <c r="H240" i="3" s="1"/>
  <c r="H241" i="3" s="1"/>
  <c r="H242" i="3" s="1"/>
  <c r="H243" i="3" s="1"/>
  <c r="H244" i="3" s="1"/>
  <c r="H245" i="3" s="1"/>
  <c r="H246" i="3" s="1"/>
  <c r="H247" i="3" s="1"/>
  <c r="H248" i="3" s="1"/>
  <c r="H249" i="3" s="1"/>
  <c r="H250" i="3" s="1"/>
  <c r="H251" i="3" s="1"/>
  <c r="H252" i="3" s="1"/>
  <c r="H253" i="3" s="1"/>
  <c r="H254" i="3" s="1"/>
  <c r="H255" i="3" s="1"/>
  <c r="H256" i="3" s="1"/>
  <c r="H257" i="3" s="1"/>
  <c r="H258" i="3" s="1"/>
  <c r="H259" i="3" s="1"/>
  <c r="H260" i="3" s="1"/>
  <c r="H261" i="3" s="1"/>
  <c r="H262" i="3" s="1"/>
  <c r="H263" i="3" s="1"/>
  <c r="H264" i="3" s="1"/>
  <c r="H265" i="3" s="1"/>
  <c r="H266" i="3" s="1"/>
  <c r="H267" i="3" s="1"/>
  <c r="H268" i="3" s="1"/>
  <c r="H269" i="3" s="1"/>
  <c r="H270" i="3" s="1"/>
  <c r="H271" i="3" s="1"/>
  <c r="H272" i="3" s="1"/>
  <c r="H273" i="3" s="1"/>
  <c r="H274" i="3" s="1"/>
  <c r="H275" i="3" s="1"/>
  <c r="H276" i="3" s="1"/>
  <c r="H277" i="3" s="1"/>
  <c r="H278" i="3" s="1"/>
  <c r="H279" i="3" s="1"/>
  <c r="H280" i="3" s="1"/>
  <c r="H281" i="3" s="1"/>
  <c r="H282" i="3" s="1"/>
  <c r="H283" i="3" s="1"/>
  <c r="H284" i="3" s="1"/>
  <c r="H285" i="3" s="1"/>
  <c r="H286" i="3" s="1"/>
  <c r="H287" i="3" s="1"/>
  <c r="H288" i="3" s="1"/>
  <c r="H289" i="3" s="1"/>
  <c r="H290" i="3" s="1"/>
  <c r="H291" i="3" s="1"/>
  <c r="H292" i="3" s="1"/>
  <c r="H293" i="3" s="1"/>
  <c r="H294" i="3" s="1"/>
  <c r="H295" i="3" s="1"/>
  <c r="H296" i="3" s="1"/>
  <c r="H297" i="3" s="1"/>
  <c r="H298" i="3" s="1"/>
  <c r="H299" i="3" s="1"/>
  <c r="H300" i="3" s="1"/>
  <c r="H301" i="3" s="1"/>
  <c r="H302" i="3" s="1"/>
  <c r="H303" i="3" s="1"/>
  <c r="H304" i="3" s="1"/>
  <c r="H305" i="3" s="1"/>
  <c r="H306" i="3" s="1"/>
  <c r="H307" i="3" s="1"/>
  <c r="H308" i="3" s="1"/>
  <c r="H309" i="3" s="1"/>
  <c r="H310" i="3" s="1"/>
  <c r="H311" i="3" s="1"/>
  <c r="H312" i="3" s="1"/>
  <c r="H313" i="3" s="1"/>
  <c r="H314" i="3" s="1"/>
  <c r="H315" i="3" s="1"/>
  <c r="H316" i="3" s="1"/>
  <c r="H317" i="3" s="1"/>
  <c r="H318" i="3" s="1"/>
  <c r="H319" i="3" s="1"/>
  <c r="H320" i="3" s="1"/>
  <c r="H321" i="3" s="1"/>
  <c r="H322" i="3" s="1"/>
  <c r="H323" i="3" s="1"/>
  <c r="H324" i="3" s="1"/>
  <c r="H325" i="3" s="1"/>
  <c r="H326" i="3" s="1"/>
  <c r="H327" i="3" s="1"/>
  <c r="H328" i="3" s="1"/>
  <c r="H329" i="3" s="1"/>
  <c r="H330" i="3" s="1"/>
  <c r="H331" i="3" s="1"/>
  <c r="H332" i="3" s="1"/>
  <c r="H333" i="3" s="1"/>
  <c r="H334" i="3" s="1"/>
  <c r="H335" i="3" s="1"/>
  <c r="H336" i="3" s="1"/>
  <c r="H337" i="3" s="1"/>
  <c r="H338" i="3" s="1"/>
  <c r="H339" i="3" s="1"/>
  <c r="H340" i="3" s="1"/>
  <c r="H341" i="3" s="1"/>
  <c r="H342" i="3" s="1"/>
  <c r="H343" i="3" s="1"/>
  <c r="H344" i="3" s="1"/>
  <c r="H345" i="3" s="1"/>
  <c r="H346" i="3" s="1"/>
  <c r="H347" i="3" s="1"/>
  <c r="H348" i="3" s="1"/>
  <c r="H349" i="3" s="1"/>
  <c r="H350" i="3" s="1"/>
  <c r="H351" i="3" s="1"/>
  <c r="H352" i="3" s="1"/>
  <c r="H353" i="3" s="1"/>
  <c r="H354" i="3" s="1"/>
  <c r="H355" i="3" s="1"/>
  <c r="H356" i="3" s="1"/>
  <c r="H357" i="3" s="1"/>
  <c r="H358" i="3" s="1"/>
  <c r="H359" i="3" s="1"/>
  <c r="H360" i="3" s="1"/>
  <c r="H361" i="3" s="1"/>
  <c r="H362" i="3" s="1"/>
  <c r="H363" i="3" s="1"/>
  <c r="H364" i="3" s="1"/>
  <c r="H365" i="3" s="1"/>
  <c r="H366" i="3" s="1"/>
  <c r="H367" i="3" s="1"/>
  <c r="H368" i="3" s="1"/>
  <c r="H369" i="3" s="1"/>
  <c r="H370" i="3" s="1"/>
  <c r="H371" i="3" s="1"/>
  <c r="H372" i="3" s="1"/>
  <c r="H373" i="3" s="1"/>
  <c r="H374" i="3" s="1"/>
  <c r="H375" i="3" s="1"/>
  <c r="H376" i="3" s="1"/>
  <c r="H377" i="3" s="1"/>
  <c r="H378" i="3" s="1"/>
  <c r="H379" i="3" s="1"/>
  <c r="H380" i="3" s="1"/>
  <c r="H381" i="3" s="1"/>
  <c r="H382" i="3" s="1"/>
  <c r="H383" i="3" s="1"/>
  <c r="H384" i="3" s="1"/>
  <c r="H385" i="3" s="1"/>
  <c r="H386" i="3" s="1"/>
  <c r="H387" i="3" s="1"/>
  <c r="H388" i="3" s="1"/>
  <c r="H389" i="3" s="1"/>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H412" i="3" s="1"/>
  <c r="H413" i="3" s="1"/>
  <c r="H414" i="3" s="1"/>
  <c r="H415" i="3" s="1"/>
  <c r="H416" i="3" s="1"/>
  <c r="H417" i="3" s="1"/>
  <c r="H418" i="3" s="1"/>
  <c r="H419" i="3" s="1"/>
  <c r="H420" i="3" s="1"/>
  <c r="H421" i="3" s="1"/>
  <c r="H422" i="3" s="1"/>
  <c r="H423" i="3" s="1"/>
  <c r="H424" i="3" s="1"/>
  <c r="H425" i="3" s="1"/>
  <c r="H426" i="3" s="1"/>
  <c r="H427" i="3" s="1"/>
  <c r="H428" i="3" s="1"/>
  <c r="H429" i="3" s="1"/>
  <c r="H430" i="3" s="1"/>
  <c r="H431" i="3" s="1"/>
  <c r="H432" i="3" s="1"/>
  <c r="H433" i="3" s="1"/>
  <c r="H434" i="3" s="1"/>
  <c r="H435" i="3" s="1"/>
  <c r="H436" i="3" s="1"/>
  <c r="H437" i="3" s="1"/>
  <c r="H438" i="3" s="1"/>
  <c r="H439" i="3" s="1"/>
  <c r="H440" i="3" s="1"/>
  <c r="H441" i="3" s="1"/>
  <c r="H442" i="3" s="1"/>
  <c r="H443" i="3" s="1"/>
  <c r="H444" i="3" s="1"/>
  <c r="H445" i="3" s="1"/>
  <c r="H446" i="3" s="1"/>
  <c r="H447" i="3" s="1"/>
  <c r="H448" i="3" s="1"/>
  <c r="H449" i="3" s="1"/>
  <c r="H450" i="3" s="1"/>
  <c r="H451" i="3" s="1"/>
  <c r="H452" i="3" s="1"/>
  <c r="H453" i="3" s="1"/>
  <c r="H454" i="3" s="1"/>
  <c r="H455" i="3" s="1"/>
  <c r="H456" i="3" s="1"/>
  <c r="H457" i="3" s="1"/>
  <c r="H458" i="3" s="1"/>
  <c r="H459" i="3" s="1"/>
  <c r="H460" i="3" s="1"/>
  <c r="H461" i="3" s="1"/>
  <c r="H462" i="3" s="1"/>
  <c r="H463" i="3" s="1"/>
  <c r="H464" i="3" s="1"/>
  <c r="H465" i="3" s="1"/>
  <c r="H466" i="3" s="1"/>
  <c r="H467" i="3" s="1"/>
  <c r="H468" i="3" s="1"/>
  <c r="H469" i="3" s="1"/>
  <c r="H470" i="3" s="1"/>
  <c r="H471" i="3" s="1"/>
  <c r="H472" i="3" s="1"/>
  <c r="H473" i="3" s="1"/>
  <c r="H474" i="3" s="1"/>
  <c r="H475" i="3" s="1"/>
  <c r="H476" i="3" s="1"/>
  <c r="H477" i="3" s="1"/>
  <c r="H478" i="3" s="1"/>
  <c r="H479" i="3" s="1"/>
  <c r="H480" i="3" s="1"/>
  <c r="H481" i="3" s="1"/>
  <c r="H482" i="3" s="1"/>
  <c r="H483" i="3" s="1"/>
  <c r="H484" i="3" s="1"/>
  <c r="H485" i="3" s="1"/>
  <c r="H486" i="3" s="1"/>
  <c r="H487" i="3" s="1"/>
  <c r="H488" i="3" s="1"/>
  <c r="H489" i="3" s="1"/>
  <c r="H490" i="3" s="1"/>
  <c r="H491" i="3" s="1"/>
  <c r="H492" i="3" s="1"/>
  <c r="H493" i="3" s="1"/>
  <c r="H494" i="3" s="1"/>
  <c r="H495" i="3" s="1"/>
  <c r="H496" i="3" s="1"/>
  <c r="H497" i="3" s="1"/>
  <c r="H498" i="3" s="1"/>
  <c r="H499" i="3" s="1"/>
  <c r="H500" i="3" s="1"/>
  <c r="H501" i="3" s="1"/>
  <c r="H502" i="3" s="1"/>
  <c r="H503" i="3" s="1"/>
  <c r="H504" i="3" s="1"/>
  <c r="H505" i="3" s="1"/>
  <c r="H506" i="3" s="1"/>
  <c r="H507" i="3" s="1"/>
  <c r="H508" i="3" s="1"/>
  <c r="H509" i="3" s="1"/>
  <c r="H510" i="3" s="1"/>
  <c r="H511" i="3" s="1"/>
  <c r="H512" i="3" s="1"/>
  <c r="H513" i="3" s="1"/>
  <c r="H514" i="3" s="1"/>
  <c r="H515" i="3" s="1"/>
  <c r="H516" i="3" s="1"/>
  <c r="H517" i="3" s="1"/>
  <c r="H518" i="3" s="1"/>
  <c r="H519" i="3" s="1"/>
  <c r="H520" i="3" s="1"/>
  <c r="H521" i="3" s="1"/>
  <c r="H522" i="3" s="1"/>
  <c r="H523" i="3" s="1"/>
  <c r="H524" i="3" s="1"/>
  <c r="H525" i="3" s="1"/>
  <c r="H526" i="3" s="1"/>
  <c r="H527" i="3" s="1"/>
  <c r="H528" i="3" s="1"/>
  <c r="H529" i="3" s="1"/>
  <c r="H530" i="3" s="1"/>
  <c r="H531" i="3" s="1"/>
  <c r="H532" i="3" s="1"/>
  <c r="H533" i="3" s="1"/>
  <c r="H534" i="3" s="1"/>
  <c r="H535" i="3" s="1"/>
  <c r="H536" i="3" s="1"/>
  <c r="H537" i="3" s="1"/>
  <c r="H538" i="3" s="1"/>
  <c r="H539" i="3" s="1"/>
  <c r="H540" i="3" s="1"/>
  <c r="H541" i="3" s="1"/>
  <c r="H542" i="3" s="1"/>
  <c r="H543" i="3" s="1"/>
  <c r="H544" i="3" s="1"/>
  <c r="H545" i="3" s="1"/>
  <c r="H546" i="3" s="1"/>
  <c r="H547" i="3" s="1"/>
  <c r="H548" i="3" s="1"/>
  <c r="H549" i="3" s="1"/>
  <c r="H550" i="3" s="1"/>
  <c r="H551" i="3" s="1"/>
  <c r="H552" i="3" s="1"/>
  <c r="H553" i="3" s="1"/>
  <c r="H554" i="3" s="1"/>
  <c r="H555" i="3" s="1"/>
  <c r="H556" i="3" s="1"/>
  <c r="H557" i="3" s="1"/>
  <c r="H558" i="3" s="1"/>
  <c r="H559" i="3" s="1"/>
  <c r="H560" i="3" s="1"/>
  <c r="H561" i="3" s="1"/>
  <c r="H562" i="3" s="1"/>
  <c r="H563" i="3" s="1"/>
  <c r="H564" i="3" s="1"/>
  <c r="H565" i="3" s="1"/>
  <c r="H566" i="3" s="1"/>
  <c r="H567" i="3" s="1"/>
  <c r="H568" i="3" s="1"/>
  <c r="H569" i="3" s="1"/>
  <c r="H570" i="3" s="1"/>
  <c r="H571" i="3" s="1"/>
  <c r="H572" i="3" s="1"/>
  <c r="H573" i="3" s="1"/>
  <c r="H574" i="3" s="1"/>
  <c r="H575" i="3" s="1"/>
  <c r="H576" i="3" s="1"/>
  <c r="H577" i="3" s="1"/>
  <c r="H578" i="3" s="1"/>
  <c r="H579" i="3" s="1"/>
  <c r="H580" i="3" s="1"/>
  <c r="H581" i="3" s="1"/>
  <c r="H582" i="3" s="1"/>
  <c r="H583" i="3" s="1"/>
  <c r="H584" i="3" s="1"/>
  <c r="H585" i="3" s="1"/>
  <c r="H586" i="3" s="1"/>
  <c r="H587" i="3" s="1"/>
  <c r="H588" i="3" s="1"/>
  <c r="H589" i="3" s="1"/>
  <c r="H590" i="3" s="1"/>
  <c r="H591" i="3" s="1"/>
  <c r="H592" i="3" s="1"/>
  <c r="H593" i="3" s="1"/>
  <c r="H594" i="3" s="1"/>
  <c r="H595" i="3" s="1"/>
  <c r="H596" i="3" s="1"/>
  <c r="H597" i="3" s="1"/>
  <c r="H598" i="3" s="1"/>
  <c r="H599" i="3" s="1"/>
  <c r="H600" i="3" s="1"/>
  <c r="H601" i="3" s="1"/>
  <c r="H602" i="3" s="1"/>
  <c r="H603" i="3" s="1"/>
  <c r="H604" i="3" s="1"/>
  <c r="H605" i="3" s="1"/>
  <c r="H606" i="3" s="1"/>
  <c r="H607" i="3" s="1"/>
  <c r="H608" i="3" s="1"/>
  <c r="H609" i="3" s="1"/>
  <c r="H610" i="3" s="1"/>
  <c r="H611" i="3" s="1"/>
  <c r="H612" i="3" s="1"/>
  <c r="H613" i="3" s="1"/>
  <c r="H614" i="3" s="1"/>
  <c r="H615" i="3" s="1"/>
  <c r="H616" i="3" s="1"/>
  <c r="H617" i="3" s="1"/>
  <c r="H618" i="3" s="1"/>
  <c r="H619" i="3" s="1"/>
  <c r="H620" i="3" s="1"/>
  <c r="H621" i="3" s="1"/>
  <c r="H622" i="3" s="1"/>
  <c r="H623" i="3" s="1"/>
  <c r="H624" i="3" s="1"/>
  <c r="H625" i="3" s="1"/>
  <c r="H626" i="3" s="1"/>
  <c r="H627" i="3" s="1"/>
  <c r="H628" i="3" s="1"/>
  <c r="H629" i="3" s="1"/>
  <c r="H630" i="3" s="1"/>
  <c r="H631" i="3" s="1"/>
  <c r="H632" i="3" s="1"/>
  <c r="H633" i="3" s="1"/>
  <c r="H634" i="3" s="1"/>
  <c r="H635" i="3" s="1"/>
  <c r="H636" i="3" s="1"/>
  <c r="H637" i="3" s="1"/>
  <c r="H638" i="3" s="1"/>
  <c r="H639" i="3" s="1"/>
  <c r="H640" i="3" s="1"/>
  <c r="H641" i="3" s="1"/>
  <c r="H642" i="3" s="1"/>
  <c r="H643" i="3" s="1"/>
  <c r="H644" i="3" s="1"/>
  <c r="H645" i="3" s="1"/>
  <c r="H646" i="3" s="1"/>
  <c r="H647" i="3" s="1"/>
  <c r="H648" i="3" s="1"/>
  <c r="H649" i="3" s="1"/>
  <c r="H650" i="3" s="1"/>
  <c r="H651" i="3" s="1"/>
  <c r="H652" i="3" s="1"/>
  <c r="H653" i="3" s="1"/>
  <c r="H654" i="3" s="1"/>
  <c r="H655" i="3" s="1"/>
  <c r="H656" i="3" s="1"/>
  <c r="H657" i="3" s="1"/>
  <c r="H658" i="3" s="1"/>
  <c r="H659" i="3" s="1"/>
  <c r="H660" i="3" s="1"/>
  <c r="H661" i="3" s="1"/>
  <c r="H662" i="3" s="1"/>
  <c r="H663" i="3" s="1"/>
  <c r="H664" i="3" s="1"/>
  <c r="H665" i="3" s="1"/>
  <c r="H666" i="3" s="1"/>
  <c r="H667" i="3" s="1"/>
  <c r="H668" i="3" s="1"/>
  <c r="H669" i="3" s="1"/>
  <c r="H670" i="3" s="1"/>
  <c r="H671" i="3" s="1"/>
  <c r="H672" i="3" s="1"/>
  <c r="H673" i="3" s="1"/>
  <c r="H674" i="3" s="1"/>
  <c r="H675" i="3" s="1"/>
  <c r="H676" i="3" s="1"/>
  <c r="H677" i="3" s="1"/>
  <c r="H678" i="3" s="1"/>
  <c r="H679" i="3" s="1"/>
  <c r="H680" i="3" s="1"/>
  <c r="H681" i="3" s="1"/>
  <c r="H682" i="3" s="1"/>
  <c r="H683" i="3" s="1"/>
  <c r="H684" i="3" s="1"/>
  <c r="H685" i="3" s="1"/>
  <c r="H686" i="3" s="1"/>
  <c r="H687" i="3" s="1"/>
  <c r="H688" i="3" s="1"/>
  <c r="H689" i="3" s="1"/>
  <c r="H690" i="3" s="1"/>
  <c r="H691" i="3" s="1"/>
  <c r="H692" i="3" s="1"/>
  <c r="H693" i="3" s="1"/>
  <c r="H694" i="3" s="1"/>
  <c r="H695" i="3" s="1"/>
  <c r="H696" i="3" s="1"/>
  <c r="H697" i="3" s="1"/>
  <c r="H698" i="3" s="1"/>
  <c r="H699" i="3" s="1"/>
  <c r="H700" i="3" s="1"/>
  <c r="H701" i="3" s="1"/>
  <c r="H702" i="3" s="1"/>
  <c r="H703" i="3" s="1"/>
  <c r="H704" i="3" s="1"/>
  <c r="H705" i="3" s="1"/>
  <c r="H706" i="3" s="1"/>
  <c r="H707" i="3" s="1"/>
  <c r="H708" i="3" s="1"/>
  <c r="H709" i="3" s="1"/>
  <c r="H710" i="3" s="1"/>
  <c r="H711" i="3" s="1"/>
  <c r="H712" i="3" s="1"/>
  <c r="H713" i="3" s="1"/>
  <c r="H714" i="3" s="1"/>
  <c r="H715" i="3" s="1"/>
  <c r="H716" i="3" s="1"/>
  <c r="H717" i="3" s="1"/>
  <c r="H718" i="3" s="1"/>
  <c r="H719" i="3" s="1"/>
  <c r="H720" i="3" s="1"/>
  <c r="H721" i="3" s="1"/>
  <c r="H722" i="3" s="1"/>
  <c r="H723" i="3" s="1"/>
  <c r="H724" i="3" s="1"/>
  <c r="H725" i="3" s="1"/>
  <c r="H726" i="3" s="1"/>
  <c r="H727" i="3" s="1"/>
  <c r="H728" i="3" s="1"/>
  <c r="H729" i="3" s="1"/>
  <c r="H730" i="3" s="1"/>
  <c r="H731" i="3" s="1"/>
  <c r="H732" i="3" s="1"/>
  <c r="H733" i="3" s="1"/>
  <c r="H734" i="3" s="1"/>
  <c r="H735" i="3" s="1"/>
  <c r="H736" i="3" s="1"/>
  <c r="H737" i="3" s="1"/>
  <c r="H738" i="3" s="1"/>
  <c r="H739" i="3" s="1"/>
  <c r="H740" i="3" s="1"/>
  <c r="H741" i="3" s="1"/>
  <c r="H742" i="3" s="1"/>
  <c r="H743" i="3" s="1"/>
  <c r="H744" i="3" s="1"/>
  <c r="H745" i="3" s="1"/>
  <c r="H746" i="3" s="1"/>
  <c r="H747" i="3" s="1"/>
  <c r="H748" i="3" s="1"/>
  <c r="H749" i="3" s="1"/>
  <c r="H750" i="3" s="1"/>
  <c r="H751" i="3" s="1"/>
  <c r="H752" i="3" s="1"/>
  <c r="H753" i="3" s="1"/>
  <c r="H754" i="3" s="1"/>
  <c r="H755" i="3" s="1"/>
  <c r="H756" i="3" s="1"/>
  <c r="H757" i="3" s="1"/>
  <c r="H758" i="3" s="1"/>
  <c r="H759" i="3" s="1"/>
  <c r="H760" i="3" s="1"/>
  <c r="H761" i="3" s="1"/>
  <c r="H762" i="3" s="1"/>
  <c r="H763" i="3" s="1"/>
  <c r="H764" i="3" s="1"/>
  <c r="H765" i="3" s="1"/>
  <c r="H766" i="3" s="1"/>
  <c r="H767" i="3" s="1"/>
  <c r="H768" i="3" s="1"/>
  <c r="H769" i="3" s="1"/>
  <c r="H770" i="3" s="1"/>
  <c r="H771" i="3" s="1"/>
  <c r="H772" i="3" s="1"/>
  <c r="H773" i="3" s="1"/>
  <c r="H774" i="3" s="1"/>
  <c r="H775" i="3" s="1"/>
  <c r="H776" i="3" s="1"/>
  <c r="H777" i="3" s="1"/>
  <c r="H778" i="3" s="1"/>
  <c r="H779" i="3" s="1"/>
  <c r="H780" i="3" s="1"/>
  <c r="H781" i="3" s="1"/>
  <c r="H782" i="3" s="1"/>
  <c r="H783" i="3" s="1"/>
  <c r="H784" i="3" s="1"/>
  <c r="H785" i="3" s="1"/>
  <c r="H786" i="3" s="1"/>
  <c r="H787" i="3" s="1"/>
  <c r="H788" i="3" s="1"/>
  <c r="H789" i="3" s="1"/>
  <c r="H790" i="3" s="1"/>
  <c r="H791" i="3" s="1"/>
  <c r="H792" i="3" s="1"/>
  <c r="H793" i="3" s="1"/>
  <c r="H794" i="3" s="1"/>
  <c r="H795" i="3" s="1"/>
  <c r="H796" i="3" s="1"/>
  <c r="H797" i="3" s="1"/>
  <c r="H798" i="3" s="1"/>
  <c r="H799" i="3" s="1"/>
  <c r="H800" i="3" s="1"/>
  <c r="H801" i="3" s="1"/>
  <c r="H802" i="3" s="1"/>
  <c r="H803" i="3" s="1"/>
  <c r="H804" i="3" s="1"/>
  <c r="H805" i="3" s="1"/>
  <c r="H806" i="3" s="1"/>
  <c r="H807" i="3" s="1"/>
  <c r="H808" i="3" s="1"/>
  <c r="H809" i="3" s="1"/>
  <c r="H810" i="3" s="1"/>
  <c r="H811" i="3" s="1"/>
  <c r="H812" i="3" s="1"/>
  <c r="H813" i="3" s="1"/>
  <c r="H814" i="3" s="1"/>
  <c r="H815" i="3" s="1"/>
  <c r="H816" i="3" s="1"/>
  <c r="H817" i="3" s="1"/>
  <c r="H818" i="3" s="1"/>
  <c r="H819" i="3" s="1"/>
  <c r="H820" i="3" s="1"/>
  <c r="H821" i="3" s="1"/>
  <c r="H822" i="3" s="1"/>
  <c r="H823" i="3" s="1"/>
  <c r="H824" i="3" s="1"/>
  <c r="H825" i="3" s="1"/>
  <c r="H826" i="3" s="1"/>
  <c r="H827" i="3" s="1"/>
  <c r="H828" i="3" s="1"/>
  <c r="H829" i="3" s="1"/>
  <c r="H830" i="3" s="1"/>
  <c r="H831" i="3" s="1"/>
  <c r="H832" i="3" s="1"/>
  <c r="H833" i="3" s="1"/>
  <c r="H834" i="3" s="1"/>
  <c r="H835" i="3" s="1"/>
  <c r="H836" i="3" s="1"/>
  <c r="H837" i="3" s="1"/>
  <c r="H838" i="3" s="1"/>
  <c r="H839" i="3" s="1"/>
  <c r="H840" i="3" s="1"/>
  <c r="H841" i="3" s="1"/>
  <c r="H842" i="3" s="1"/>
  <c r="H843" i="3" s="1"/>
  <c r="H844" i="3" s="1"/>
  <c r="H845" i="3" s="1"/>
  <c r="H846" i="3" s="1"/>
  <c r="H847" i="3" s="1"/>
  <c r="H848" i="3" s="1"/>
  <c r="H849" i="3" s="1"/>
  <c r="H850" i="3" s="1"/>
  <c r="H851" i="3" s="1"/>
  <c r="H852" i="3" s="1"/>
  <c r="H853" i="3" s="1"/>
  <c r="H854" i="3" s="1"/>
  <c r="H855" i="3" s="1"/>
  <c r="H856" i="3" s="1"/>
  <c r="H857" i="3" s="1"/>
  <c r="H858" i="3" s="1"/>
  <c r="H859" i="3" s="1"/>
  <c r="H860" i="3" s="1"/>
  <c r="H861" i="3" s="1"/>
  <c r="H862" i="3" s="1"/>
  <c r="H863" i="3" s="1"/>
  <c r="H864" i="3" s="1"/>
  <c r="H865" i="3" s="1"/>
  <c r="H866" i="3" s="1"/>
  <c r="H867" i="3" s="1"/>
  <c r="H868" i="3" s="1"/>
  <c r="H869" i="3" s="1"/>
  <c r="H870" i="3" s="1"/>
  <c r="H871" i="3" s="1"/>
  <c r="H872" i="3" s="1"/>
  <c r="H873" i="3" s="1"/>
  <c r="H874" i="3" s="1"/>
  <c r="H875" i="3" s="1"/>
  <c r="H876" i="3" s="1"/>
  <c r="H877" i="3" s="1"/>
  <c r="H878" i="3" s="1"/>
  <c r="H879" i="3" s="1"/>
  <c r="H880" i="3" s="1"/>
  <c r="H881" i="3" s="1"/>
  <c r="H882" i="3" s="1"/>
  <c r="H883" i="3" s="1"/>
  <c r="H884" i="3" s="1"/>
  <c r="H885" i="3" s="1"/>
  <c r="H886" i="3" s="1"/>
  <c r="H887" i="3" s="1"/>
  <c r="H888" i="3" s="1"/>
  <c r="H889" i="3" s="1"/>
  <c r="H890" i="3" s="1"/>
  <c r="H891" i="3" s="1"/>
  <c r="H892" i="3" s="1"/>
  <c r="H893" i="3" s="1"/>
  <c r="H894" i="3" s="1"/>
  <c r="H895" i="3" s="1"/>
  <c r="H896" i="3" s="1"/>
  <c r="H897" i="3" s="1"/>
  <c r="H898" i="3" s="1"/>
  <c r="H899" i="3" s="1"/>
  <c r="H900" i="3" s="1"/>
  <c r="H901" i="3" s="1"/>
  <c r="H902" i="3" s="1"/>
  <c r="H903" i="3" s="1"/>
  <c r="H904" i="3" s="1"/>
  <c r="H905" i="3" s="1"/>
  <c r="H906" i="3" s="1"/>
  <c r="H907" i="3" s="1"/>
  <c r="H908" i="3" s="1"/>
  <c r="H909" i="3" s="1"/>
  <c r="H910" i="3" s="1"/>
  <c r="H911" i="3" s="1"/>
  <c r="H912" i="3" s="1"/>
  <c r="H913" i="3" s="1"/>
  <c r="H914" i="3" s="1"/>
  <c r="H915" i="3" s="1"/>
  <c r="H916" i="3" s="1"/>
  <c r="H917" i="3" s="1"/>
  <c r="H918" i="3" s="1"/>
  <c r="H919" i="3" s="1"/>
  <c r="H920" i="3" s="1"/>
  <c r="H921" i="3" s="1"/>
  <c r="H922" i="3" s="1"/>
  <c r="H923" i="3" s="1"/>
  <c r="H924" i="3" s="1"/>
  <c r="H925" i="3" s="1"/>
  <c r="H926" i="3" s="1"/>
  <c r="H927" i="3" s="1"/>
  <c r="H928" i="3" s="1"/>
  <c r="H929" i="3" s="1"/>
  <c r="H930" i="3" s="1"/>
  <c r="H931" i="3" s="1"/>
  <c r="H932" i="3" s="1"/>
  <c r="H933" i="3" s="1"/>
  <c r="H934" i="3" s="1"/>
  <c r="H935" i="3" s="1"/>
  <c r="H936" i="3" s="1"/>
  <c r="H937" i="3" s="1"/>
  <c r="H938" i="3" s="1"/>
  <c r="H939" i="3" s="1"/>
  <c r="H940" i="3" s="1"/>
  <c r="H941" i="3" s="1"/>
  <c r="H942" i="3" s="1"/>
  <c r="H943" i="3" s="1"/>
  <c r="H944" i="3" s="1"/>
  <c r="H945" i="3" s="1"/>
  <c r="H946" i="3" s="1"/>
  <c r="H947" i="3" s="1"/>
  <c r="H948" i="3" s="1"/>
  <c r="H949" i="3" s="1"/>
  <c r="H950" i="3" s="1"/>
  <c r="H951" i="3" s="1"/>
  <c r="H952" i="3" s="1"/>
  <c r="H953" i="3" s="1"/>
  <c r="H954" i="3" s="1"/>
  <c r="H955" i="3" s="1"/>
  <c r="H956" i="3" s="1"/>
  <c r="H957" i="3" s="1"/>
  <c r="H958" i="3" s="1"/>
  <c r="H959" i="3" s="1"/>
  <c r="H960" i="3" s="1"/>
  <c r="H961" i="3" s="1"/>
  <c r="H962" i="3" s="1"/>
  <c r="H963" i="3" s="1"/>
  <c r="H964" i="3" s="1"/>
  <c r="H965" i="3" s="1"/>
  <c r="H966" i="3" s="1"/>
  <c r="H967" i="3" s="1"/>
  <c r="H968" i="3" s="1"/>
  <c r="H969" i="3" s="1"/>
  <c r="H970" i="3" s="1"/>
  <c r="H971" i="3" s="1"/>
  <c r="H972" i="3" s="1"/>
  <c r="H973" i="3" s="1"/>
  <c r="H974" i="3" s="1"/>
  <c r="H975" i="3" s="1"/>
  <c r="H976" i="3" s="1"/>
  <c r="H977" i="3" s="1"/>
  <c r="H978" i="3" s="1"/>
  <c r="H979" i="3" s="1"/>
  <c r="H980" i="3" s="1"/>
  <c r="H981" i="3" s="1"/>
  <c r="H982" i="3" s="1"/>
  <c r="H983" i="3" s="1"/>
  <c r="H984" i="3" s="1"/>
  <c r="H985" i="3" s="1"/>
  <c r="H986" i="3" s="1"/>
  <c r="H987" i="3" s="1"/>
  <c r="H988" i="3" s="1"/>
  <c r="H989" i="3" s="1"/>
  <c r="H990" i="3" s="1"/>
  <c r="H991" i="3" s="1"/>
  <c r="H992" i="3" s="1"/>
  <c r="H993" i="3" s="1"/>
  <c r="H994" i="3" s="1"/>
  <c r="H995" i="3" s="1"/>
  <c r="H996" i="3" s="1"/>
  <c r="H997" i="3" s="1"/>
  <c r="H998" i="3" s="1"/>
  <c r="H999" i="3" s="1"/>
  <c r="H1000" i="3" s="1"/>
  <c r="H1001" i="3" s="1"/>
  <c r="J1002" i="6"/>
  <c r="J1001" i="6"/>
  <c r="J1000" i="6"/>
  <c r="J999" i="6"/>
  <c r="J998" i="6"/>
  <c r="J997" i="6"/>
  <c r="J996" i="6"/>
  <c r="J995" i="6"/>
  <c r="J994" i="6"/>
  <c r="J993" i="6"/>
  <c r="J992" i="6"/>
  <c r="J991" i="6"/>
  <c r="J739" i="6"/>
  <c r="J989" i="6"/>
  <c r="J988" i="6"/>
  <c r="J987" i="6"/>
  <c r="J986" i="6"/>
  <c r="J985" i="6"/>
  <c r="J984" i="6"/>
  <c r="J983" i="6"/>
  <c r="J990" i="6"/>
  <c r="J981" i="6"/>
  <c r="J980" i="6"/>
  <c r="J979" i="6"/>
  <c r="J978" i="6"/>
  <c r="J977" i="6"/>
  <c r="J976" i="6"/>
  <c r="J975" i="6"/>
  <c r="J974" i="6"/>
  <c r="J973" i="6"/>
  <c r="J972" i="6"/>
  <c r="J971" i="6"/>
  <c r="J970" i="6"/>
  <c r="J969" i="6"/>
  <c r="J968" i="6"/>
  <c r="J967" i="6"/>
  <c r="J966" i="6"/>
  <c r="J965" i="6"/>
  <c r="J964" i="6"/>
  <c r="J963" i="6"/>
  <c r="J962" i="6"/>
  <c r="J961" i="6"/>
  <c r="J726" i="6"/>
  <c r="J724" i="6"/>
  <c r="J958" i="6"/>
  <c r="J957" i="6"/>
  <c r="J956" i="6"/>
  <c r="J955" i="6"/>
  <c r="J954" i="6"/>
  <c r="J953" i="6"/>
  <c r="J952" i="6"/>
  <c r="J951" i="6"/>
  <c r="J950" i="6"/>
  <c r="J949" i="6"/>
  <c r="J948" i="6"/>
  <c r="J947" i="6"/>
  <c r="J946" i="6"/>
  <c r="J945" i="6"/>
  <c r="J944" i="6"/>
  <c r="J943" i="6"/>
  <c r="J715" i="6"/>
  <c r="J941" i="6"/>
  <c r="J940" i="6"/>
  <c r="J939" i="6"/>
  <c r="J938" i="6"/>
  <c r="J937" i="6"/>
  <c r="J936" i="6"/>
  <c r="J935" i="6"/>
  <c r="J711" i="6"/>
  <c r="J933" i="6"/>
  <c r="J932" i="6"/>
  <c r="J931" i="6"/>
  <c r="J930" i="6"/>
  <c r="J929" i="6"/>
  <c r="J928" i="6"/>
  <c r="J927" i="6"/>
  <c r="J926" i="6"/>
  <c r="J925" i="6"/>
  <c r="J924" i="6"/>
  <c r="J923" i="6"/>
  <c r="J922" i="6"/>
  <c r="J921" i="6"/>
  <c r="J920" i="6"/>
  <c r="J919" i="6"/>
  <c r="J918" i="6"/>
  <c r="J917" i="6"/>
  <c r="J916" i="6"/>
  <c r="J915" i="6"/>
  <c r="J914" i="6"/>
  <c r="J913" i="6"/>
  <c r="J912" i="6"/>
  <c r="J911" i="6"/>
  <c r="J910" i="6"/>
  <c r="J909" i="6"/>
  <c r="J908" i="6"/>
  <c r="J907" i="6"/>
  <c r="J906" i="6"/>
  <c r="J905" i="6"/>
  <c r="J904" i="6"/>
  <c r="J449" i="6"/>
  <c r="J439" i="6"/>
  <c r="J901" i="6"/>
  <c r="J900" i="6"/>
  <c r="J899" i="6"/>
  <c r="J898" i="6"/>
  <c r="J897" i="6"/>
  <c r="J409" i="6"/>
  <c r="J895" i="6"/>
  <c r="J894" i="6"/>
  <c r="J982" i="6"/>
  <c r="J892" i="6"/>
  <c r="J891" i="6"/>
  <c r="J890" i="6"/>
  <c r="J889" i="6"/>
  <c r="J888" i="6"/>
  <c r="J887" i="6"/>
  <c r="J886" i="6"/>
  <c r="J885" i="6"/>
  <c r="J884" i="6"/>
  <c r="J883" i="6"/>
  <c r="J701" i="6"/>
  <c r="J881" i="6"/>
  <c r="J880" i="6"/>
  <c r="J879" i="6"/>
  <c r="J878" i="6"/>
  <c r="J877" i="6"/>
  <c r="J876" i="6"/>
  <c r="J875" i="6"/>
  <c r="J874" i="6"/>
  <c r="J873" i="6"/>
  <c r="J960" i="6"/>
  <c r="J871" i="6"/>
  <c r="J870" i="6"/>
  <c r="J869" i="6"/>
  <c r="J868" i="6"/>
  <c r="J369" i="6"/>
  <c r="J866" i="6"/>
  <c r="J865" i="6"/>
  <c r="J341" i="6"/>
  <c r="J680" i="6"/>
  <c r="J862" i="6"/>
  <c r="J861" i="6"/>
  <c r="J860" i="6"/>
  <c r="J859" i="6"/>
  <c r="J858" i="6"/>
  <c r="J857" i="6"/>
  <c r="J856" i="6"/>
  <c r="J855" i="6"/>
  <c r="J854" i="6"/>
  <c r="J959" i="6"/>
  <c r="J852" i="6"/>
  <c r="J851" i="6"/>
  <c r="J850" i="6"/>
  <c r="J667" i="6"/>
  <c r="J848" i="6"/>
  <c r="J847" i="6"/>
  <c r="J846" i="6"/>
  <c r="J845" i="6"/>
  <c r="J844" i="6"/>
  <c r="J843" i="6"/>
  <c r="J842" i="6"/>
  <c r="J841" i="6"/>
  <c r="J840" i="6"/>
  <c r="J839" i="6"/>
  <c r="J942" i="6"/>
  <c r="J837" i="6"/>
  <c r="J836" i="6"/>
  <c r="J835" i="6"/>
  <c r="J834" i="6"/>
  <c r="J833" i="6"/>
  <c r="J333" i="6"/>
  <c r="J831" i="6"/>
  <c r="J830" i="6"/>
  <c r="J829" i="6"/>
  <c r="J828" i="6"/>
  <c r="J827" i="6"/>
  <c r="J826" i="6"/>
  <c r="J327" i="6"/>
  <c r="J824" i="6"/>
  <c r="J823" i="6"/>
  <c r="J324" i="6"/>
  <c r="J821" i="6"/>
  <c r="J820" i="6"/>
  <c r="J819" i="6"/>
  <c r="J818" i="6"/>
  <c r="J307" i="6"/>
  <c r="J816" i="6"/>
  <c r="J934" i="6"/>
  <c r="J903" i="6"/>
  <c r="J813" i="6"/>
  <c r="J812" i="6"/>
  <c r="J811" i="6"/>
  <c r="J810" i="6"/>
  <c r="J809" i="6"/>
  <c r="J808" i="6"/>
  <c r="J807" i="6"/>
  <c r="J806" i="6"/>
  <c r="J805" i="6"/>
  <c r="J804" i="6"/>
  <c r="J803" i="6"/>
  <c r="J802" i="6"/>
  <c r="J801" i="6"/>
  <c r="J800" i="6"/>
  <c r="J799" i="6"/>
  <c r="J798" i="6"/>
  <c r="J797" i="6"/>
  <c r="J796" i="6"/>
  <c r="J795" i="6"/>
  <c r="J794" i="6"/>
  <c r="J793" i="6"/>
  <c r="J792" i="6"/>
  <c r="J791" i="6"/>
  <c r="J790" i="6"/>
  <c r="J789" i="6"/>
  <c r="J788" i="6"/>
  <c r="J787" i="6"/>
  <c r="J786" i="6"/>
  <c r="J785" i="6"/>
  <c r="J784" i="6"/>
  <c r="J783" i="6"/>
  <c r="J782" i="6"/>
  <c r="J781" i="6"/>
  <c r="J298" i="6"/>
  <c r="J779" i="6"/>
  <c r="J664" i="6"/>
  <c r="J777" i="6"/>
  <c r="J776" i="6"/>
  <c r="J775" i="6"/>
  <c r="J774" i="6"/>
  <c r="J773" i="6"/>
  <c r="J772" i="6"/>
  <c r="J287" i="6"/>
  <c r="J770" i="6"/>
  <c r="J769" i="6"/>
  <c r="J768" i="6"/>
  <c r="J767" i="6"/>
  <c r="J766" i="6"/>
  <c r="J765" i="6"/>
  <c r="J764" i="6"/>
  <c r="J763" i="6"/>
  <c r="J762" i="6"/>
  <c r="J902" i="6"/>
  <c r="J760" i="6"/>
  <c r="J759" i="6"/>
  <c r="J758" i="6"/>
  <c r="J757" i="6"/>
  <c r="J756" i="6"/>
  <c r="J755" i="6"/>
  <c r="J754" i="6"/>
  <c r="J753" i="6"/>
  <c r="J752" i="6"/>
  <c r="J751" i="6"/>
  <c r="J750" i="6"/>
  <c r="J749" i="6"/>
  <c r="J748" i="6"/>
  <c r="J747" i="6"/>
  <c r="J746" i="6"/>
  <c r="J745" i="6"/>
  <c r="J744" i="6"/>
  <c r="J743" i="6"/>
  <c r="J742" i="6"/>
  <c r="J741" i="6"/>
  <c r="J740" i="6"/>
  <c r="J285" i="6"/>
  <c r="J738" i="6"/>
  <c r="J737" i="6"/>
  <c r="J736" i="6"/>
  <c r="J735" i="6"/>
  <c r="J734" i="6"/>
  <c r="J733" i="6"/>
  <c r="J732" i="6"/>
  <c r="J731" i="6"/>
  <c r="J730" i="6"/>
  <c r="J729" i="6"/>
  <c r="J728" i="6"/>
  <c r="J727" i="6"/>
  <c r="J896" i="6"/>
  <c r="J725" i="6"/>
  <c r="J645" i="6"/>
  <c r="J723" i="6"/>
  <c r="J722" i="6"/>
  <c r="J721" i="6"/>
  <c r="J720" i="6"/>
  <c r="J719" i="6"/>
  <c r="J718" i="6"/>
  <c r="J717" i="6"/>
  <c r="J716" i="6"/>
  <c r="J611" i="6"/>
  <c r="J714" i="6"/>
  <c r="J713" i="6"/>
  <c r="J712" i="6"/>
  <c r="J277" i="6"/>
  <c r="J710" i="6"/>
  <c r="J709" i="6"/>
  <c r="J708" i="6"/>
  <c r="J707" i="6"/>
  <c r="J706" i="6"/>
  <c r="J705" i="6"/>
  <c r="J704" i="6"/>
  <c r="J703" i="6"/>
  <c r="J702" i="6"/>
  <c r="J893" i="6"/>
  <c r="J700" i="6"/>
  <c r="J699" i="6"/>
  <c r="J698" i="6"/>
  <c r="J697" i="6"/>
  <c r="J696" i="6"/>
  <c r="J695" i="6"/>
  <c r="J694" i="6"/>
  <c r="J693" i="6"/>
  <c r="J692" i="6"/>
  <c r="J691" i="6"/>
  <c r="J690" i="6"/>
  <c r="J689" i="6"/>
  <c r="J688" i="6"/>
  <c r="J687" i="6"/>
  <c r="J686" i="6"/>
  <c r="J685" i="6"/>
  <c r="J684" i="6"/>
  <c r="J683" i="6"/>
  <c r="J682" i="6"/>
  <c r="J681" i="6"/>
  <c r="J266" i="6"/>
  <c r="J679" i="6"/>
  <c r="J678" i="6"/>
  <c r="J677" i="6"/>
  <c r="J676" i="6"/>
  <c r="J675" i="6"/>
  <c r="J674" i="6"/>
  <c r="J673" i="6"/>
  <c r="J672" i="6"/>
  <c r="J671" i="6"/>
  <c r="J670" i="6"/>
  <c r="J669" i="6"/>
  <c r="J668" i="6"/>
  <c r="J241" i="6"/>
  <c r="J666" i="6"/>
  <c r="J665" i="6"/>
  <c r="J572" i="6"/>
  <c r="J663" i="6"/>
  <c r="J662" i="6"/>
  <c r="J661" i="6"/>
  <c r="J660" i="6"/>
  <c r="J659" i="6"/>
  <c r="J658" i="6"/>
  <c r="J657" i="6"/>
  <c r="J656" i="6"/>
  <c r="J655" i="6"/>
  <c r="J654" i="6"/>
  <c r="J653" i="6"/>
  <c r="J652" i="6"/>
  <c r="J651" i="6"/>
  <c r="J650" i="6"/>
  <c r="J649" i="6"/>
  <c r="J648" i="6"/>
  <c r="J647" i="6"/>
  <c r="J646" i="6"/>
  <c r="J232" i="6"/>
  <c r="J644" i="6"/>
  <c r="J643" i="6"/>
  <c r="J642" i="6"/>
  <c r="J641" i="6"/>
  <c r="J640" i="6"/>
  <c r="J639" i="6"/>
  <c r="J638" i="6"/>
  <c r="J637" i="6"/>
  <c r="J636" i="6"/>
  <c r="J635" i="6"/>
  <c r="J634" i="6"/>
  <c r="J633" i="6"/>
  <c r="J632" i="6"/>
  <c r="J631" i="6"/>
  <c r="J630" i="6"/>
  <c r="J629" i="6"/>
  <c r="J628" i="6"/>
  <c r="J627" i="6"/>
  <c r="J626" i="6"/>
  <c r="J625" i="6"/>
  <c r="J624" i="6"/>
  <c r="J623" i="6"/>
  <c r="J622" i="6"/>
  <c r="J621" i="6"/>
  <c r="J620" i="6"/>
  <c r="J619" i="6"/>
  <c r="J618" i="6"/>
  <c r="J617" i="6"/>
  <c r="J616" i="6"/>
  <c r="J615" i="6"/>
  <c r="J614" i="6"/>
  <c r="J613" i="6"/>
  <c r="J612" i="6"/>
  <c r="J882" i="6"/>
  <c r="J610" i="6"/>
  <c r="J609" i="6"/>
  <c r="J608" i="6"/>
  <c r="J607" i="6"/>
  <c r="J606" i="6"/>
  <c r="J605" i="6"/>
  <c r="J604" i="6"/>
  <c r="J603" i="6"/>
  <c r="J602" i="6"/>
  <c r="J601" i="6"/>
  <c r="J600" i="6"/>
  <c r="J599" i="6"/>
  <c r="J598" i="6"/>
  <c r="J597" i="6"/>
  <c r="J596" i="6"/>
  <c r="J595" i="6"/>
  <c r="J594" i="6"/>
  <c r="J593" i="6"/>
  <c r="J592" i="6"/>
  <c r="J591" i="6"/>
  <c r="J590" i="6"/>
  <c r="J589" i="6"/>
  <c r="J588" i="6"/>
  <c r="J587" i="6"/>
  <c r="J586" i="6"/>
  <c r="J585" i="6"/>
  <c r="J584" i="6"/>
  <c r="J583" i="6"/>
  <c r="J582" i="6"/>
  <c r="J581" i="6"/>
  <c r="J580" i="6"/>
  <c r="J579" i="6"/>
  <c r="J578" i="6"/>
  <c r="J577" i="6"/>
  <c r="J576" i="6"/>
  <c r="J575" i="6"/>
  <c r="J574" i="6"/>
  <c r="J573" i="6"/>
  <c r="J210" i="6"/>
  <c r="J571" i="6"/>
  <c r="J570" i="6"/>
  <c r="J569" i="6"/>
  <c r="J209" i="6"/>
  <c r="J567" i="6"/>
  <c r="J566" i="6"/>
  <c r="J565" i="6"/>
  <c r="J564" i="6"/>
  <c r="J563" i="6"/>
  <c r="J562" i="6"/>
  <c r="J561" i="6"/>
  <c r="J560" i="6"/>
  <c r="J559" i="6"/>
  <c r="J202" i="6"/>
  <c r="J872" i="6"/>
  <c r="J556" i="6"/>
  <c r="J555" i="6"/>
  <c r="J554" i="6"/>
  <c r="J553" i="6"/>
  <c r="J867" i="6"/>
  <c r="J551" i="6"/>
  <c r="J550" i="6"/>
  <c r="J549" i="6"/>
  <c r="J548" i="6"/>
  <c r="J188" i="6"/>
  <c r="J546" i="6"/>
  <c r="J545" i="6"/>
  <c r="J544" i="6"/>
  <c r="J543" i="6"/>
  <c r="J542" i="6"/>
  <c r="J541" i="6"/>
  <c r="J540" i="6"/>
  <c r="J539" i="6"/>
  <c r="J168" i="6"/>
  <c r="J537" i="6"/>
  <c r="J536" i="6"/>
  <c r="J535" i="6"/>
  <c r="J534" i="6"/>
  <c r="J533" i="6"/>
  <c r="J532" i="6"/>
  <c r="J531" i="6"/>
  <c r="J530" i="6"/>
  <c r="J529" i="6"/>
  <c r="J528" i="6"/>
  <c r="J527" i="6"/>
  <c r="J526" i="6"/>
  <c r="J525" i="6"/>
  <c r="J524" i="6"/>
  <c r="J523" i="6"/>
  <c r="J522" i="6"/>
  <c r="J521" i="6"/>
  <c r="J520" i="6"/>
  <c r="J519" i="6"/>
  <c r="J161" i="6"/>
  <c r="J517" i="6"/>
  <c r="J516" i="6"/>
  <c r="J515" i="6"/>
  <c r="J119" i="6"/>
  <c r="J513" i="6"/>
  <c r="J512" i="6"/>
  <c r="J511" i="6"/>
  <c r="J864" i="6"/>
  <c r="J509" i="6"/>
  <c r="J508" i="6"/>
  <c r="J507" i="6"/>
  <c r="J506" i="6"/>
  <c r="J505" i="6"/>
  <c r="J504" i="6"/>
  <c r="J503" i="6"/>
  <c r="J502" i="6"/>
  <c r="J501" i="6"/>
  <c r="J500" i="6"/>
  <c r="J499" i="6"/>
  <c r="J498" i="6"/>
  <c r="J497" i="6"/>
  <c r="J496" i="6"/>
  <c r="J495" i="6"/>
  <c r="J494" i="6"/>
  <c r="J493" i="6"/>
  <c r="J492" i="6"/>
  <c r="J491" i="6"/>
  <c r="J490" i="6"/>
  <c r="J489" i="6"/>
  <c r="J863" i="6"/>
  <c r="J487" i="6"/>
  <c r="J486" i="6"/>
  <c r="J485" i="6"/>
  <c r="J484" i="6"/>
  <c r="J483" i="6"/>
  <c r="J482" i="6"/>
  <c r="J481" i="6"/>
  <c r="J480" i="6"/>
  <c r="J479" i="6"/>
  <c r="J478" i="6"/>
  <c r="J477" i="6"/>
  <c r="J476" i="6"/>
  <c r="J475" i="6"/>
  <c r="J474" i="6"/>
  <c r="J473" i="6"/>
  <c r="J472" i="6"/>
  <c r="J471" i="6"/>
  <c r="J100" i="6"/>
  <c r="J853" i="6"/>
  <c r="J468" i="6"/>
  <c r="J467" i="6"/>
  <c r="J466" i="6"/>
  <c r="J465" i="6"/>
  <c r="J464" i="6"/>
  <c r="J463" i="6"/>
  <c r="J462" i="6"/>
  <c r="J461" i="6"/>
  <c r="J460" i="6"/>
  <c r="J459" i="6"/>
  <c r="J458" i="6"/>
  <c r="J849" i="6"/>
  <c r="J456" i="6"/>
  <c r="J455" i="6"/>
  <c r="J454" i="6"/>
  <c r="J453" i="6"/>
  <c r="J452" i="6"/>
  <c r="J451" i="6"/>
  <c r="J450" i="6"/>
  <c r="J838" i="6"/>
  <c r="J448" i="6"/>
  <c r="J447" i="6"/>
  <c r="J446" i="6"/>
  <c r="J445" i="6"/>
  <c r="J444" i="6"/>
  <c r="J443" i="6"/>
  <c r="J442" i="6"/>
  <c r="J441" i="6"/>
  <c r="J440" i="6"/>
  <c r="J568" i="6"/>
  <c r="J438" i="6"/>
  <c r="J437" i="6"/>
  <c r="J436" i="6"/>
  <c r="J435" i="6"/>
  <c r="J434" i="6"/>
  <c r="J433" i="6"/>
  <c r="J432" i="6"/>
  <c r="J431" i="6"/>
  <c r="J430" i="6"/>
  <c r="J429" i="6"/>
  <c r="J428" i="6"/>
  <c r="J427" i="6"/>
  <c r="J426" i="6"/>
  <c r="J425" i="6"/>
  <c r="J424" i="6"/>
  <c r="J423" i="6"/>
  <c r="J422" i="6"/>
  <c r="J421" i="6"/>
  <c r="J420" i="6"/>
  <c r="J419" i="6"/>
  <c r="J418" i="6"/>
  <c r="J417" i="6"/>
  <c r="J416" i="6"/>
  <c r="J415" i="6"/>
  <c r="J414" i="6"/>
  <c r="J413" i="6"/>
  <c r="J412" i="6"/>
  <c r="J411" i="6"/>
  <c r="J410" i="6"/>
  <c r="J86" i="6"/>
  <c r="J408" i="6"/>
  <c r="J407" i="6"/>
  <c r="J406" i="6"/>
  <c r="J405" i="6"/>
  <c r="J404" i="6"/>
  <c r="J403" i="6"/>
  <c r="J402" i="6"/>
  <c r="J401" i="6"/>
  <c r="J400" i="6"/>
  <c r="J399" i="6"/>
  <c r="J398" i="6"/>
  <c r="J397" i="6"/>
  <c r="J396" i="6"/>
  <c r="J395" i="6"/>
  <c r="J394" i="6"/>
  <c r="J393" i="6"/>
  <c r="J392" i="6"/>
  <c r="J391" i="6"/>
  <c r="J390" i="6"/>
  <c r="J389" i="6"/>
  <c r="J388" i="6"/>
  <c r="J387" i="6"/>
  <c r="J386" i="6"/>
  <c r="J385" i="6"/>
  <c r="J384" i="6"/>
  <c r="J383" i="6"/>
  <c r="J382" i="6"/>
  <c r="J381" i="6"/>
  <c r="J380" i="6"/>
  <c r="J379" i="6"/>
  <c r="J378" i="6"/>
  <c r="J377" i="6"/>
  <c r="J376" i="6"/>
  <c r="J375" i="6"/>
  <c r="J374" i="6"/>
  <c r="J373" i="6"/>
  <c r="J372" i="6"/>
  <c r="J371" i="6"/>
  <c r="J370" i="6"/>
  <c r="J832" i="6"/>
  <c r="J368" i="6"/>
  <c r="J367" i="6"/>
  <c r="J366" i="6"/>
  <c r="J365" i="6"/>
  <c r="J364" i="6"/>
  <c r="J363" i="6"/>
  <c r="J362" i="6"/>
  <c r="J361" i="6"/>
  <c r="J360" i="6"/>
  <c r="J359" i="6"/>
  <c r="J358" i="6"/>
  <c r="J357" i="6"/>
  <c r="J356" i="6"/>
  <c r="J355" i="6"/>
  <c r="J354" i="6"/>
  <c r="J353" i="6"/>
  <c r="J352" i="6"/>
  <c r="J351" i="6"/>
  <c r="J350" i="6"/>
  <c r="J349" i="6"/>
  <c r="J348" i="6"/>
  <c r="J347" i="6"/>
  <c r="J346" i="6"/>
  <c r="J345" i="6"/>
  <c r="J344" i="6"/>
  <c r="J343" i="6"/>
  <c r="J342" i="6"/>
  <c r="J82" i="6"/>
  <c r="J340" i="6"/>
  <c r="J339" i="6"/>
  <c r="J338" i="6"/>
  <c r="J337" i="6"/>
  <c r="J336" i="6"/>
  <c r="J335" i="6"/>
  <c r="J334" i="6"/>
  <c r="J825" i="6"/>
  <c r="J332" i="6"/>
  <c r="J331" i="6"/>
  <c r="J330" i="6"/>
  <c r="J329" i="6"/>
  <c r="J328" i="6"/>
  <c r="J558" i="6"/>
  <c r="J326" i="6"/>
  <c r="J325" i="6"/>
  <c r="J822" i="6"/>
  <c r="J323" i="6"/>
  <c r="J322" i="6"/>
  <c r="J321" i="6"/>
  <c r="J320" i="6"/>
  <c r="J319" i="6"/>
  <c r="J318" i="6"/>
  <c r="J317" i="6"/>
  <c r="J316" i="6"/>
  <c r="J315" i="6"/>
  <c r="J314" i="6"/>
  <c r="J313" i="6"/>
  <c r="J312" i="6"/>
  <c r="J311" i="6"/>
  <c r="J310" i="6"/>
  <c r="J309" i="6"/>
  <c r="J308" i="6"/>
  <c r="J557" i="6"/>
  <c r="J306" i="6"/>
  <c r="J305" i="6"/>
  <c r="J304" i="6"/>
  <c r="J303" i="6"/>
  <c r="J302" i="6"/>
  <c r="J301" i="6"/>
  <c r="J300" i="6"/>
  <c r="J299" i="6"/>
  <c r="J55" i="6"/>
  <c r="J297" i="6"/>
  <c r="J296" i="6"/>
  <c r="J295" i="6"/>
  <c r="J294" i="6"/>
  <c r="J293" i="6"/>
  <c r="J292" i="6"/>
  <c r="J291" i="6"/>
  <c r="J290" i="6"/>
  <c r="J289" i="6"/>
  <c r="J288" i="6"/>
  <c r="J552" i="6"/>
  <c r="J286" i="6"/>
  <c r="J817" i="6"/>
  <c r="J284" i="6"/>
  <c r="J283" i="6"/>
  <c r="J282" i="6"/>
  <c r="J281" i="6"/>
  <c r="J280" i="6"/>
  <c r="J279" i="6"/>
  <c r="J278" i="6"/>
  <c r="J815" i="6"/>
  <c r="J276" i="6"/>
  <c r="J275" i="6"/>
  <c r="J274" i="6"/>
  <c r="J273" i="6"/>
  <c r="J272" i="6"/>
  <c r="J271" i="6"/>
  <c r="J270" i="6"/>
  <c r="J269" i="6"/>
  <c r="J268" i="6"/>
  <c r="J267" i="6"/>
  <c r="J547" i="6"/>
  <c r="J265" i="6"/>
  <c r="J264" i="6"/>
  <c r="J263" i="6"/>
  <c r="J262" i="6"/>
  <c r="J261" i="6"/>
  <c r="J260" i="6"/>
  <c r="J259" i="6"/>
  <c r="J258" i="6"/>
  <c r="J257" i="6"/>
  <c r="J256" i="6"/>
  <c r="J255" i="6"/>
  <c r="J254" i="6"/>
  <c r="J253" i="6"/>
  <c r="J252" i="6"/>
  <c r="J251" i="6"/>
  <c r="J250" i="6"/>
  <c r="J249" i="6"/>
  <c r="J248" i="6"/>
  <c r="J247" i="6"/>
  <c r="J246" i="6"/>
  <c r="J245" i="6"/>
  <c r="J244" i="6"/>
  <c r="J243" i="6"/>
  <c r="J242" i="6"/>
  <c r="J30" i="6"/>
  <c r="J240" i="6"/>
  <c r="J239" i="6"/>
  <c r="J238" i="6"/>
  <c r="J237" i="6"/>
  <c r="J236" i="6"/>
  <c r="J235" i="6"/>
  <c r="J234" i="6"/>
  <c r="J233" i="6"/>
  <c r="J814" i="6"/>
  <c r="J231" i="6"/>
  <c r="J230" i="6"/>
  <c r="J229" i="6"/>
  <c r="J228" i="6"/>
  <c r="J227" i="6"/>
  <c r="J226" i="6"/>
  <c r="J225" i="6"/>
  <c r="J224" i="6"/>
  <c r="J223" i="6"/>
  <c r="J222" i="6"/>
  <c r="J221" i="6"/>
  <c r="J220" i="6"/>
  <c r="J219" i="6"/>
  <c r="J218" i="6"/>
  <c r="J217" i="6"/>
  <c r="J216" i="6"/>
  <c r="J215" i="6"/>
  <c r="J214" i="6"/>
  <c r="J213" i="6"/>
  <c r="J212" i="6"/>
  <c r="J211" i="6"/>
  <c r="J538" i="6"/>
  <c r="J780" i="6"/>
  <c r="J208" i="6"/>
  <c r="J207" i="6"/>
  <c r="J206" i="6"/>
  <c r="J205" i="6"/>
  <c r="J204" i="6"/>
  <c r="J203" i="6"/>
  <c r="J518" i="6"/>
  <c r="J201" i="6"/>
  <c r="J200" i="6"/>
  <c r="J199" i="6"/>
  <c r="J198" i="6"/>
  <c r="J197" i="6"/>
  <c r="J196" i="6"/>
  <c r="J195" i="6"/>
  <c r="J194" i="6"/>
  <c r="J193" i="6"/>
  <c r="J192" i="6"/>
  <c r="J191" i="6"/>
  <c r="J190" i="6"/>
  <c r="J189" i="6"/>
  <c r="J514" i="6"/>
  <c r="J187" i="6"/>
  <c r="J186" i="6"/>
  <c r="J185" i="6"/>
  <c r="J184" i="6"/>
  <c r="J183" i="6"/>
  <c r="J182" i="6"/>
  <c r="J181" i="6"/>
  <c r="J180" i="6"/>
  <c r="J179" i="6"/>
  <c r="J178" i="6"/>
  <c r="J177" i="6"/>
  <c r="J176" i="6"/>
  <c r="J175" i="6"/>
  <c r="J174" i="6"/>
  <c r="J173" i="6"/>
  <c r="J172" i="6"/>
  <c r="J171" i="6"/>
  <c r="J170" i="6"/>
  <c r="J169" i="6"/>
  <c r="J510" i="6"/>
  <c r="J167" i="6"/>
  <c r="J166" i="6"/>
  <c r="J165" i="6"/>
  <c r="J164" i="6"/>
  <c r="J163" i="6"/>
  <c r="J162" i="6"/>
  <c r="J778" i="6"/>
  <c r="J160" i="6"/>
  <c r="J159" i="6"/>
  <c r="J158" i="6"/>
  <c r="J157" i="6"/>
  <c r="J156" i="6"/>
  <c r="J155" i="6"/>
  <c r="J154" i="6"/>
  <c r="J153" i="6"/>
  <c r="J152" i="6"/>
  <c r="J151" i="6"/>
  <c r="J150" i="6"/>
  <c r="J149" i="6"/>
  <c r="J148" i="6"/>
  <c r="J147" i="6"/>
  <c r="J146" i="6"/>
  <c r="J145" i="6"/>
  <c r="J144" i="6"/>
  <c r="J143" i="6"/>
  <c r="J142" i="6"/>
  <c r="J141" i="6"/>
  <c r="J140" i="6"/>
  <c r="J139" i="6"/>
  <c r="J138" i="6"/>
  <c r="J137" i="6"/>
  <c r="J136" i="6"/>
  <c r="J135" i="6"/>
  <c r="J134" i="6"/>
  <c r="J133" i="6"/>
  <c r="J132" i="6"/>
  <c r="J131" i="6"/>
  <c r="J130" i="6"/>
  <c r="J129" i="6"/>
  <c r="J128" i="6"/>
  <c r="J127" i="6"/>
  <c r="J126" i="6"/>
  <c r="J125" i="6"/>
  <c r="J124" i="6"/>
  <c r="J123" i="6"/>
  <c r="J122" i="6"/>
  <c r="J121" i="6"/>
  <c r="J120" i="6"/>
  <c r="J22" i="6"/>
  <c r="J118" i="6"/>
  <c r="J117" i="6"/>
  <c r="J116" i="6"/>
  <c r="J115" i="6"/>
  <c r="J114" i="6"/>
  <c r="J113" i="6"/>
  <c r="J112" i="6"/>
  <c r="J111" i="6"/>
  <c r="J110" i="6"/>
  <c r="J109" i="6"/>
  <c r="J108" i="6"/>
  <c r="J107" i="6"/>
  <c r="J106" i="6"/>
  <c r="J105" i="6"/>
  <c r="J104" i="6"/>
  <c r="J103" i="6"/>
  <c r="J102" i="6"/>
  <c r="J101" i="6"/>
  <c r="J488" i="6"/>
  <c r="J99" i="6"/>
  <c r="J98" i="6"/>
  <c r="J97" i="6"/>
  <c r="J96" i="6"/>
  <c r="J95" i="6"/>
  <c r="J94" i="6"/>
  <c r="J93" i="6"/>
  <c r="J92" i="6"/>
  <c r="J91" i="6"/>
  <c r="J90" i="6"/>
  <c r="J89" i="6"/>
  <c r="J88" i="6"/>
  <c r="J87" i="6"/>
  <c r="J470" i="6"/>
  <c r="J85" i="6"/>
  <c r="J84" i="6"/>
  <c r="J83" i="6"/>
  <c r="J469" i="6"/>
  <c r="J81" i="6"/>
  <c r="J80" i="6"/>
  <c r="J79" i="6"/>
  <c r="J78" i="6"/>
  <c r="J77" i="6"/>
  <c r="J76" i="6"/>
  <c r="J75" i="6"/>
  <c r="J74" i="6"/>
  <c r="J73" i="6"/>
  <c r="J72" i="6"/>
  <c r="J71" i="6"/>
  <c r="J70" i="6"/>
  <c r="J69" i="6"/>
  <c r="J68" i="6"/>
  <c r="J67" i="6"/>
  <c r="J66" i="6"/>
  <c r="J65" i="6"/>
  <c r="J64" i="6"/>
  <c r="J63" i="6"/>
  <c r="J62" i="6"/>
  <c r="J61" i="6"/>
  <c r="J60" i="6"/>
  <c r="J59" i="6"/>
  <c r="J58" i="6"/>
  <c r="J57" i="6"/>
  <c r="J56" i="6"/>
  <c r="J457" i="6"/>
  <c r="J54" i="6"/>
  <c r="J53" i="6"/>
  <c r="J52" i="6"/>
  <c r="J51" i="6"/>
  <c r="J50" i="6"/>
  <c r="J49" i="6"/>
  <c r="J48" i="6"/>
  <c r="J47" i="6"/>
  <c r="J46" i="6"/>
  <c r="J45" i="6"/>
  <c r="J44" i="6"/>
  <c r="J43" i="6"/>
  <c r="J42" i="6"/>
  <c r="J41" i="6"/>
  <c r="J40" i="6"/>
  <c r="J39" i="6"/>
  <c r="J38" i="6"/>
  <c r="J37" i="6"/>
  <c r="J36" i="6"/>
  <c r="J35" i="6"/>
  <c r="J34" i="6"/>
  <c r="J33" i="6"/>
  <c r="J32" i="6"/>
  <c r="J31" i="6"/>
  <c r="J771" i="6"/>
  <c r="J29" i="6"/>
  <c r="J28" i="6"/>
  <c r="J27" i="6"/>
  <c r="J26" i="6"/>
  <c r="J25" i="6"/>
  <c r="J24" i="6"/>
  <c r="J23" i="6"/>
  <c r="J761" i="6"/>
  <c r="J21" i="6"/>
  <c r="J20" i="6"/>
  <c r="J19" i="6"/>
  <c r="J18" i="6"/>
  <c r="J17" i="6"/>
  <c r="J16" i="6"/>
  <c r="J15" i="6"/>
  <c r="J14" i="6"/>
  <c r="J13" i="6"/>
  <c r="J12" i="6"/>
  <c r="J11" i="6"/>
  <c r="J10" i="6"/>
  <c r="J9" i="6"/>
  <c r="J8" i="6"/>
  <c r="J7" i="6"/>
  <c r="J6" i="6"/>
  <c r="J5" i="6"/>
  <c r="J4" i="6"/>
  <c r="J3" i="6"/>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2" i="2"/>
  <c r="O3" i="2"/>
  <c r="O2" i="2"/>
  <c r="O1" i="2"/>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 i="1"/>
</calcChain>
</file>

<file path=xl/sharedStrings.xml><?xml version="1.0" encoding="utf-8"?>
<sst xmlns="http://schemas.openxmlformats.org/spreadsheetml/2006/main" count="30133" uniqueCount="55">
  <si>
    <t>age</t>
  </si>
  <si>
    <t>gender</t>
  </si>
  <si>
    <t>time_spent</t>
  </si>
  <si>
    <t>platform</t>
  </si>
  <si>
    <t>interests</t>
  </si>
  <si>
    <t>location</t>
  </si>
  <si>
    <t>demographics</t>
  </si>
  <si>
    <t>profession</t>
  </si>
  <si>
    <t>income</t>
  </si>
  <si>
    <t>indebt</t>
  </si>
  <si>
    <t>isHomeOwner</t>
  </si>
  <si>
    <t>Owns_Car</t>
  </si>
  <si>
    <t>male</t>
  </si>
  <si>
    <t>Instagram</t>
  </si>
  <si>
    <t>Sports</t>
  </si>
  <si>
    <t>United Kingdom</t>
  </si>
  <si>
    <t>Urban</t>
  </si>
  <si>
    <t>Software Engineer</t>
  </si>
  <si>
    <t>female</t>
  </si>
  <si>
    <t>Facebook</t>
  </si>
  <si>
    <t>Travel</t>
  </si>
  <si>
    <t>Student</t>
  </si>
  <si>
    <t>Australia</t>
  </si>
  <si>
    <t>Sub_Urban</t>
  </si>
  <si>
    <t>Marketer Manager</t>
  </si>
  <si>
    <t>non-binary</t>
  </si>
  <si>
    <t>Lifestlye</t>
  </si>
  <si>
    <t>United States</t>
  </si>
  <si>
    <t>YouTube</t>
  </si>
  <si>
    <t>Rural</t>
  </si>
  <si>
    <t>Average</t>
  </si>
  <si>
    <t>Sum</t>
  </si>
  <si>
    <t>Count</t>
  </si>
  <si>
    <t>Income_range</t>
  </si>
  <si>
    <t>Row Labels</t>
  </si>
  <si>
    <t>Grand Total</t>
  </si>
  <si>
    <t>Column1</t>
  </si>
  <si>
    <t>Column2</t>
  </si>
  <si>
    <t>Column3</t>
  </si>
  <si>
    <t>Column4</t>
  </si>
  <si>
    <t>Column5</t>
  </si>
  <si>
    <t>Column6</t>
  </si>
  <si>
    <t>Column7</t>
  </si>
  <si>
    <t>Column8</t>
  </si>
  <si>
    <t>Column9</t>
  </si>
  <si>
    <t>Column10</t>
  </si>
  <si>
    <t>Column11</t>
  </si>
  <si>
    <t>Column12</t>
  </si>
  <si>
    <t>Column13</t>
  </si>
  <si>
    <t>userid</t>
  </si>
  <si>
    <t>user id</t>
  </si>
  <si>
    <t>Vlookup</t>
  </si>
  <si>
    <t>Hlookup</t>
  </si>
  <si>
    <t>Match&amp;Index</t>
  </si>
  <si>
    <t>Sum of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</si>
</sst>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409]#,##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0" applyNumberFormat="1"/>
    <xf numFmtId="165" fontId="0" fillId="0" borderId="0" xfId="0" applyNumberFormat="1"/>
    <xf numFmtId="0" fontId="0" fillId="0" borderId="0" xfId="0" applyNumberFormat="1"/>
    <xf numFmtId="0" fontId="16" fillId="0" borderId="0" xfId="0" applyFont="1"/>
    <xf numFmtId="0" fontId="0" fillId="0" borderId="0" xfId="0" pivotButton="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fill>
        <patternFill>
          <bgColor rgb="FF7030A0"/>
        </patternFill>
      </fill>
    </dxf>
    <dxf>
      <fill>
        <patternFill>
          <bgColor theme="8" tint="-0.24994659260841701"/>
        </patternFill>
      </fill>
    </dxf>
    <dxf>
      <fill>
        <patternFill>
          <bgColor theme="8" tint="0.79998168889431442"/>
        </patternFill>
      </fill>
    </dxf>
    <dxf>
      <fill>
        <patternFill>
          <bgColor theme="6" tint="-0.24994659260841701"/>
        </patternFill>
      </fill>
    </dxf>
    <dxf>
      <fill>
        <patternFill>
          <bgColor theme="7" tint="-0.24994659260841701"/>
        </patternFill>
      </fill>
    </dxf>
    <dxf>
      <fill>
        <patternFill>
          <bgColor theme="7" tint="0.79998168889431442"/>
        </patternFill>
      </fill>
    </dxf>
    <dxf>
      <fill>
        <patternFill>
          <bgColor theme="9" tint="0.39994506668294322"/>
        </patternFill>
      </fill>
    </dxf>
    <dxf>
      <fill>
        <patternFill>
          <bgColor rgb="FF92D050"/>
        </patternFill>
      </fill>
    </dxf>
    <dxf>
      <fill>
        <patternFill>
          <bgColor theme="7" tint="0.79998168889431442"/>
        </patternFill>
      </fill>
    </dxf>
    <dxf>
      <fill>
        <patternFill>
          <bgColor theme="8" tint="-0.24994659260841701"/>
        </patternFill>
      </fill>
    </dxf>
    <dxf>
      <fill>
        <patternFill>
          <bgColor theme="9" tint="0.39994506668294322"/>
        </patternFill>
      </fill>
    </dxf>
    <dxf>
      <fill>
        <patternFill>
          <bgColor rgb="FF92D050"/>
        </patternFill>
      </fill>
    </dxf>
    <dxf>
      <fill>
        <patternFill>
          <bgColor theme="7" tint="0.79998168889431442"/>
        </patternFill>
      </fill>
    </dxf>
    <dxf>
      <fill>
        <patternFill>
          <bgColor theme="8" tint="-0.24994659260841701"/>
        </patternFill>
      </fill>
    </dxf>
    <dxf>
      <fill>
        <patternFill>
          <bgColor theme="9" tint="0.39994506668294322"/>
        </patternFill>
      </fill>
    </dxf>
    <dxf>
      <numFmt numFmtId="0" formatCode="General"/>
    </dxf>
    <dxf>
      <numFmt numFmtId="0" formatCode="General"/>
    </dxf>
    <dxf>
      <numFmt numFmtId="164" formatCode="[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8</xdr:col>
      <xdr:colOff>571500</xdr:colOff>
      <xdr:row>81</xdr:row>
      <xdr:rowOff>99060</xdr:rowOff>
    </xdr:from>
    <xdr:to>
      <xdr:col>11</xdr:col>
      <xdr:colOff>114300</xdr:colOff>
      <xdr:row>277</xdr:row>
      <xdr:rowOff>0</xdr:rowOff>
    </xdr:to>
    <mc:AlternateContent xmlns:mc="http://schemas.openxmlformats.org/markup-compatibility/2006">
      <mc:Choice xmlns:sle15="http://schemas.microsoft.com/office/drawing/2012/slicer" Requires="sle15">
        <xdr:graphicFrame macro="">
          <xdr:nvGraphicFramePr>
            <xdr:cNvPr id="4" name="Column4">
              <a:extLst>
                <a:ext uri="{FF2B5EF4-FFF2-40B4-BE49-F238E27FC236}">
                  <a16:creationId xmlns:a16="http://schemas.microsoft.com/office/drawing/2014/main" id="{7F59757E-1AC9-A1CA-1160-DB44FC819023}"/>
                </a:ext>
              </a:extLst>
            </xdr:cNvPr>
            <xdr:cNvGraphicFramePr/>
          </xdr:nvGraphicFramePr>
          <xdr:xfrm>
            <a:off x="0" y="0"/>
            <a:ext cx="0" cy="0"/>
          </xdr:xfrm>
          <a:graphic>
            <a:graphicData uri="http://schemas.microsoft.com/office/drawing/2010/slicer">
              <sle:slicer xmlns:sle="http://schemas.microsoft.com/office/drawing/2010/slicer" name="Column4"/>
            </a:graphicData>
          </a:graphic>
        </xdr:graphicFrame>
      </mc:Choice>
      <mc:Fallback>
        <xdr:sp macro="" textlink="">
          <xdr:nvSpPr>
            <xdr:cNvPr id="0" name=""/>
            <xdr:cNvSpPr>
              <a:spLocks noTextEdit="1"/>
            </xdr:cNvSpPr>
          </xdr:nvSpPr>
          <xdr:spPr>
            <a:xfrm>
              <a:off x="6301740" y="1379220"/>
              <a:ext cx="1828800" cy="24612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 refreshedDate="45538.995217592594" createdVersion="8" refreshedVersion="8" minRefreshableVersion="3" recordCount="1000" xr:uid="{CFA9C45F-61D3-439D-B6F2-8E2F32E14DA0}">
  <cacheSource type="worksheet">
    <worksheetSource ref="A1:M1001" sheet="Analysis and playing"/>
  </cacheSource>
  <cacheFields count="13">
    <cacheField name="age" numFmtId="0">
      <sharedItems containsSemiMixedTypes="0" containsString="0" containsNumber="1" containsInteger="1" minValue="18" maxValue="64"/>
    </cacheField>
    <cacheField name="gender" numFmtId="0">
      <sharedItems count="3">
        <s v="male"/>
        <s v="female"/>
        <s v="non-binary"/>
      </sharedItems>
    </cacheField>
    <cacheField name="time_spent" numFmtId="164">
      <sharedItems containsSemiMixedTypes="0" containsNonDate="0" containsDate="1" containsString="0" minDate="1899-12-31T00:00:00" maxDate="1900-01-09T00:00:00"/>
    </cacheField>
    <cacheField name="platform" numFmtId="0">
      <sharedItems count="3">
        <s v="Instagram"/>
        <s v="Facebook"/>
        <s v="YouTube"/>
      </sharedItems>
    </cacheField>
    <cacheField name="interests" numFmtId="0">
      <sharedItems/>
    </cacheField>
    <cacheField name="location" numFmtId="0">
      <sharedItems/>
    </cacheField>
    <cacheField name="demographics" numFmtId="0">
      <sharedItems/>
    </cacheField>
    <cacheField name="userid" numFmtId="0">
      <sharedItems containsSemiMixedTypes="0" containsString="0" containsNumber="1" containsInteger="1" minValue="1" maxValue="1000"/>
    </cacheField>
    <cacheField name="profession" numFmtId="0">
      <sharedItems count="3">
        <s v="Software Engineer"/>
        <s v="Student"/>
        <s v="Marketer Manager"/>
      </sharedItems>
    </cacheField>
    <cacheField name="income" numFmtId="0">
      <sharedItems containsSemiMixedTypes="0" containsString="0" containsNumber="1" containsInteger="1" minValue="10012" maxValue="19980"/>
    </cacheField>
    <cacheField name="indebt" numFmtId="0">
      <sharedItems/>
    </cacheField>
    <cacheField name="isHomeOwner" numFmtId="0">
      <sharedItems/>
    </cacheField>
    <cacheField name="Owns_Car"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56"/>
    <x v="0"/>
    <d v="1900-01-02T00:00:00"/>
    <x v="0"/>
    <s v="Sports"/>
    <s v="United Kingdom"/>
    <s v="Urban"/>
    <n v="1"/>
    <x v="0"/>
    <n v="19774"/>
    <b v="1"/>
    <b v="0"/>
    <b v="0"/>
  </r>
  <r>
    <n v="46"/>
    <x v="1"/>
    <d v="1900-01-01T00:00:00"/>
    <x v="1"/>
    <s v="Travel"/>
    <s v="United Kingdom"/>
    <s v="Urban"/>
    <n v="2"/>
    <x v="1"/>
    <n v="10564"/>
    <b v="1"/>
    <b v="1"/>
    <b v="1"/>
  </r>
  <r>
    <n v="32"/>
    <x v="0"/>
    <d v="1900-01-07T00:00:00"/>
    <x v="0"/>
    <s v="Sports"/>
    <s v="Australia"/>
    <s v="Sub_Urban"/>
    <n v="3"/>
    <x v="2"/>
    <n v="13258"/>
    <b v="0"/>
    <b v="0"/>
    <b v="0"/>
  </r>
  <r>
    <n v="60"/>
    <x v="2"/>
    <d v="1900-01-04T00:00:00"/>
    <x v="0"/>
    <s v="Travel"/>
    <s v="United Kingdom"/>
    <s v="Urban"/>
    <n v="4"/>
    <x v="1"/>
    <n v="12500"/>
    <b v="0"/>
    <b v="1"/>
    <b v="0"/>
  </r>
  <r>
    <n v="25"/>
    <x v="0"/>
    <d v="1899-12-31T00:00:00"/>
    <x v="0"/>
    <s v="Lifestlye"/>
    <s v="Australia"/>
    <s v="Urban"/>
    <n v="5"/>
    <x v="0"/>
    <n v="14566"/>
    <b v="0"/>
    <b v="1"/>
    <b v="1"/>
  </r>
  <r>
    <n v="38"/>
    <x v="0"/>
    <d v="1900-01-02T00:00:00"/>
    <x v="1"/>
    <s v="Travel"/>
    <s v="United States"/>
    <s v="Urban"/>
    <n v="6"/>
    <x v="2"/>
    <n v="19179"/>
    <b v="1"/>
    <b v="1"/>
    <b v="1"/>
  </r>
  <r>
    <n v="56"/>
    <x v="0"/>
    <d v="1900-01-07T00:00:00"/>
    <x v="2"/>
    <s v="Sports"/>
    <s v="United States"/>
    <s v="Urban"/>
    <n v="7"/>
    <x v="1"/>
    <n v="16881"/>
    <b v="1"/>
    <b v="1"/>
    <b v="1"/>
  </r>
  <r>
    <n v="36"/>
    <x v="0"/>
    <d v="1900-01-03T00:00:00"/>
    <x v="0"/>
    <s v="Sports"/>
    <s v="Australia"/>
    <s v="Urban"/>
    <n v="8"/>
    <x v="2"/>
    <n v="13636"/>
    <b v="1"/>
    <b v="0"/>
    <b v="1"/>
  </r>
  <r>
    <n v="40"/>
    <x v="2"/>
    <d v="1900-01-06T00:00:00"/>
    <x v="2"/>
    <s v="Lifestlye"/>
    <s v="Australia"/>
    <s v="Sub_Urban"/>
    <n v="9"/>
    <x v="2"/>
    <n v="16030"/>
    <b v="0"/>
    <b v="0"/>
    <b v="1"/>
  </r>
  <r>
    <n v="28"/>
    <x v="2"/>
    <d v="1900-01-01T00:00:00"/>
    <x v="0"/>
    <s v="Sports"/>
    <s v="Australia"/>
    <s v="Sub_Urban"/>
    <n v="10"/>
    <x v="2"/>
    <n v="10223"/>
    <b v="1"/>
    <b v="0"/>
    <b v="1"/>
  </r>
  <r>
    <n v="28"/>
    <x v="1"/>
    <d v="1900-01-06T00:00:00"/>
    <x v="2"/>
    <s v="Lifestlye"/>
    <s v="United Kingdom"/>
    <s v="Urban"/>
    <n v="11"/>
    <x v="1"/>
    <n v="16297"/>
    <b v="1"/>
    <b v="1"/>
    <b v="0"/>
  </r>
  <r>
    <n v="41"/>
    <x v="2"/>
    <d v="1900-01-04T00:00:00"/>
    <x v="1"/>
    <s v="Sports"/>
    <s v="United States"/>
    <s v="Sub_Urban"/>
    <n v="12"/>
    <x v="2"/>
    <n v="10350"/>
    <b v="0"/>
    <b v="0"/>
    <b v="0"/>
  </r>
  <r>
    <n v="53"/>
    <x v="2"/>
    <d v="1900-01-04T00:00:00"/>
    <x v="1"/>
    <s v="Sports"/>
    <s v="Australia"/>
    <s v="Rural"/>
    <n v="13"/>
    <x v="1"/>
    <n v="17314"/>
    <b v="0"/>
    <b v="1"/>
    <b v="1"/>
  </r>
  <r>
    <n v="57"/>
    <x v="1"/>
    <d v="1900-01-05T00:00:00"/>
    <x v="0"/>
    <s v="Lifestlye"/>
    <s v="United Kingdom"/>
    <s v="Urban"/>
    <n v="14"/>
    <x v="0"/>
    <n v="11928"/>
    <b v="0"/>
    <b v="1"/>
    <b v="0"/>
  </r>
  <r>
    <n v="41"/>
    <x v="2"/>
    <d v="1900-01-08T00:00:00"/>
    <x v="2"/>
    <s v="Travel"/>
    <s v="United States"/>
    <s v="Rural"/>
    <n v="15"/>
    <x v="1"/>
    <n v="17743"/>
    <b v="1"/>
    <b v="1"/>
    <b v="0"/>
  </r>
  <r>
    <n v="20"/>
    <x v="0"/>
    <d v="1900-01-05T00:00:00"/>
    <x v="1"/>
    <s v="Sports"/>
    <s v="United Kingdom"/>
    <s v="Sub_Urban"/>
    <n v="16"/>
    <x v="0"/>
    <n v="18540"/>
    <b v="1"/>
    <b v="1"/>
    <b v="0"/>
  </r>
  <r>
    <n v="39"/>
    <x v="0"/>
    <d v="1900-01-07T00:00:00"/>
    <x v="0"/>
    <s v="Travel"/>
    <s v="United States"/>
    <s v="Sub_Urban"/>
    <n v="17"/>
    <x v="1"/>
    <n v="14732"/>
    <b v="1"/>
    <b v="1"/>
    <b v="0"/>
  </r>
  <r>
    <n v="19"/>
    <x v="1"/>
    <d v="1900-01-06T00:00:00"/>
    <x v="0"/>
    <s v="Sports"/>
    <s v="United Kingdom"/>
    <s v="Rural"/>
    <n v="18"/>
    <x v="2"/>
    <n v="11017"/>
    <b v="0"/>
    <b v="1"/>
    <b v="1"/>
  </r>
  <r>
    <n v="41"/>
    <x v="1"/>
    <d v="1900-01-08T00:00:00"/>
    <x v="1"/>
    <s v="Sports"/>
    <s v="United States"/>
    <s v="Sub_Urban"/>
    <n v="19"/>
    <x v="1"/>
    <n v="12226"/>
    <b v="0"/>
    <b v="0"/>
    <b v="0"/>
  </r>
  <r>
    <n v="61"/>
    <x v="1"/>
    <d v="1900-01-03T00:00:00"/>
    <x v="1"/>
    <s v="Sports"/>
    <s v="United States"/>
    <s v="Urban"/>
    <n v="20"/>
    <x v="2"/>
    <n v="17206"/>
    <b v="0"/>
    <b v="0"/>
    <b v="0"/>
  </r>
  <r>
    <n v="47"/>
    <x v="0"/>
    <d v="1900-01-01T00:00:00"/>
    <x v="0"/>
    <s v="Sports"/>
    <s v="United Kingdom"/>
    <s v="Rural"/>
    <n v="21"/>
    <x v="0"/>
    <n v="17170"/>
    <b v="0"/>
    <b v="0"/>
    <b v="1"/>
  </r>
  <r>
    <n v="55"/>
    <x v="2"/>
    <d v="1900-01-06T00:00:00"/>
    <x v="2"/>
    <s v="Travel"/>
    <s v="Australia"/>
    <s v="Urban"/>
    <n v="22"/>
    <x v="1"/>
    <n v="16207"/>
    <b v="1"/>
    <b v="0"/>
    <b v="1"/>
  </r>
  <r>
    <n v="19"/>
    <x v="0"/>
    <d v="1900-01-05T00:00:00"/>
    <x v="2"/>
    <s v="Travel"/>
    <s v="United States"/>
    <s v="Rural"/>
    <n v="23"/>
    <x v="2"/>
    <n v="12419"/>
    <b v="1"/>
    <b v="1"/>
    <b v="1"/>
  </r>
  <r>
    <n v="38"/>
    <x v="1"/>
    <d v="1899-12-31T00:00:00"/>
    <x v="2"/>
    <s v="Sports"/>
    <s v="Australia"/>
    <s v="Sub_Urban"/>
    <n v="24"/>
    <x v="0"/>
    <n v="16240"/>
    <b v="1"/>
    <b v="1"/>
    <b v="1"/>
  </r>
  <r>
    <n v="50"/>
    <x v="2"/>
    <d v="1900-01-08T00:00:00"/>
    <x v="0"/>
    <s v="Sports"/>
    <s v="United Kingdom"/>
    <s v="Rural"/>
    <n v="25"/>
    <x v="0"/>
    <n v="11893"/>
    <b v="1"/>
    <b v="0"/>
    <b v="0"/>
  </r>
  <r>
    <n v="29"/>
    <x v="2"/>
    <d v="1900-01-08T00:00:00"/>
    <x v="1"/>
    <s v="Travel"/>
    <s v="Australia"/>
    <s v="Rural"/>
    <n v="26"/>
    <x v="1"/>
    <n v="15322"/>
    <b v="1"/>
    <b v="0"/>
    <b v="1"/>
  </r>
  <r>
    <n v="39"/>
    <x v="0"/>
    <d v="1900-01-01T00:00:00"/>
    <x v="0"/>
    <s v="Lifestlye"/>
    <s v="Australia"/>
    <s v="Urban"/>
    <n v="27"/>
    <x v="0"/>
    <n v="17718"/>
    <b v="1"/>
    <b v="0"/>
    <b v="0"/>
  </r>
  <r>
    <n v="61"/>
    <x v="1"/>
    <d v="1900-01-02T00:00:00"/>
    <x v="1"/>
    <s v="Lifestlye"/>
    <s v="Australia"/>
    <s v="Sub_Urban"/>
    <n v="28"/>
    <x v="2"/>
    <n v="16878"/>
    <b v="1"/>
    <b v="0"/>
    <b v="0"/>
  </r>
  <r>
    <n v="42"/>
    <x v="0"/>
    <d v="1900-01-04T00:00:00"/>
    <x v="2"/>
    <s v="Travel"/>
    <s v="Australia"/>
    <s v="Urban"/>
    <n v="29"/>
    <x v="0"/>
    <n v="11125"/>
    <b v="1"/>
    <b v="0"/>
    <b v="1"/>
  </r>
  <r>
    <n v="44"/>
    <x v="2"/>
    <d v="1900-01-04T00:00:00"/>
    <x v="2"/>
    <s v="Sports"/>
    <s v="Australia"/>
    <s v="Sub_Urban"/>
    <n v="30"/>
    <x v="0"/>
    <n v="13117"/>
    <b v="0"/>
    <b v="0"/>
    <b v="1"/>
  </r>
  <r>
    <n v="59"/>
    <x v="0"/>
    <d v="1899-12-31T00:00:00"/>
    <x v="1"/>
    <s v="Sports"/>
    <s v="United States"/>
    <s v="Urban"/>
    <n v="31"/>
    <x v="2"/>
    <n v="14161"/>
    <b v="0"/>
    <b v="0"/>
    <b v="1"/>
  </r>
  <r>
    <n v="45"/>
    <x v="0"/>
    <d v="1900-01-07T00:00:00"/>
    <x v="1"/>
    <s v="Lifestlye"/>
    <s v="United States"/>
    <s v="Rural"/>
    <n v="32"/>
    <x v="0"/>
    <n v="14042"/>
    <b v="1"/>
    <b v="0"/>
    <b v="1"/>
  </r>
  <r>
    <n v="33"/>
    <x v="1"/>
    <d v="1900-01-07T00:00:00"/>
    <x v="0"/>
    <s v="Lifestlye"/>
    <s v="United States"/>
    <s v="Urban"/>
    <n v="33"/>
    <x v="0"/>
    <n v="14433"/>
    <b v="0"/>
    <b v="1"/>
    <b v="1"/>
  </r>
  <r>
    <n v="32"/>
    <x v="1"/>
    <d v="1900-01-03T00:00:00"/>
    <x v="2"/>
    <s v="Travel"/>
    <s v="United Kingdom"/>
    <s v="Sub_Urban"/>
    <n v="34"/>
    <x v="0"/>
    <n v="18638"/>
    <b v="1"/>
    <b v="1"/>
    <b v="1"/>
  </r>
  <r>
    <n v="64"/>
    <x v="2"/>
    <d v="1900-01-06T00:00:00"/>
    <x v="0"/>
    <s v="Lifestlye"/>
    <s v="Australia"/>
    <s v="Sub_Urban"/>
    <n v="35"/>
    <x v="0"/>
    <n v="12658"/>
    <b v="1"/>
    <b v="1"/>
    <b v="0"/>
  </r>
  <r>
    <n v="61"/>
    <x v="0"/>
    <d v="1900-01-02T00:00:00"/>
    <x v="0"/>
    <s v="Travel"/>
    <s v="United States"/>
    <s v="Rural"/>
    <n v="36"/>
    <x v="2"/>
    <n v="13483"/>
    <b v="0"/>
    <b v="1"/>
    <b v="0"/>
  </r>
  <r>
    <n v="20"/>
    <x v="0"/>
    <d v="1900-01-05T00:00:00"/>
    <x v="0"/>
    <s v="Lifestlye"/>
    <s v="United Kingdom"/>
    <s v="Sub_Urban"/>
    <n v="37"/>
    <x v="0"/>
    <n v="12944"/>
    <b v="1"/>
    <b v="0"/>
    <b v="0"/>
  </r>
  <r>
    <n v="54"/>
    <x v="0"/>
    <d v="1900-01-08T00:00:00"/>
    <x v="2"/>
    <s v="Lifestlye"/>
    <s v="United States"/>
    <s v="Urban"/>
    <n v="38"/>
    <x v="2"/>
    <n v="17210"/>
    <b v="1"/>
    <b v="1"/>
    <b v="0"/>
  </r>
  <r>
    <n v="24"/>
    <x v="2"/>
    <d v="1899-12-31T00:00:00"/>
    <x v="0"/>
    <s v="Lifestlye"/>
    <s v="United States"/>
    <s v="Rural"/>
    <n v="39"/>
    <x v="0"/>
    <n v="17653"/>
    <b v="1"/>
    <b v="0"/>
    <b v="1"/>
  </r>
  <r>
    <n v="38"/>
    <x v="2"/>
    <d v="1900-01-04T00:00:00"/>
    <x v="0"/>
    <s v="Sports"/>
    <s v="Australia"/>
    <s v="Sub_Urban"/>
    <n v="40"/>
    <x v="0"/>
    <n v="18787"/>
    <b v="1"/>
    <b v="1"/>
    <b v="1"/>
  </r>
  <r>
    <n v="26"/>
    <x v="1"/>
    <d v="1900-01-03T00:00:00"/>
    <x v="0"/>
    <s v="Sports"/>
    <s v="United Kingdom"/>
    <s v="Sub_Urban"/>
    <n v="41"/>
    <x v="0"/>
    <n v="11986"/>
    <b v="1"/>
    <b v="0"/>
    <b v="0"/>
  </r>
  <r>
    <n v="56"/>
    <x v="1"/>
    <d v="1900-01-07T00:00:00"/>
    <x v="0"/>
    <s v="Sports"/>
    <s v="Australia"/>
    <s v="Urban"/>
    <n v="42"/>
    <x v="0"/>
    <n v="11074"/>
    <b v="1"/>
    <b v="0"/>
    <b v="0"/>
  </r>
  <r>
    <n v="35"/>
    <x v="1"/>
    <d v="1899-12-31T00:00:00"/>
    <x v="0"/>
    <s v="Lifestlye"/>
    <s v="Australia"/>
    <s v="Urban"/>
    <n v="43"/>
    <x v="2"/>
    <n v="14305"/>
    <b v="1"/>
    <b v="1"/>
    <b v="0"/>
  </r>
  <r>
    <n v="21"/>
    <x v="0"/>
    <d v="1900-01-08T00:00:00"/>
    <x v="0"/>
    <s v="Travel"/>
    <s v="United States"/>
    <s v="Rural"/>
    <n v="44"/>
    <x v="2"/>
    <n v="13007"/>
    <b v="0"/>
    <b v="1"/>
    <b v="1"/>
  </r>
  <r>
    <n v="42"/>
    <x v="0"/>
    <d v="1900-01-05T00:00:00"/>
    <x v="2"/>
    <s v="Travel"/>
    <s v="Australia"/>
    <s v="Sub_Urban"/>
    <n v="45"/>
    <x v="2"/>
    <n v="10969"/>
    <b v="0"/>
    <b v="0"/>
    <b v="1"/>
  </r>
  <r>
    <n v="31"/>
    <x v="1"/>
    <d v="1900-01-03T00:00:00"/>
    <x v="0"/>
    <s v="Travel"/>
    <s v="United Kingdom"/>
    <s v="Urban"/>
    <n v="46"/>
    <x v="1"/>
    <n v="18772"/>
    <b v="1"/>
    <b v="0"/>
    <b v="1"/>
  </r>
  <r>
    <n v="26"/>
    <x v="0"/>
    <d v="1900-01-08T00:00:00"/>
    <x v="1"/>
    <s v="Travel"/>
    <s v="Australia"/>
    <s v="Rural"/>
    <n v="47"/>
    <x v="0"/>
    <n v="12824"/>
    <b v="0"/>
    <b v="0"/>
    <b v="0"/>
  </r>
  <r>
    <n v="43"/>
    <x v="1"/>
    <d v="1900-01-04T00:00:00"/>
    <x v="0"/>
    <s v="Sports"/>
    <s v="Australia"/>
    <s v="Sub_Urban"/>
    <n v="48"/>
    <x v="0"/>
    <n v="11211"/>
    <b v="1"/>
    <b v="1"/>
    <b v="0"/>
  </r>
  <r>
    <n v="19"/>
    <x v="2"/>
    <d v="1900-01-04T00:00:00"/>
    <x v="0"/>
    <s v="Sports"/>
    <s v="Australia"/>
    <s v="Sub_Urban"/>
    <n v="49"/>
    <x v="2"/>
    <n v="10229"/>
    <b v="1"/>
    <b v="1"/>
    <b v="1"/>
  </r>
  <r>
    <n v="37"/>
    <x v="1"/>
    <d v="1900-01-04T00:00:00"/>
    <x v="2"/>
    <s v="Lifestlye"/>
    <s v="United States"/>
    <s v="Rural"/>
    <n v="50"/>
    <x v="1"/>
    <n v="14284"/>
    <b v="1"/>
    <b v="0"/>
    <b v="1"/>
  </r>
  <r>
    <n v="45"/>
    <x v="2"/>
    <d v="1899-12-31T00:00:00"/>
    <x v="2"/>
    <s v="Lifestlye"/>
    <s v="United Kingdom"/>
    <s v="Rural"/>
    <n v="51"/>
    <x v="0"/>
    <n v="13185"/>
    <b v="1"/>
    <b v="1"/>
    <b v="0"/>
  </r>
  <r>
    <n v="64"/>
    <x v="0"/>
    <d v="1899-12-31T00:00:00"/>
    <x v="1"/>
    <s v="Travel"/>
    <s v="United States"/>
    <s v="Urban"/>
    <n v="52"/>
    <x v="2"/>
    <n v="10501"/>
    <b v="0"/>
    <b v="0"/>
    <b v="0"/>
  </r>
  <r>
    <n v="24"/>
    <x v="1"/>
    <d v="1900-01-07T00:00:00"/>
    <x v="1"/>
    <s v="Sports"/>
    <s v="United States"/>
    <s v="Sub_Urban"/>
    <n v="53"/>
    <x v="0"/>
    <n v="10048"/>
    <b v="0"/>
    <b v="1"/>
    <b v="1"/>
  </r>
  <r>
    <n v="61"/>
    <x v="0"/>
    <d v="1900-01-07T00:00:00"/>
    <x v="2"/>
    <s v="Travel"/>
    <s v="United States"/>
    <s v="Sub_Urban"/>
    <n v="54"/>
    <x v="0"/>
    <n v="13566"/>
    <b v="0"/>
    <b v="1"/>
    <b v="0"/>
  </r>
  <r>
    <n v="25"/>
    <x v="2"/>
    <d v="1900-01-05T00:00:00"/>
    <x v="2"/>
    <s v="Lifestlye"/>
    <s v="United States"/>
    <s v="Sub_Urban"/>
    <n v="55"/>
    <x v="2"/>
    <n v="13055"/>
    <b v="0"/>
    <b v="1"/>
    <b v="1"/>
  </r>
  <r>
    <n v="64"/>
    <x v="2"/>
    <d v="1900-01-03T00:00:00"/>
    <x v="0"/>
    <s v="Lifestlye"/>
    <s v="United States"/>
    <s v="Rural"/>
    <n v="56"/>
    <x v="2"/>
    <n v="18880"/>
    <b v="1"/>
    <b v="1"/>
    <b v="1"/>
  </r>
  <r>
    <n v="52"/>
    <x v="2"/>
    <d v="1900-01-01T00:00:00"/>
    <x v="2"/>
    <s v="Travel"/>
    <s v="United Kingdom"/>
    <s v="Urban"/>
    <n v="57"/>
    <x v="0"/>
    <n v="10386"/>
    <b v="0"/>
    <b v="1"/>
    <b v="0"/>
  </r>
  <r>
    <n v="31"/>
    <x v="0"/>
    <d v="1900-01-01T00:00:00"/>
    <x v="1"/>
    <s v="Lifestlye"/>
    <s v="Australia"/>
    <s v="Sub_Urban"/>
    <n v="58"/>
    <x v="0"/>
    <n v="10969"/>
    <b v="1"/>
    <b v="0"/>
    <b v="0"/>
  </r>
  <r>
    <n v="34"/>
    <x v="0"/>
    <d v="1900-01-08T00:00:00"/>
    <x v="0"/>
    <s v="Travel"/>
    <s v="United States"/>
    <s v="Rural"/>
    <n v="59"/>
    <x v="2"/>
    <n v="19197"/>
    <b v="1"/>
    <b v="0"/>
    <b v="0"/>
  </r>
  <r>
    <n v="53"/>
    <x v="0"/>
    <d v="1900-01-04T00:00:00"/>
    <x v="1"/>
    <s v="Sports"/>
    <s v="United States"/>
    <s v="Sub_Urban"/>
    <n v="60"/>
    <x v="0"/>
    <n v="15820"/>
    <b v="0"/>
    <b v="1"/>
    <b v="1"/>
  </r>
  <r>
    <n v="57"/>
    <x v="0"/>
    <d v="1900-01-03T00:00:00"/>
    <x v="0"/>
    <s v="Travel"/>
    <s v="United Kingdom"/>
    <s v="Urban"/>
    <n v="61"/>
    <x v="0"/>
    <n v="13052"/>
    <b v="1"/>
    <b v="0"/>
    <b v="0"/>
  </r>
  <r>
    <n v="21"/>
    <x v="2"/>
    <d v="1899-12-31T00:00:00"/>
    <x v="2"/>
    <s v="Sports"/>
    <s v="United Kingdom"/>
    <s v="Sub_Urban"/>
    <n v="62"/>
    <x v="2"/>
    <n v="17397"/>
    <b v="0"/>
    <b v="0"/>
    <b v="0"/>
  </r>
  <r>
    <n v="19"/>
    <x v="2"/>
    <d v="1900-01-06T00:00:00"/>
    <x v="1"/>
    <s v="Sports"/>
    <s v="Australia"/>
    <s v="Urban"/>
    <n v="63"/>
    <x v="0"/>
    <n v="12302"/>
    <b v="0"/>
    <b v="1"/>
    <b v="1"/>
  </r>
  <r>
    <n v="23"/>
    <x v="1"/>
    <d v="1900-01-02T00:00:00"/>
    <x v="0"/>
    <s v="Lifestlye"/>
    <s v="United Kingdom"/>
    <s v="Urban"/>
    <n v="64"/>
    <x v="0"/>
    <n v="12283"/>
    <b v="0"/>
    <b v="0"/>
    <b v="1"/>
  </r>
  <r>
    <n v="59"/>
    <x v="1"/>
    <d v="1900-01-05T00:00:00"/>
    <x v="0"/>
    <s v="Lifestlye"/>
    <s v="Australia"/>
    <s v="Sub_Urban"/>
    <n v="65"/>
    <x v="1"/>
    <n v="19799"/>
    <b v="0"/>
    <b v="1"/>
    <b v="0"/>
  </r>
  <r>
    <n v="21"/>
    <x v="0"/>
    <d v="1900-01-04T00:00:00"/>
    <x v="2"/>
    <s v="Lifestlye"/>
    <s v="United States"/>
    <s v="Sub_Urban"/>
    <n v="66"/>
    <x v="2"/>
    <n v="14366"/>
    <b v="0"/>
    <b v="0"/>
    <b v="1"/>
  </r>
  <r>
    <n v="46"/>
    <x v="2"/>
    <d v="1900-01-04T00:00:00"/>
    <x v="2"/>
    <s v="Travel"/>
    <s v="United States"/>
    <s v="Urban"/>
    <n v="67"/>
    <x v="1"/>
    <n v="10122"/>
    <b v="1"/>
    <b v="0"/>
    <b v="1"/>
  </r>
  <r>
    <n v="35"/>
    <x v="2"/>
    <d v="1900-01-04T00:00:00"/>
    <x v="2"/>
    <s v="Travel"/>
    <s v="Australia"/>
    <s v="Rural"/>
    <n v="68"/>
    <x v="1"/>
    <n v="16799"/>
    <b v="0"/>
    <b v="0"/>
    <b v="1"/>
  </r>
  <r>
    <n v="43"/>
    <x v="2"/>
    <d v="1899-12-31T00:00:00"/>
    <x v="1"/>
    <s v="Lifestlye"/>
    <s v="United Kingdom"/>
    <s v="Urban"/>
    <n v="69"/>
    <x v="1"/>
    <n v="19472"/>
    <b v="0"/>
    <b v="0"/>
    <b v="0"/>
  </r>
  <r>
    <n v="61"/>
    <x v="1"/>
    <d v="1899-12-31T00:00:00"/>
    <x v="0"/>
    <s v="Travel"/>
    <s v="Australia"/>
    <s v="Sub_Urban"/>
    <n v="70"/>
    <x v="0"/>
    <n v="13727"/>
    <b v="1"/>
    <b v="0"/>
    <b v="0"/>
  </r>
  <r>
    <n v="51"/>
    <x v="1"/>
    <d v="1900-01-02T00:00:00"/>
    <x v="2"/>
    <s v="Lifestlye"/>
    <s v="United Kingdom"/>
    <s v="Sub_Urban"/>
    <n v="71"/>
    <x v="0"/>
    <n v="18450"/>
    <b v="0"/>
    <b v="0"/>
    <b v="1"/>
  </r>
  <r>
    <n v="27"/>
    <x v="2"/>
    <d v="1900-01-03T00:00:00"/>
    <x v="1"/>
    <s v="Travel"/>
    <s v="United States"/>
    <s v="Rural"/>
    <n v="72"/>
    <x v="1"/>
    <n v="19139"/>
    <b v="0"/>
    <b v="0"/>
    <b v="1"/>
  </r>
  <r>
    <n v="53"/>
    <x v="2"/>
    <d v="1900-01-04T00:00:00"/>
    <x v="1"/>
    <s v="Sports"/>
    <s v="United Kingdom"/>
    <s v="Urban"/>
    <n v="73"/>
    <x v="1"/>
    <n v="14958"/>
    <b v="1"/>
    <b v="1"/>
    <b v="1"/>
  </r>
  <r>
    <n v="31"/>
    <x v="2"/>
    <d v="1900-01-01T00:00:00"/>
    <x v="1"/>
    <s v="Sports"/>
    <s v="Australia"/>
    <s v="Urban"/>
    <n v="74"/>
    <x v="1"/>
    <n v="10524"/>
    <b v="1"/>
    <b v="1"/>
    <b v="0"/>
  </r>
  <r>
    <n v="48"/>
    <x v="1"/>
    <d v="1900-01-07T00:00:00"/>
    <x v="2"/>
    <s v="Lifestlye"/>
    <s v="Australia"/>
    <s v="Urban"/>
    <n v="75"/>
    <x v="0"/>
    <n v="19079"/>
    <b v="0"/>
    <b v="1"/>
    <b v="1"/>
  </r>
  <r>
    <n v="32"/>
    <x v="2"/>
    <d v="1900-01-01T00:00:00"/>
    <x v="2"/>
    <s v="Travel"/>
    <s v="United States"/>
    <s v="Sub_Urban"/>
    <n v="76"/>
    <x v="1"/>
    <n v="18399"/>
    <b v="1"/>
    <b v="1"/>
    <b v="1"/>
  </r>
  <r>
    <n v="25"/>
    <x v="2"/>
    <d v="1900-01-08T00:00:00"/>
    <x v="0"/>
    <s v="Travel"/>
    <s v="United Kingdom"/>
    <s v="Urban"/>
    <n v="77"/>
    <x v="1"/>
    <n v="10148"/>
    <b v="0"/>
    <b v="0"/>
    <b v="0"/>
  </r>
  <r>
    <n v="31"/>
    <x v="0"/>
    <d v="1900-01-01T00:00:00"/>
    <x v="0"/>
    <s v="Sports"/>
    <s v="United Kingdom"/>
    <s v="Rural"/>
    <n v="78"/>
    <x v="2"/>
    <n v="18001"/>
    <b v="1"/>
    <b v="0"/>
    <b v="1"/>
  </r>
  <r>
    <n v="40"/>
    <x v="0"/>
    <d v="1900-01-08T00:00:00"/>
    <x v="2"/>
    <s v="Sports"/>
    <s v="United Kingdom"/>
    <s v="Sub_Urban"/>
    <n v="79"/>
    <x v="2"/>
    <n v="10437"/>
    <b v="0"/>
    <b v="0"/>
    <b v="0"/>
  </r>
  <r>
    <n v="57"/>
    <x v="1"/>
    <d v="1900-01-06T00:00:00"/>
    <x v="1"/>
    <s v="Lifestlye"/>
    <s v="United States"/>
    <s v="Sub_Urban"/>
    <n v="80"/>
    <x v="0"/>
    <n v="13749"/>
    <b v="0"/>
    <b v="1"/>
    <b v="0"/>
  </r>
  <r>
    <n v="38"/>
    <x v="2"/>
    <d v="1900-01-07T00:00:00"/>
    <x v="1"/>
    <s v="Sports"/>
    <s v="United Kingdom"/>
    <s v="Urban"/>
    <n v="81"/>
    <x v="2"/>
    <n v="18186"/>
    <b v="0"/>
    <b v="1"/>
    <b v="0"/>
  </r>
  <r>
    <n v="33"/>
    <x v="2"/>
    <d v="1900-01-01T00:00:00"/>
    <x v="1"/>
    <s v="Lifestlye"/>
    <s v="Australia"/>
    <s v="Rural"/>
    <n v="82"/>
    <x v="2"/>
    <n v="14453"/>
    <b v="1"/>
    <b v="1"/>
    <b v="1"/>
  </r>
  <r>
    <n v="62"/>
    <x v="0"/>
    <d v="1900-01-06T00:00:00"/>
    <x v="0"/>
    <s v="Sports"/>
    <s v="United Kingdom"/>
    <s v="Sub_Urban"/>
    <n v="83"/>
    <x v="2"/>
    <n v="15336"/>
    <b v="0"/>
    <b v="0"/>
    <b v="1"/>
  </r>
  <r>
    <n v="35"/>
    <x v="1"/>
    <d v="1900-01-05T00:00:00"/>
    <x v="1"/>
    <s v="Sports"/>
    <s v="United States"/>
    <s v="Sub_Urban"/>
    <n v="84"/>
    <x v="0"/>
    <n v="14551"/>
    <b v="1"/>
    <b v="1"/>
    <b v="0"/>
  </r>
  <r>
    <n v="64"/>
    <x v="0"/>
    <d v="1900-01-03T00:00:00"/>
    <x v="0"/>
    <s v="Travel"/>
    <s v="United Kingdom"/>
    <s v="Urban"/>
    <n v="85"/>
    <x v="2"/>
    <n v="12823"/>
    <b v="0"/>
    <b v="0"/>
    <b v="1"/>
  </r>
  <r>
    <n v="41"/>
    <x v="0"/>
    <d v="1900-01-06T00:00:00"/>
    <x v="0"/>
    <s v="Sports"/>
    <s v="United Kingdom"/>
    <s v="Urban"/>
    <n v="86"/>
    <x v="0"/>
    <n v="15728"/>
    <b v="0"/>
    <b v="1"/>
    <b v="0"/>
  </r>
  <r>
    <n v="43"/>
    <x v="0"/>
    <d v="1900-01-03T00:00:00"/>
    <x v="1"/>
    <s v="Sports"/>
    <s v="Australia"/>
    <s v="Rural"/>
    <n v="87"/>
    <x v="1"/>
    <n v="18677"/>
    <b v="0"/>
    <b v="0"/>
    <b v="1"/>
  </r>
  <r>
    <n v="42"/>
    <x v="0"/>
    <d v="1900-01-01T00:00:00"/>
    <x v="1"/>
    <s v="Lifestlye"/>
    <s v="United Kingdom"/>
    <s v="Urban"/>
    <n v="88"/>
    <x v="2"/>
    <n v="18391"/>
    <b v="0"/>
    <b v="1"/>
    <b v="0"/>
  </r>
  <r>
    <n v="62"/>
    <x v="2"/>
    <d v="1900-01-06T00:00:00"/>
    <x v="2"/>
    <s v="Sports"/>
    <s v="Australia"/>
    <s v="Rural"/>
    <n v="89"/>
    <x v="0"/>
    <n v="11982"/>
    <b v="0"/>
    <b v="0"/>
    <b v="0"/>
  </r>
  <r>
    <n v="58"/>
    <x v="2"/>
    <d v="1900-01-07T00:00:00"/>
    <x v="2"/>
    <s v="Lifestlye"/>
    <s v="Australia"/>
    <s v="Sub_Urban"/>
    <n v="90"/>
    <x v="2"/>
    <n v="16996"/>
    <b v="1"/>
    <b v="1"/>
    <b v="1"/>
  </r>
  <r>
    <n v="46"/>
    <x v="0"/>
    <d v="1900-01-01T00:00:00"/>
    <x v="1"/>
    <s v="Sports"/>
    <s v="United States"/>
    <s v="Rural"/>
    <n v="91"/>
    <x v="1"/>
    <n v="19663"/>
    <b v="1"/>
    <b v="1"/>
    <b v="1"/>
  </r>
  <r>
    <n v="32"/>
    <x v="1"/>
    <d v="1900-01-04T00:00:00"/>
    <x v="0"/>
    <s v="Sports"/>
    <s v="Australia"/>
    <s v="Rural"/>
    <n v="92"/>
    <x v="0"/>
    <n v="12311"/>
    <b v="1"/>
    <b v="0"/>
    <b v="1"/>
  </r>
  <r>
    <n v="62"/>
    <x v="1"/>
    <d v="1899-12-31T00:00:00"/>
    <x v="0"/>
    <s v="Lifestlye"/>
    <s v="Australia"/>
    <s v="Rural"/>
    <n v="93"/>
    <x v="0"/>
    <n v="17225"/>
    <b v="0"/>
    <b v="0"/>
    <b v="1"/>
  </r>
  <r>
    <n v="18"/>
    <x v="1"/>
    <d v="1900-01-06T00:00:00"/>
    <x v="0"/>
    <s v="Travel"/>
    <s v="United States"/>
    <s v="Sub_Urban"/>
    <n v="94"/>
    <x v="0"/>
    <n v="19713"/>
    <b v="0"/>
    <b v="1"/>
    <b v="0"/>
  </r>
  <r>
    <n v="42"/>
    <x v="1"/>
    <d v="1900-01-07T00:00:00"/>
    <x v="0"/>
    <s v="Lifestlye"/>
    <s v="Australia"/>
    <s v="Urban"/>
    <n v="95"/>
    <x v="1"/>
    <n v="10604"/>
    <b v="1"/>
    <b v="0"/>
    <b v="0"/>
  </r>
  <r>
    <n v="24"/>
    <x v="0"/>
    <d v="1900-01-05T00:00:00"/>
    <x v="0"/>
    <s v="Lifestlye"/>
    <s v="United States"/>
    <s v="Sub_Urban"/>
    <n v="96"/>
    <x v="1"/>
    <n v="18175"/>
    <b v="0"/>
    <b v="1"/>
    <b v="1"/>
  </r>
  <r>
    <n v="26"/>
    <x v="2"/>
    <d v="1900-01-04T00:00:00"/>
    <x v="2"/>
    <s v="Lifestlye"/>
    <s v="United Kingdom"/>
    <s v="Urban"/>
    <n v="97"/>
    <x v="1"/>
    <n v="15785"/>
    <b v="0"/>
    <b v="0"/>
    <b v="1"/>
  </r>
  <r>
    <n v="41"/>
    <x v="1"/>
    <d v="1900-01-05T00:00:00"/>
    <x v="1"/>
    <s v="Travel"/>
    <s v="United States"/>
    <s v="Rural"/>
    <n v="98"/>
    <x v="0"/>
    <n v="19609"/>
    <b v="0"/>
    <b v="1"/>
    <b v="0"/>
  </r>
  <r>
    <n v="18"/>
    <x v="0"/>
    <d v="1900-01-01T00:00:00"/>
    <x v="2"/>
    <s v="Sports"/>
    <s v="Australia"/>
    <s v="Rural"/>
    <n v="99"/>
    <x v="1"/>
    <n v="14597"/>
    <b v="1"/>
    <b v="0"/>
    <b v="1"/>
  </r>
  <r>
    <n v="61"/>
    <x v="1"/>
    <d v="1899-12-31T00:00:00"/>
    <x v="0"/>
    <s v="Lifestlye"/>
    <s v="United States"/>
    <s v="Rural"/>
    <n v="100"/>
    <x v="2"/>
    <n v="17759"/>
    <b v="1"/>
    <b v="1"/>
    <b v="1"/>
  </r>
  <r>
    <n v="25"/>
    <x v="1"/>
    <d v="1900-01-06T00:00:00"/>
    <x v="0"/>
    <s v="Lifestlye"/>
    <s v="Australia"/>
    <s v="Rural"/>
    <n v="101"/>
    <x v="1"/>
    <n v="17532"/>
    <b v="1"/>
    <b v="1"/>
    <b v="1"/>
  </r>
  <r>
    <n v="41"/>
    <x v="0"/>
    <d v="1900-01-06T00:00:00"/>
    <x v="0"/>
    <s v="Travel"/>
    <s v="United Kingdom"/>
    <s v="Rural"/>
    <n v="102"/>
    <x v="0"/>
    <n v="18740"/>
    <b v="1"/>
    <b v="1"/>
    <b v="1"/>
  </r>
  <r>
    <n v="28"/>
    <x v="2"/>
    <d v="1900-01-01T00:00:00"/>
    <x v="0"/>
    <s v="Lifestlye"/>
    <s v="United States"/>
    <s v="Urban"/>
    <n v="103"/>
    <x v="2"/>
    <n v="10838"/>
    <b v="1"/>
    <b v="0"/>
    <b v="0"/>
  </r>
  <r>
    <n v="34"/>
    <x v="2"/>
    <d v="1900-01-01T00:00:00"/>
    <x v="1"/>
    <s v="Sports"/>
    <s v="United Kingdom"/>
    <s v="Urban"/>
    <n v="104"/>
    <x v="1"/>
    <n v="13815"/>
    <b v="0"/>
    <b v="1"/>
    <b v="0"/>
  </r>
  <r>
    <n v="25"/>
    <x v="0"/>
    <d v="1899-12-31T00:00:00"/>
    <x v="0"/>
    <s v="Travel"/>
    <s v="Australia"/>
    <s v="Rural"/>
    <n v="105"/>
    <x v="2"/>
    <n v="10847"/>
    <b v="0"/>
    <b v="0"/>
    <b v="1"/>
  </r>
  <r>
    <n v="52"/>
    <x v="2"/>
    <d v="1900-01-07T00:00:00"/>
    <x v="1"/>
    <s v="Sports"/>
    <s v="Australia"/>
    <s v="Sub_Urban"/>
    <n v="106"/>
    <x v="2"/>
    <n v="14709"/>
    <b v="0"/>
    <b v="0"/>
    <b v="0"/>
  </r>
  <r>
    <n v="52"/>
    <x v="0"/>
    <d v="1900-01-07T00:00:00"/>
    <x v="0"/>
    <s v="Sports"/>
    <s v="United Kingdom"/>
    <s v="Sub_Urban"/>
    <n v="107"/>
    <x v="0"/>
    <n v="14507"/>
    <b v="0"/>
    <b v="0"/>
    <b v="1"/>
  </r>
  <r>
    <n v="50"/>
    <x v="0"/>
    <d v="1899-12-31T00:00:00"/>
    <x v="1"/>
    <s v="Travel"/>
    <s v="United States"/>
    <s v="Rural"/>
    <n v="108"/>
    <x v="2"/>
    <n v="16575"/>
    <b v="1"/>
    <b v="1"/>
    <b v="1"/>
  </r>
  <r>
    <n v="22"/>
    <x v="0"/>
    <d v="1900-01-07T00:00:00"/>
    <x v="2"/>
    <s v="Lifestlye"/>
    <s v="United States"/>
    <s v="Urban"/>
    <n v="109"/>
    <x v="2"/>
    <n v="14773"/>
    <b v="1"/>
    <b v="0"/>
    <b v="1"/>
  </r>
  <r>
    <n v="59"/>
    <x v="2"/>
    <d v="1900-01-08T00:00:00"/>
    <x v="0"/>
    <s v="Sports"/>
    <s v="Australia"/>
    <s v="Sub_Urban"/>
    <n v="110"/>
    <x v="0"/>
    <n v="14468"/>
    <b v="0"/>
    <b v="0"/>
    <b v="0"/>
  </r>
  <r>
    <n v="56"/>
    <x v="0"/>
    <d v="1900-01-03T00:00:00"/>
    <x v="1"/>
    <s v="Sports"/>
    <s v="United Kingdom"/>
    <s v="Sub_Urban"/>
    <n v="111"/>
    <x v="0"/>
    <n v="15192"/>
    <b v="1"/>
    <b v="0"/>
    <b v="0"/>
  </r>
  <r>
    <n v="58"/>
    <x v="1"/>
    <d v="1899-12-31T00:00:00"/>
    <x v="2"/>
    <s v="Sports"/>
    <s v="United Kingdom"/>
    <s v="Sub_Urban"/>
    <n v="112"/>
    <x v="0"/>
    <n v="13320"/>
    <b v="0"/>
    <b v="1"/>
    <b v="0"/>
  </r>
  <r>
    <n v="45"/>
    <x v="2"/>
    <d v="1899-12-31T00:00:00"/>
    <x v="0"/>
    <s v="Sports"/>
    <s v="United States"/>
    <s v="Rural"/>
    <n v="113"/>
    <x v="2"/>
    <n v="14698"/>
    <b v="0"/>
    <b v="0"/>
    <b v="0"/>
  </r>
  <r>
    <n v="24"/>
    <x v="2"/>
    <d v="1900-01-02T00:00:00"/>
    <x v="0"/>
    <s v="Travel"/>
    <s v="United States"/>
    <s v="Sub_Urban"/>
    <n v="114"/>
    <x v="2"/>
    <n v="14311"/>
    <b v="0"/>
    <b v="0"/>
    <b v="0"/>
  </r>
  <r>
    <n v="26"/>
    <x v="2"/>
    <d v="1900-01-04T00:00:00"/>
    <x v="0"/>
    <s v="Travel"/>
    <s v="United States"/>
    <s v="Sub_Urban"/>
    <n v="115"/>
    <x v="2"/>
    <n v="13673"/>
    <b v="0"/>
    <b v="0"/>
    <b v="1"/>
  </r>
  <r>
    <n v="25"/>
    <x v="2"/>
    <d v="1900-01-04T00:00:00"/>
    <x v="1"/>
    <s v="Sports"/>
    <s v="United Kingdom"/>
    <s v="Sub_Urban"/>
    <n v="116"/>
    <x v="0"/>
    <n v="11564"/>
    <b v="1"/>
    <b v="0"/>
    <b v="1"/>
  </r>
  <r>
    <n v="29"/>
    <x v="1"/>
    <d v="1900-01-08T00:00:00"/>
    <x v="1"/>
    <s v="Lifestlye"/>
    <s v="United States"/>
    <s v="Sub_Urban"/>
    <n v="117"/>
    <x v="1"/>
    <n v="11840"/>
    <b v="0"/>
    <b v="1"/>
    <b v="0"/>
  </r>
  <r>
    <n v="51"/>
    <x v="2"/>
    <d v="1900-01-01T00:00:00"/>
    <x v="2"/>
    <s v="Sports"/>
    <s v="United States"/>
    <s v="Urban"/>
    <n v="118"/>
    <x v="2"/>
    <n v="16058"/>
    <b v="1"/>
    <b v="1"/>
    <b v="0"/>
  </r>
  <r>
    <n v="50"/>
    <x v="2"/>
    <d v="1900-01-01T00:00:00"/>
    <x v="1"/>
    <s v="Lifestlye"/>
    <s v="Australia"/>
    <s v="Rural"/>
    <n v="119"/>
    <x v="1"/>
    <n v="17131"/>
    <b v="0"/>
    <b v="0"/>
    <b v="0"/>
  </r>
  <r>
    <n v="40"/>
    <x v="0"/>
    <d v="1900-01-05T00:00:00"/>
    <x v="1"/>
    <s v="Sports"/>
    <s v="United States"/>
    <s v="Rural"/>
    <n v="120"/>
    <x v="0"/>
    <n v="10726"/>
    <b v="0"/>
    <b v="0"/>
    <b v="1"/>
  </r>
  <r>
    <n v="41"/>
    <x v="2"/>
    <d v="1900-01-08T00:00:00"/>
    <x v="0"/>
    <s v="Lifestlye"/>
    <s v="United States"/>
    <s v="Urban"/>
    <n v="121"/>
    <x v="2"/>
    <n v="19436"/>
    <b v="0"/>
    <b v="0"/>
    <b v="0"/>
  </r>
  <r>
    <n v="54"/>
    <x v="1"/>
    <d v="1899-12-31T00:00:00"/>
    <x v="0"/>
    <s v="Sports"/>
    <s v="United Kingdom"/>
    <s v="Urban"/>
    <n v="122"/>
    <x v="1"/>
    <n v="16697"/>
    <b v="0"/>
    <b v="0"/>
    <b v="1"/>
  </r>
  <r>
    <n v="52"/>
    <x v="1"/>
    <d v="1900-01-08T00:00:00"/>
    <x v="0"/>
    <s v="Lifestlye"/>
    <s v="United Kingdom"/>
    <s v="Rural"/>
    <n v="123"/>
    <x v="2"/>
    <n v="19257"/>
    <b v="1"/>
    <b v="1"/>
    <b v="1"/>
  </r>
  <r>
    <n v="61"/>
    <x v="1"/>
    <d v="1900-01-08T00:00:00"/>
    <x v="0"/>
    <s v="Sports"/>
    <s v="Australia"/>
    <s v="Sub_Urban"/>
    <n v="124"/>
    <x v="2"/>
    <n v="10282"/>
    <b v="0"/>
    <b v="1"/>
    <b v="0"/>
  </r>
  <r>
    <n v="57"/>
    <x v="1"/>
    <d v="1900-01-08T00:00:00"/>
    <x v="0"/>
    <s v="Sports"/>
    <s v="United States"/>
    <s v="Sub_Urban"/>
    <n v="125"/>
    <x v="2"/>
    <n v="11081"/>
    <b v="1"/>
    <b v="1"/>
    <b v="1"/>
  </r>
  <r>
    <n v="39"/>
    <x v="2"/>
    <d v="1900-01-04T00:00:00"/>
    <x v="0"/>
    <s v="Lifestlye"/>
    <s v="Australia"/>
    <s v="Rural"/>
    <n v="126"/>
    <x v="1"/>
    <n v="13885"/>
    <b v="0"/>
    <b v="1"/>
    <b v="1"/>
  </r>
  <r>
    <n v="44"/>
    <x v="2"/>
    <d v="1900-01-08T00:00:00"/>
    <x v="0"/>
    <s v="Travel"/>
    <s v="United Kingdom"/>
    <s v="Sub_Urban"/>
    <n v="127"/>
    <x v="0"/>
    <n v="12881"/>
    <b v="0"/>
    <b v="0"/>
    <b v="0"/>
  </r>
  <r>
    <n v="52"/>
    <x v="1"/>
    <d v="1900-01-03T00:00:00"/>
    <x v="2"/>
    <s v="Lifestlye"/>
    <s v="Australia"/>
    <s v="Urban"/>
    <n v="128"/>
    <x v="2"/>
    <n v="12970"/>
    <b v="0"/>
    <b v="0"/>
    <b v="1"/>
  </r>
  <r>
    <n v="18"/>
    <x v="1"/>
    <d v="1900-01-01T00:00:00"/>
    <x v="2"/>
    <s v="Travel"/>
    <s v="United Kingdom"/>
    <s v="Sub_Urban"/>
    <n v="129"/>
    <x v="0"/>
    <n v="19344"/>
    <b v="1"/>
    <b v="1"/>
    <b v="0"/>
  </r>
  <r>
    <n v="52"/>
    <x v="2"/>
    <d v="1900-01-05T00:00:00"/>
    <x v="2"/>
    <s v="Sports"/>
    <s v="Australia"/>
    <s v="Sub_Urban"/>
    <n v="130"/>
    <x v="0"/>
    <n v="16985"/>
    <b v="0"/>
    <b v="1"/>
    <b v="1"/>
  </r>
  <r>
    <n v="54"/>
    <x v="1"/>
    <d v="1900-01-03T00:00:00"/>
    <x v="2"/>
    <s v="Lifestlye"/>
    <s v="Australia"/>
    <s v="Sub_Urban"/>
    <n v="131"/>
    <x v="1"/>
    <n v="10947"/>
    <b v="0"/>
    <b v="0"/>
    <b v="0"/>
  </r>
  <r>
    <n v="64"/>
    <x v="0"/>
    <d v="1900-01-05T00:00:00"/>
    <x v="0"/>
    <s v="Lifestlye"/>
    <s v="United States"/>
    <s v="Rural"/>
    <n v="132"/>
    <x v="1"/>
    <n v="14760"/>
    <b v="0"/>
    <b v="0"/>
    <b v="0"/>
  </r>
  <r>
    <n v="31"/>
    <x v="1"/>
    <d v="1900-01-02T00:00:00"/>
    <x v="2"/>
    <s v="Lifestlye"/>
    <s v="Australia"/>
    <s v="Urban"/>
    <n v="133"/>
    <x v="0"/>
    <n v="19909"/>
    <b v="0"/>
    <b v="0"/>
    <b v="1"/>
  </r>
  <r>
    <n v="20"/>
    <x v="1"/>
    <d v="1900-01-05T00:00:00"/>
    <x v="0"/>
    <s v="Travel"/>
    <s v="United States"/>
    <s v="Sub_Urban"/>
    <n v="134"/>
    <x v="2"/>
    <n v="10066"/>
    <b v="0"/>
    <b v="0"/>
    <b v="0"/>
  </r>
  <r>
    <n v="18"/>
    <x v="0"/>
    <d v="1900-01-01T00:00:00"/>
    <x v="2"/>
    <s v="Travel"/>
    <s v="United States"/>
    <s v="Rural"/>
    <n v="135"/>
    <x v="1"/>
    <n v="18828"/>
    <b v="1"/>
    <b v="0"/>
    <b v="1"/>
  </r>
  <r>
    <n v="22"/>
    <x v="0"/>
    <d v="1900-01-01T00:00:00"/>
    <x v="1"/>
    <s v="Sports"/>
    <s v="United States"/>
    <s v="Sub_Urban"/>
    <n v="136"/>
    <x v="2"/>
    <n v="18505"/>
    <b v="1"/>
    <b v="1"/>
    <b v="1"/>
  </r>
  <r>
    <n v="43"/>
    <x v="2"/>
    <d v="1900-01-08T00:00:00"/>
    <x v="2"/>
    <s v="Travel"/>
    <s v="United States"/>
    <s v="Urban"/>
    <n v="137"/>
    <x v="2"/>
    <n v="10564"/>
    <b v="0"/>
    <b v="1"/>
    <b v="0"/>
  </r>
  <r>
    <n v="31"/>
    <x v="2"/>
    <d v="1900-01-06T00:00:00"/>
    <x v="2"/>
    <s v="Travel"/>
    <s v="Australia"/>
    <s v="Sub_Urban"/>
    <n v="138"/>
    <x v="2"/>
    <n v="19793"/>
    <b v="0"/>
    <b v="0"/>
    <b v="1"/>
  </r>
  <r>
    <n v="56"/>
    <x v="0"/>
    <d v="1900-01-02T00:00:00"/>
    <x v="0"/>
    <s v="Sports"/>
    <s v="United Kingdom"/>
    <s v="Urban"/>
    <n v="139"/>
    <x v="0"/>
    <n v="19017"/>
    <b v="1"/>
    <b v="0"/>
    <b v="0"/>
  </r>
  <r>
    <n v="44"/>
    <x v="0"/>
    <d v="1899-12-31T00:00:00"/>
    <x v="2"/>
    <s v="Lifestlye"/>
    <s v="United Kingdom"/>
    <s v="Sub_Urban"/>
    <n v="140"/>
    <x v="2"/>
    <n v="13670"/>
    <b v="0"/>
    <b v="1"/>
    <b v="1"/>
  </r>
  <r>
    <n v="26"/>
    <x v="2"/>
    <d v="1900-01-07T00:00:00"/>
    <x v="1"/>
    <s v="Lifestlye"/>
    <s v="United Kingdom"/>
    <s v="Urban"/>
    <n v="141"/>
    <x v="0"/>
    <n v="19217"/>
    <b v="1"/>
    <b v="0"/>
    <b v="1"/>
  </r>
  <r>
    <n v="32"/>
    <x v="1"/>
    <d v="1900-01-05T00:00:00"/>
    <x v="0"/>
    <s v="Sports"/>
    <s v="Australia"/>
    <s v="Sub_Urban"/>
    <n v="142"/>
    <x v="0"/>
    <n v="12251"/>
    <b v="0"/>
    <b v="1"/>
    <b v="0"/>
  </r>
  <r>
    <n v="32"/>
    <x v="0"/>
    <d v="1900-01-06T00:00:00"/>
    <x v="0"/>
    <s v="Lifestlye"/>
    <s v="United States"/>
    <s v="Urban"/>
    <n v="143"/>
    <x v="2"/>
    <n v="10804"/>
    <b v="0"/>
    <b v="1"/>
    <b v="1"/>
  </r>
  <r>
    <n v="43"/>
    <x v="2"/>
    <d v="1900-01-08T00:00:00"/>
    <x v="2"/>
    <s v="Travel"/>
    <s v="United Kingdom"/>
    <s v="Sub_Urban"/>
    <n v="144"/>
    <x v="2"/>
    <n v="14631"/>
    <b v="1"/>
    <b v="1"/>
    <b v="1"/>
  </r>
  <r>
    <n v="59"/>
    <x v="1"/>
    <d v="1900-01-04T00:00:00"/>
    <x v="0"/>
    <s v="Sports"/>
    <s v="Australia"/>
    <s v="Sub_Urban"/>
    <n v="145"/>
    <x v="2"/>
    <n v="19583"/>
    <b v="0"/>
    <b v="1"/>
    <b v="1"/>
  </r>
  <r>
    <n v="30"/>
    <x v="0"/>
    <d v="1899-12-31T00:00:00"/>
    <x v="0"/>
    <s v="Sports"/>
    <s v="United States"/>
    <s v="Rural"/>
    <n v="146"/>
    <x v="2"/>
    <n v="11235"/>
    <b v="1"/>
    <b v="0"/>
    <b v="1"/>
  </r>
  <r>
    <n v="49"/>
    <x v="1"/>
    <d v="1900-01-06T00:00:00"/>
    <x v="0"/>
    <s v="Sports"/>
    <s v="United Kingdom"/>
    <s v="Rural"/>
    <n v="147"/>
    <x v="0"/>
    <n v="16720"/>
    <b v="1"/>
    <b v="0"/>
    <b v="1"/>
  </r>
  <r>
    <n v="56"/>
    <x v="2"/>
    <d v="1900-01-04T00:00:00"/>
    <x v="0"/>
    <s v="Lifestlye"/>
    <s v="United States"/>
    <s v="Urban"/>
    <n v="148"/>
    <x v="2"/>
    <n v="16906"/>
    <b v="1"/>
    <b v="1"/>
    <b v="1"/>
  </r>
  <r>
    <n v="49"/>
    <x v="0"/>
    <d v="1900-01-02T00:00:00"/>
    <x v="0"/>
    <s v="Sports"/>
    <s v="United Kingdom"/>
    <s v="Sub_Urban"/>
    <n v="149"/>
    <x v="2"/>
    <n v="16016"/>
    <b v="0"/>
    <b v="0"/>
    <b v="1"/>
  </r>
  <r>
    <n v="21"/>
    <x v="1"/>
    <d v="1900-01-08T00:00:00"/>
    <x v="0"/>
    <s v="Sports"/>
    <s v="United Kingdom"/>
    <s v="Urban"/>
    <n v="150"/>
    <x v="0"/>
    <n v="13549"/>
    <b v="1"/>
    <b v="0"/>
    <b v="1"/>
  </r>
  <r>
    <n v="47"/>
    <x v="0"/>
    <d v="1899-12-31T00:00:00"/>
    <x v="1"/>
    <s v="Sports"/>
    <s v="United Kingdom"/>
    <s v="Rural"/>
    <n v="151"/>
    <x v="1"/>
    <n v="17938"/>
    <b v="1"/>
    <b v="0"/>
    <b v="0"/>
  </r>
  <r>
    <n v="54"/>
    <x v="1"/>
    <d v="1899-12-31T00:00:00"/>
    <x v="2"/>
    <s v="Lifestlye"/>
    <s v="United States"/>
    <s v="Urban"/>
    <n v="152"/>
    <x v="1"/>
    <n v="14141"/>
    <b v="0"/>
    <b v="0"/>
    <b v="1"/>
  </r>
  <r>
    <n v="40"/>
    <x v="2"/>
    <d v="1899-12-31T00:00:00"/>
    <x v="1"/>
    <s v="Travel"/>
    <s v="Australia"/>
    <s v="Urban"/>
    <n v="153"/>
    <x v="0"/>
    <n v="16966"/>
    <b v="0"/>
    <b v="1"/>
    <b v="1"/>
  </r>
  <r>
    <n v="56"/>
    <x v="2"/>
    <d v="1900-01-02T00:00:00"/>
    <x v="0"/>
    <s v="Sports"/>
    <s v="United States"/>
    <s v="Rural"/>
    <n v="154"/>
    <x v="1"/>
    <n v="19546"/>
    <b v="0"/>
    <b v="0"/>
    <b v="0"/>
  </r>
  <r>
    <n v="62"/>
    <x v="0"/>
    <d v="1900-01-05T00:00:00"/>
    <x v="0"/>
    <s v="Travel"/>
    <s v="United Kingdom"/>
    <s v="Sub_Urban"/>
    <n v="155"/>
    <x v="0"/>
    <n v="15335"/>
    <b v="0"/>
    <b v="1"/>
    <b v="0"/>
  </r>
  <r>
    <n v="32"/>
    <x v="1"/>
    <d v="1900-01-02T00:00:00"/>
    <x v="2"/>
    <s v="Lifestlye"/>
    <s v="United States"/>
    <s v="Urban"/>
    <n v="156"/>
    <x v="2"/>
    <n v="15077"/>
    <b v="0"/>
    <b v="1"/>
    <b v="0"/>
  </r>
  <r>
    <n v="60"/>
    <x v="0"/>
    <d v="1900-01-07T00:00:00"/>
    <x v="1"/>
    <s v="Lifestlye"/>
    <s v="Australia"/>
    <s v="Rural"/>
    <n v="157"/>
    <x v="2"/>
    <n v="15611"/>
    <b v="0"/>
    <b v="0"/>
    <b v="1"/>
  </r>
  <r>
    <n v="46"/>
    <x v="0"/>
    <d v="1900-01-01T00:00:00"/>
    <x v="2"/>
    <s v="Lifestlye"/>
    <s v="United States"/>
    <s v="Sub_Urban"/>
    <n v="158"/>
    <x v="1"/>
    <n v="18089"/>
    <b v="1"/>
    <b v="1"/>
    <b v="0"/>
  </r>
  <r>
    <n v="53"/>
    <x v="1"/>
    <d v="1900-01-08T00:00:00"/>
    <x v="1"/>
    <s v="Lifestlye"/>
    <s v="Australia"/>
    <s v="Rural"/>
    <n v="159"/>
    <x v="2"/>
    <n v="12892"/>
    <b v="0"/>
    <b v="0"/>
    <b v="0"/>
  </r>
  <r>
    <n v="30"/>
    <x v="1"/>
    <d v="1900-01-02T00:00:00"/>
    <x v="0"/>
    <s v="Travel"/>
    <s v="Australia"/>
    <s v="Urban"/>
    <n v="160"/>
    <x v="1"/>
    <n v="15577"/>
    <b v="1"/>
    <b v="0"/>
    <b v="1"/>
  </r>
  <r>
    <n v="49"/>
    <x v="1"/>
    <d v="1900-01-04T00:00:00"/>
    <x v="2"/>
    <s v="Sports"/>
    <s v="United States"/>
    <s v="Sub_Urban"/>
    <n v="161"/>
    <x v="1"/>
    <n v="13618"/>
    <b v="0"/>
    <b v="1"/>
    <b v="1"/>
  </r>
  <r>
    <n v="24"/>
    <x v="2"/>
    <d v="1900-01-07T00:00:00"/>
    <x v="2"/>
    <s v="Lifestlye"/>
    <s v="United Kingdom"/>
    <s v="Sub_Urban"/>
    <n v="162"/>
    <x v="2"/>
    <n v="11559"/>
    <b v="1"/>
    <b v="0"/>
    <b v="0"/>
  </r>
  <r>
    <n v="39"/>
    <x v="0"/>
    <d v="1900-01-01T00:00:00"/>
    <x v="0"/>
    <s v="Lifestlye"/>
    <s v="Australia"/>
    <s v="Rural"/>
    <n v="163"/>
    <x v="2"/>
    <n v="16683"/>
    <b v="1"/>
    <b v="1"/>
    <b v="0"/>
  </r>
  <r>
    <n v="45"/>
    <x v="0"/>
    <d v="1900-01-05T00:00:00"/>
    <x v="2"/>
    <s v="Travel"/>
    <s v="United States"/>
    <s v="Rural"/>
    <n v="164"/>
    <x v="1"/>
    <n v="11507"/>
    <b v="0"/>
    <b v="1"/>
    <b v="1"/>
  </r>
  <r>
    <n v="19"/>
    <x v="2"/>
    <d v="1900-01-04T00:00:00"/>
    <x v="1"/>
    <s v="Travel"/>
    <s v="Australia"/>
    <s v="Rural"/>
    <n v="165"/>
    <x v="2"/>
    <n v="12063"/>
    <b v="0"/>
    <b v="0"/>
    <b v="1"/>
  </r>
  <r>
    <n v="59"/>
    <x v="1"/>
    <d v="1900-01-08T00:00:00"/>
    <x v="1"/>
    <s v="Lifestlye"/>
    <s v="United Kingdom"/>
    <s v="Sub_Urban"/>
    <n v="166"/>
    <x v="0"/>
    <n v="13642"/>
    <b v="1"/>
    <b v="0"/>
    <b v="1"/>
  </r>
  <r>
    <n v="62"/>
    <x v="2"/>
    <d v="1900-01-04T00:00:00"/>
    <x v="1"/>
    <s v="Sports"/>
    <s v="United States"/>
    <s v="Sub_Urban"/>
    <n v="167"/>
    <x v="2"/>
    <n v="12000"/>
    <b v="0"/>
    <b v="0"/>
    <b v="1"/>
  </r>
  <r>
    <n v="23"/>
    <x v="2"/>
    <d v="1900-01-01T00:00:00"/>
    <x v="1"/>
    <s v="Sports"/>
    <s v="United States"/>
    <s v="Urban"/>
    <n v="168"/>
    <x v="2"/>
    <n v="11294"/>
    <b v="0"/>
    <b v="1"/>
    <b v="1"/>
  </r>
  <r>
    <n v="45"/>
    <x v="2"/>
    <d v="1900-01-04T00:00:00"/>
    <x v="0"/>
    <s v="Lifestlye"/>
    <s v="United States"/>
    <s v="Sub_Urban"/>
    <n v="169"/>
    <x v="0"/>
    <n v="14065"/>
    <b v="1"/>
    <b v="0"/>
    <b v="0"/>
  </r>
  <r>
    <n v="45"/>
    <x v="0"/>
    <d v="1900-01-03T00:00:00"/>
    <x v="2"/>
    <s v="Travel"/>
    <s v="United Kingdom"/>
    <s v="Urban"/>
    <n v="170"/>
    <x v="2"/>
    <n v="18014"/>
    <b v="1"/>
    <b v="1"/>
    <b v="1"/>
  </r>
  <r>
    <n v="61"/>
    <x v="2"/>
    <d v="1900-01-06T00:00:00"/>
    <x v="1"/>
    <s v="Lifestlye"/>
    <s v="Australia"/>
    <s v="Rural"/>
    <n v="171"/>
    <x v="2"/>
    <n v="19945"/>
    <b v="1"/>
    <b v="1"/>
    <b v="1"/>
  </r>
  <r>
    <n v="61"/>
    <x v="0"/>
    <d v="1900-01-05T00:00:00"/>
    <x v="0"/>
    <s v="Lifestlye"/>
    <s v="United States"/>
    <s v="Rural"/>
    <n v="172"/>
    <x v="1"/>
    <n v="11603"/>
    <b v="0"/>
    <b v="0"/>
    <b v="1"/>
  </r>
  <r>
    <n v="37"/>
    <x v="0"/>
    <d v="1900-01-01T00:00:00"/>
    <x v="2"/>
    <s v="Travel"/>
    <s v="Australia"/>
    <s v="Sub_Urban"/>
    <n v="173"/>
    <x v="2"/>
    <n v="11322"/>
    <b v="0"/>
    <b v="0"/>
    <b v="1"/>
  </r>
  <r>
    <n v="47"/>
    <x v="0"/>
    <d v="1900-01-04T00:00:00"/>
    <x v="2"/>
    <s v="Lifestlye"/>
    <s v="Australia"/>
    <s v="Rural"/>
    <n v="174"/>
    <x v="2"/>
    <n v="15956"/>
    <b v="0"/>
    <b v="0"/>
    <b v="1"/>
  </r>
  <r>
    <n v="28"/>
    <x v="1"/>
    <d v="1900-01-06T00:00:00"/>
    <x v="0"/>
    <s v="Lifestlye"/>
    <s v="United Kingdom"/>
    <s v="Rural"/>
    <n v="175"/>
    <x v="0"/>
    <n v="12441"/>
    <b v="0"/>
    <b v="1"/>
    <b v="0"/>
  </r>
  <r>
    <n v="45"/>
    <x v="0"/>
    <d v="1900-01-06T00:00:00"/>
    <x v="0"/>
    <s v="Lifestlye"/>
    <s v="United States"/>
    <s v="Sub_Urban"/>
    <n v="176"/>
    <x v="1"/>
    <n v="11098"/>
    <b v="1"/>
    <b v="0"/>
    <b v="1"/>
  </r>
  <r>
    <n v="42"/>
    <x v="0"/>
    <d v="1900-01-04T00:00:00"/>
    <x v="1"/>
    <s v="Travel"/>
    <s v="Australia"/>
    <s v="Urban"/>
    <n v="177"/>
    <x v="1"/>
    <n v="15073"/>
    <b v="0"/>
    <b v="1"/>
    <b v="0"/>
  </r>
  <r>
    <n v="56"/>
    <x v="1"/>
    <d v="1900-01-08T00:00:00"/>
    <x v="2"/>
    <s v="Sports"/>
    <s v="United States"/>
    <s v="Sub_Urban"/>
    <n v="178"/>
    <x v="1"/>
    <n v="19697"/>
    <b v="1"/>
    <b v="0"/>
    <b v="1"/>
  </r>
  <r>
    <n v="50"/>
    <x v="0"/>
    <d v="1900-01-03T00:00:00"/>
    <x v="2"/>
    <s v="Sports"/>
    <s v="United States"/>
    <s v="Urban"/>
    <n v="179"/>
    <x v="2"/>
    <n v="19318"/>
    <b v="0"/>
    <b v="0"/>
    <b v="0"/>
  </r>
  <r>
    <n v="18"/>
    <x v="2"/>
    <d v="1900-01-02T00:00:00"/>
    <x v="0"/>
    <s v="Travel"/>
    <s v="United Kingdom"/>
    <s v="Sub_Urban"/>
    <n v="180"/>
    <x v="1"/>
    <n v="18488"/>
    <b v="0"/>
    <b v="1"/>
    <b v="0"/>
  </r>
  <r>
    <n v="44"/>
    <x v="2"/>
    <d v="1900-01-03T00:00:00"/>
    <x v="2"/>
    <s v="Sports"/>
    <s v="United States"/>
    <s v="Sub_Urban"/>
    <n v="181"/>
    <x v="0"/>
    <n v="13787"/>
    <b v="1"/>
    <b v="1"/>
    <b v="1"/>
  </r>
  <r>
    <n v="30"/>
    <x v="0"/>
    <d v="1900-01-04T00:00:00"/>
    <x v="1"/>
    <s v="Lifestlye"/>
    <s v="United States"/>
    <s v="Rural"/>
    <n v="182"/>
    <x v="1"/>
    <n v="12096"/>
    <b v="0"/>
    <b v="0"/>
    <b v="1"/>
  </r>
  <r>
    <n v="58"/>
    <x v="1"/>
    <d v="1900-01-05T00:00:00"/>
    <x v="2"/>
    <s v="Sports"/>
    <s v="Australia"/>
    <s v="Sub_Urban"/>
    <n v="183"/>
    <x v="0"/>
    <n v="12208"/>
    <b v="0"/>
    <b v="0"/>
    <b v="1"/>
  </r>
  <r>
    <n v="20"/>
    <x v="2"/>
    <d v="1900-01-02T00:00:00"/>
    <x v="0"/>
    <s v="Lifestlye"/>
    <s v="United Kingdom"/>
    <s v="Sub_Urban"/>
    <n v="184"/>
    <x v="1"/>
    <n v="15988"/>
    <b v="1"/>
    <b v="0"/>
    <b v="1"/>
  </r>
  <r>
    <n v="56"/>
    <x v="1"/>
    <d v="1900-01-01T00:00:00"/>
    <x v="0"/>
    <s v="Sports"/>
    <s v="United States"/>
    <s v="Urban"/>
    <n v="185"/>
    <x v="1"/>
    <n v="10175"/>
    <b v="0"/>
    <b v="0"/>
    <b v="1"/>
  </r>
  <r>
    <n v="23"/>
    <x v="1"/>
    <d v="1900-01-03T00:00:00"/>
    <x v="1"/>
    <s v="Travel"/>
    <s v="Australia"/>
    <s v="Rural"/>
    <n v="186"/>
    <x v="0"/>
    <n v="17169"/>
    <b v="1"/>
    <b v="0"/>
    <b v="0"/>
  </r>
  <r>
    <n v="25"/>
    <x v="2"/>
    <d v="1900-01-04T00:00:00"/>
    <x v="1"/>
    <s v="Sports"/>
    <s v="United Kingdom"/>
    <s v="Urban"/>
    <n v="187"/>
    <x v="1"/>
    <n v="16014"/>
    <b v="1"/>
    <b v="1"/>
    <b v="1"/>
  </r>
  <r>
    <n v="44"/>
    <x v="1"/>
    <d v="1900-01-03T00:00:00"/>
    <x v="2"/>
    <s v="Sports"/>
    <s v="United Kingdom"/>
    <s v="Urban"/>
    <n v="188"/>
    <x v="1"/>
    <n v="11667"/>
    <b v="1"/>
    <b v="1"/>
    <b v="1"/>
  </r>
  <r>
    <n v="26"/>
    <x v="2"/>
    <d v="1900-01-02T00:00:00"/>
    <x v="2"/>
    <s v="Sports"/>
    <s v="Australia"/>
    <s v="Rural"/>
    <n v="189"/>
    <x v="1"/>
    <n v="18867"/>
    <b v="1"/>
    <b v="1"/>
    <b v="0"/>
  </r>
  <r>
    <n v="54"/>
    <x v="1"/>
    <d v="1900-01-07T00:00:00"/>
    <x v="0"/>
    <s v="Travel"/>
    <s v="Australia"/>
    <s v="Rural"/>
    <n v="190"/>
    <x v="2"/>
    <n v="11823"/>
    <b v="0"/>
    <b v="1"/>
    <b v="1"/>
  </r>
  <r>
    <n v="50"/>
    <x v="2"/>
    <d v="1900-01-03T00:00:00"/>
    <x v="1"/>
    <s v="Sports"/>
    <s v="Australia"/>
    <s v="Rural"/>
    <n v="191"/>
    <x v="0"/>
    <n v="15147"/>
    <b v="0"/>
    <b v="0"/>
    <b v="0"/>
  </r>
  <r>
    <n v="59"/>
    <x v="0"/>
    <d v="1900-01-01T00:00:00"/>
    <x v="1"/>
    <s v="Travel"/>
    <s v="Australia"/>
    <s v="Sub_Urban"/>
    <n v="192"/>
    <x v="1"/>
    <n v="11356"/>
    <b v="0"/>
    <b v="1"/>
    <b v="1"/>
  </r>
  <r>
    <n v="61"/>
    <x v="2"/>
    <d v="1900-01-01T00:00:00"/>
    <x v="1"/>
    <s v="Lifestlye"/>
    <s v="Australia"/>
    <s v="Rural"/>
    <n v="193"/>
    <x v="0"/>
    <n v="13072"/>
    <b v="1"/>
    <b v="1"/>
    <b v="0"/>
  </r>
  <r>
    <n v="41"/>
    <x v="2"/>
    <d v="1899-12-31T00:00:00"/>
    <x v="2"/>
    <s v="Sports"/>
    <s v="United States"/>
    <s v="Rural"/>
    <n v="194"/>
    <x v="0"/>
    <n v="13259"/>
    <b v="0"/>
    <b v="1"/>
    <b v="1"/>
  </r>
  <r>
    <n v="32"/>
    <x v="2"/>
    <d v="1900-01-03T00:00:00"/>
    <x v="1"/>
    <s v="Travel"/>
    <s v="United States"/>
    <s v="Rural"/>
    <n v="195"/>
    <x v="0"/>
    <n v="16199"/>
    <b v="0"/>
    <b v="0"/>
    <b v="0"/>
  </r>
  <r>
    <n v="49"/>
    <x v="2"/>
    <d v="1900-01-08T00:00:00"/>
    <x v="0"/>
    <s v="Travel"/>
    <s v="United Kingdom"/>
    <s v="Urban"/>
    <n v="196"/>
    <x v="1"/>
    <n v="10546"/>
    <b v="0"/>
    <b v="1"/>
    <b v="0"/>
  </r>
  <r>
    <n v="49"/>
    <x v="1"/>
    <d v="1900-01-06T00:00:00"/>
    <x v="0"/>
    <s v="Sports"/>
    <s v="United States"/>
    <s v="Urban"/>
    <n v="197"/>
    <x v="1"/>
    <n v="15231"/>
    <b v="0"/>
    <b v="0"/>
    <b v="1"/>
  </r>
  <r>
    <n v="41"/>
    <x v="0"/>
    <d v="1900-01-06T00:00:00"/>
    <x v="2"/>
    <s v="Lifestlye"/>
    <s v="United States"/>
    <s v="Sub_Urban"/>
    <n v="198"/>
    <x v="0"/>
    <n v="17965"/>
    <b v="1"/>
    <b v="1"/>
    <b v="1"/>
  </r>
  <r>
    <n v="58"/>
    <x v="2"/>
    <d v="1900-01-06T00:00:00"/>
    <x v="2"/>
    <s v="Travel"/>
    <s v="United States"/>
    <s v="Urban"/>
    <n v="199"/>
    <x v="2"/>
    <n v="12083"/>
    <b v="1"/>
    <b v="0"/>
    <b v="1"/>
  </r>
  <r>
    <n v="29"/>
    <x v="1"/>
    <d v="1900-01-07T00:00:00"/>
    <x v="1"/>
    <s v="Sports"/>
    <s v="Australia"/>
    <s v="Sub_Urban"/>
    <n v="200"/>
    <x v="0"/>
    <n v="12040"/>
    <b v="0"/>
    <b v="1"/>
    <b v="0"/>
  </r>
  <r>
    <n v="56"/>
    <x v="0"/>
    <d v="1899-12-31T00:00:00"/>
    <x v="2"/>
    <s v="Lifestlye"/>
    <s v="United Kingdom"/>
    <s v="Urban"/>
    <n v="201"/>
    <x v="2"/>
    <n v="14534"/>
    <b v="1"/>
    <b v="0"/>
    <b v="0"/>
  </r>
  <r>
    <n v="19"/>
    <x v="0"/>
    <d v="1900-01-07T00:00:00"/>
    <x v="0"/>
    <s v="Travel"/>
    <s v="United Kingdom"/>
    <s v="Rural"/>
    <n v="202"/>
    <x v="0"/>
    <n v="11752"/>
    <b v="0"/>
    <b v="1"/>
    <b v="0"/>
  </r>
  <r>
    <n v="20"/>
    <x v="0"/>
    <d v="1900-01-03T00:00:00"/>
    <x v="1"/>
    <s v="Travel"/>
    <s v="United Kingdom"/>
    <s v="Urban"/>
    <n v="203"/>
    <x v="0"/>
    <n v="19807"/>
    <b v="0"/>
    <b v="0"/>
    <b v="1"/>
  </r>
  <r>
    <n v="54"/>
    <x v="0"/>
    <d v="1900-01-03T00:00:00"/>
    <x v="0"/>
    <s v="Lifestlye"/>
    <s v="United Kingdom"/>
    <s v="Sub_Urban"/>
    <n v="204"/>
    <x v="0"/>
    <n v="11849"/>
    <b v="0"/>
    <b v="0"/>
    <b v="1"/>
  </r>
  <r>
    <n v="34"/>
    <x v="2"/>
    <d v="1900-01-03T00:00:00"/>
    <x v="1"/>
    <s v="Lifestlye"/>
    <s v="United States"/>
    <s v="Urban"/>
    <n v="205"/>
    <x v="1"/>
    <n v="12642"/>
    <b v="1"/>
    <b v="1"/>
    <b v="0"/>
  </r>
  <r>
    <n v="19"/>
    <x v="2"/>
    <d v="1900-01-05T00:00:00"/>
    <x v="2"/>
    <s v="Sports"/>
    <s v="United States"/>
    <s v="Rural"/>
    <n v="206"/>
    <x v="2"/>
    <n v="11600"/>
    <b v="0"/>
    <b v="0"/>
    <b v="1"/>
  </r>
  <r>
    <n v="19"/>
    <x v="1"/>
    <d v="1900-01-06T00:00:00"/>
    <x v="1"/>
    <s v="Sports"/>
    <s v="Australia"/>
    <s v="Sub_Urban"/>
    <n v="207"/>
    <x v="2"/>
    <n v="14402"/>
    <b v="1"/>
    <b v="0"/>
    <b v="0"/>
  </r>
  <r>
    <n v="45"/>
    <x v="1"/>
    <d v="1900-01-05T00:00:00"/>
    <x v="1"/>
    <s v="Travel"/>
    <s v="United Kingdom"/>
    <s v="Rural"/>
    <n v="208"/>
    <x v="0"/>
    <n v="13799"/>
    <b v="1"/>
    <b v="1"/>
    <b v="1"/>
  </r>
  <r>
    <n v="40"/>
    <x v="1"/>
    <d v="1899-12-31T00:00:00"/>
    <x v="0"/>
    <s v="Lifestlye"/>
    <s v="United States"/>
    <s v="Rural"/>
    <n v="209"/>
    <x v="1"/>
    <n v="10618"/>
    <b v="0"/>
    <b v="1"/>
    <b v="1"/>
  </r>
  <r>
    <n v="54"/>
    <x v="0"/>
    <d v="1900-01-07T00:00:00"/>
    <x v="0"/>
    <s v="Lifestlye"/>
    <s v="United States"/>
    <s v="Sub_Urban"/>
    <n v="210"/>
    <x v="1"/>
    <n v="11132"/>
    <b v="1"/>
    <b v="0"/>
    <b v="0"/>
  </r>
  <r>
    <n v="49"/>
    <x v="0"/>
    <d v="1900-01-06T00:00:00"/>
    <x v="1"/>
    <s v="Lifestlye"/>
    <s v="Australia"/>
    <s v="Rural"/>
    <n v="211"/>
    <x v="2"/>
    <n v="15491"/>
    <b v="1"/>
    <b v="1"/>
    <b v="1"/>
  </r>
  <r>
    <n v="50"/>
    <x v="2"/>
    <d v="1900-01-05T00:00:00"/>
    <x v="2"/>
    <s v="Travel"/>
    <s v="Australia"/>
    <s v="Rural"/>
    <n v="212"/>
    <x v="1"/>
    <n v="15795"/>
    <b v="0"/>
    <b v="1"/>
    <b v="1"/>
  </r>
  <r>
    <n v="18"/>
    <x v="0"/>
    <d v="1900-01-05T00:00:00"/>
    <x v="2"/>
    <s v="Lifestlye"/>
    <s v="Australia"/>
    <s v="Urban"/>
    <n v="213"/>
    <x v="2"/>
    <n v="17633"/>
    <b v="1"/>
    <b v="1"/>
    <b v="1"/>
  </r>
  <r>
    <n v="36"/>
    <x v="0"/>
    <d v="1900-01-04T00:00:00"/>
    <x v="0"/>
    <s v="Lifestlye"/>
    <s v="United States"/>
    <s v="Rural"/>
    <n v="214"/>
    <x v="2"/>
    <n v="11487"/>
    <b v="1"/>
    <b v="0"/>
    <b v="1"/>
  </r>
  <r>
    <n v="19"/>
    <x v="0"/>
    <d v="1900-01-05T00:00:00"/>
    <x v="2"/>
    <s v="Travel"/>
    <s v="United States"/>
    <s v="Rural"/>
    <n v="215"/>
    <x v="2"/>
    <n v="17848"/>
    <b v="0"/>
    <b v="0"/>
    <b v="1"/>
  </r>
  <r>
    <n v="61"/>
    <x v="1"/>
    <d v="1900-01-08T00:00:00"/>
    <x v="0"/>
    <s v="Sports"/>
    <s v="Australia"/>
    <s v="Rural"/>
    <n v="216"/>
    <x v="1"/>
    <n v="15009"/>
    <b v="0"/>
    <b v="0"/>
    <b v="0"/>
  </r>
  <r>
    <n v="43"/>
    <x v="1"/>
    <d v="1900-01-08T00:00:00"/>
    <x v="2"/>
    <s v="Sports"/>
    <s v="United Kingdom"/>
    <s v="Rural"/>
    <n v="217"/>
    <x v="2"/>
    <n v="19749"/>
    <b v="1"/>
    <b v="0"/>
    <b v="1"/>
  </r>
  <r>
    <n v="49"/>
    <x v="2"/>
    <d v="1900-01-07T00:00:00"/>
    <x v="1"/>
    <s v="Travel"/>
    <s v="Australia"/>
    <s v="Sub_Urban"/>
    <n v="218"/>
    <x v="2"/>
    <n v="12113"/>
    <b v="0"/>
    <b v="0"/>
    <b v="0"/>
  </r>
  <r>
    <n v="23"/>
    <x v="0"/>
    <d v="1900-01-08T00:00:00"/>
    <x v="0"/>
    <s v="Lifestlye"/>
    <s v="Australia"/>
    <s v="Urban"/>
    <n v="219"/>
    <x v="0"/>
    <n v="11044"/>
    <b v="0"/>
    <b v="0"/>
    <b v="1"/>
  </r>
  <r>
    <n v="49"/>
    <x v="0"/>
    <d v="1900-01-07T00:00:00"/>
    <x v="0"/>
    <s v="Travel"/>
    <s v="Australia"/>
    <s v="Rural"/>
    <n v="220"/>
    <x v="2"/>
    <n v="12431"/>
    <b v="1"/>
    <b v="0"/>
    <b v="1"/>
  </r>
  <r>
    <n v="21"/>
    <x v="2"/>
    <d v="1900-01-07T00:00:00"/>
    <x v="1"/>
    <s v="Sports"/>
    <s v="Australia"/>
    <s v="Rural"/>
    <n v="221"/>
    <x v="2"/>
    <n v="17979"/>
    <b v="1"/>
    <b v="1"/>
    <b v="0"/>
  </r>
  <r>
    <n v="28"/>
    <x v="0"/>
    <d v="1899-12-31T00:00:00"/>
    <x v="0"/>
    <s v="Sports"/>
    <s v="United States"/>
    <s v="Sub_Urban"/>
    <n v="222"/>
    <x v="0"/>
    <n v="11582"/>
    <b v="0"/>
    <b v="0"/>
    <b v="0"/>
  </r>
  <r>
    <n v="34"/>
    <x v="0"/>
    <d v="1900-01-04T00:00:00"/>
    <x v="2"/>
    <s v="Travel"/>
    <s v="United Kingdom"/>
    <s v="Rural"/>
    <n v="223"/>
    <x v="0"/>
    <n v="11308"/>
    <b v="1"/>
    <b v="0"/>
    <b v="1"/>
  </r>
  <r>
    <n v="55"/>
    <x v="1"/>
    <d v="1900-01-03T00:00:00"/>
    <x v="2"/>
    <s v="Travel"/>
    <s v="Australia"/>
    <s v="Sub_Urban"/>
    <n v="224"/>
    <x v="1"/>
    <n v="14917"/>
    <b v="0"/>
    <b v="1"/>
    <b v="1"/>
  </r>
  <r>
    <n v="41"/>
    <x v="2"/>
    <d v="1900-01-01T00:00:00"/>
    <x v="0"/>
    <s v="Sports"/>
    <s v="United Kingdom"/>
    <s v="Urban"/>
    <n v="225"/>
    <x v="2"/>
    <n v="18793"/>
    <b v="0"/>
    <b v="1"/>
    <b v="0"/>
  </r>
  <r>
    <n v="22"/>
    <x v="2"/>
    <d v="1900-01-07T00:00:00"/>
    <x v="2"/>
    <s v="Travel"/>
    <s v="United Kingdom"/>
    <s v="Urban"/>
    <n v="226"/>
    <x v="1"/>
    <n v="11620"/>
    <b v="1"/>
    <b v="1"/>
    <b v="0"/>
  </r>
  <r>
    <n v="51"/>
    <x v="2"/>
    <d v="1900-01-02T00:00:00"/>
    <x v="0"/>
    <s v="Sports"/>
    <s v="United Kingdom"/>
    <s v="Rural"/>
    <n v="227"/>
    <x v="1"/>
    <n v="17503"/>
    <b v="1"/>
    <b v="0"/>
    <b v="0"/>
  </r>
  <r>
    <n v="23"/>
    <x v="2"/>
    <d v="1900-01-03T00:00:00"/>
    <x v="1"/>
    <s v="Travel"/>
    <s v="Australia"/>
    <s v="Rural"/>
    <n v="228"/>
    <x v="0"/>
    <n v="14766"/>
    <b v="0"/>
    <b v="1"/>
    <b v="0"/>
  </r>
  <r>
    <n v="39"/>
    <x v="1"/>
    <d v="1900-01-06T00:00:00"/>
    <x v="0"/>
    <s v="Travel"/>
    <s v="United States"/>
    <s v="Rural"/>
    <n v="229"/>
    <x v="1"/>
    <n v="15362"/>
    <b v="0"/>
    <b v="0"/>
    <b v="1"/>
  </r>
  <r>
    <n v="28"/>
    <x v="1"/>
    <d v="1900-01-08T00:00:00"/>
    <x v="1"/>
    <s v="Travel"/>
    <s v="Australia"/>
    <s v="Sub_Urban"/>
    <n v="230"/>
    <x v="2"/>
    <n v="15192"/>
    <b v="0"/>
    <b v="0"/>
    <b v="1"/>
  </r>
  <r>
    <n v="33"/>
    <x v="0"/>
    <d v="1900-01-01T00:00:00"/>
    <x v="2"/>
    <s v="Sports"/>
    <s v="United Kingdom"/>
    <s v="Rural"/>
    <n v="231"/>
    <x v="0"/>
    <n v="16622"/>
    <b v="0"/>
    <b v="0"/>
    <b v="1"/>
  </r>
  <r>
    <n v="50"/>
    <x v="0"/>
    <d v="1900-01-02T00:00:00"/>
    <x v="1"/>
    <s v="Travel"/>
    <s v="United Kingdom"/>
    <s v="Rural"/>
    <n v="232"/>
    <x v="2"/>
    <n v="16093"/>
    <b v="1"/>
    <b v="1"/>
    <b v="1"/>
  </r>
  <r>
    <n v="26"/>
    <x v="0"/>
    <d v="1900-01-03T00:00:00"/>
    <x v="2"/>
    <s v="Sports"/>
    <s v="United States"/>
    <s v="Urban"/>
    <n v="233"/>
    <x v="2"/>
    <n v="16704"/>
    <b v="0"/>
    <b v="1"/>
    <b v="1"/>
  </r>
  <r>
    <n v="23"/>
    <x v="0"/>
    <d v="1899-12-31T00:00:00"/>
    <x v="0"/>
    <s v="Sports"/>
    <s v="Australia"/>
    <s v="Rural"/>
    <n v="234"/>
    <x v="0"/>
    <n v="10100"/>
    <b v="1"/>
    <b v="0"/>
    <b v="0"/>
  </r>
  <r>
    <n v="33"/>
    <x v="1"/>
    <d v="1900-01-06T00:00:00"/>
    <x v="2"/>
    <s v="Travel"/>
    <s v="United Kingdom"/>
    <s v="Urban"/>
    <n v="235"/>
    <x v="2"/>
    <n v="16657"/>
    <b v="1"/>
    <b v="0"/>
    <b v="0"/>
  </r>
  <r>
    <n v="46"/>
    <x v="2"/>
    <d v="1900-01-01T00:00:00"/>
    <x v="0"/>
    <s v="Travel"/>
    <s v="United States"/>
    <s v="Rural"/>
    <n v="236"/>
    <x v="0"/>
    <n v="15875"/>
    <b v="0"/>
    <b v="0"/>
    <b v="0"/>
  </r>
  <r>
    <n v="20"/>
    <x v="1"/>
    <d v="1900-01-04T00:00:00"/>
    <x v="0"/>
    <s v="Sports"/>
    <s v="United Kingdom"/>
    <s v="Urban"/>
    <n v="237"/>
    <x v="2"/>
    <n v="14271"/>
    <b v="1"/>
    <b v="1"/>
    <b v="1"/>
  </r>
  <r>
    <n v="37"/>
    <x v="0"/>
    <d v="1899-12-31T00:00:00"/>
    <x v="1"/>
    <s v="Sports"/>
    <s v="United States"/>
    <s v="Rural"/>
    <n v="238"/>
    <x v="0"/>
    <n v="10237"/>
    <b v="1"/>
    <b v="0"/>
    <b v="0"/>
  </r>
  <r>
    <n v="53"/>
    <x v="1"/>
    <d v="1900-01-02T00:00:00"/>
    <x v="1"/>
    <s v="Lifestlye"/>
    <s v="United States"/>
    <s v="Urban"/>
    <n v="239"/>
    <x v="1"/>
    <n v="17226"/>
    <b v="0"/>
    <b v="1"/>
    <b v="1"/>
  </r>
  <r>
    <n v="36"/>
    <x v="2"/>
    <d v="1900-01-01T00:00:00"/>
    <x v="1"/>
    <s v="Sports"/>
    <s v="Australia"/>
    <s v="Sub_Urban"/>
    <n v="240"/>
    <x v="2"/>
    <n v="18032"/>
    <b v="1"/>
    <b v="0"/>
    <b v="1"/>
  </r>
  <r>
    <n v="43"/>
    <x v="2"/>
    <d v="1899-12-31T00:00:00"/>
    <x v="1"/>
    <s v="Lifestlye"/>
    <s v="United Kingdom"/>
    <s v="Urban"/>
    <n v="241"/>
    <x v="0"/>
    <n v="15218"/>
    <b v="1"/>
    <b v="1"/>
    <b v="1"/>
  </r>
  <r>
    <n v="20"/>
    <x v="1"/>
    <d v="1900-01-06T00:00:00"/>
    <x v="2"/>
    <s v="Lifestlye"/>
    <s v="Australia"/>
    <s v="Urban"/>
    <n v="242"/>
    <x v="2"/>
    <n v="14025"/>
    <b v="0"/>
    <b v="0"/>
    <b v="0"/>
  </r>
  <r>
    <n v="36"/>
    <x v="1"/>
    <d v="1900-01-04T00:00:00"/>
    <x v="2"/>
    <s v="Lifestlye"/>
    <s v="United Kingdom"/>
    <s v="Urban"/>
    <n v="243"/>
    <x v="2"/>
    <n v="16073"/>
    <b v="0"/>
    <b v="1"/>
    <b v="1"/>
  </r>
  <r>
    <n v="37"/>
    <x v="1"/>
    <d v="1899-12-31T00:00:00"/>
    <x v="2"/>
    <s v="Travel"/>
    <s v="Australia"/>
    <s v="Rural"/>
    <n v="244"/>
    <x v="2"/>
    <n v="12542"/>
    <b v="0"/>
    <b v="1"/>
    <b v="1"/>
  </r>
  <r>
    <n v="49"/>
    <x v="0"/>
    <d v="1900-01-05T00:00:00"/>
    <x v="0"/>
    <s v="Travel"/>
    <s v="United Kingdom"/>
    <s v="Rural"/>
    <n v="245"/>
    <x v="0"/>
    <n v="11537"/>
    <b v="0"/>
    <b v="1"/>
    <b v="0"/>
  </r>
  <r>
    <n v="24"/>
    <x v="1"/>
    <d v="1900-01-04T00:00:00"/>
    <x v="2"/>
    <s v="Sports"/>
    <s v="Australia"/>
    <s v="Rural"/>
    <n v="246"/>
    <x v="1"/>
    <n v="10754"/>
    <b v="0"/>
    <b v="1"/>
    <b v="1"/>
  </r>
  <r>
    <n v="58"/>
    <x v="1"/>
    <d v="1900-01-02T00:00:00"/>
    <x v="2"/>
    <s v="Lifestlye"/>
    <s v="United States"/>
    <s v="Sub_Urban"/>
    <n v="247"/>
    <x v="1"/>
    <n v="17396"/>
    <b v="0"/>
    <b v="1"/>
    <b v="0"/>
  </r>
  <r>
    <n v="50"/>
    <x v="1"/>
    <d v="1900-01-06T00:00:00"/>
    <x v="2"/>
    <s v="Travel"/>
    <s v="United Kingdom"/>
    <s v="Sub_Urban"/>
    <n v="248"/>
    <x v="1"/>
    <n v="17823"/>
    <b v="0"/>
    <b v="1"/>
    <b v="1"/>
  </r>
  <r>
    <n v="57"/>
    <x v="2"/>
    <d v="1900-01-08T00:00:00"/>
    <x v="1"/>
    <s v="Travel"/>
    <s v="United Kingdom"/>
    <s v="Urban"/>
    <n v="249"/>
    <x v="0"/>
    <n v="15507"/>
    <b v="1"/>
    <b v="0"/>
    <b v="0"/>
  </r>
  <r>
    <n v="56"/>
    <x v="2"/>
    <d v="1900-01-08T00:00:00"/>
    <x v="2"/>
    <s v="Travel"/>
    <s v="United States"/>
    <s v="Sub_Urban"/>
    <n v="250"/>
    <x v="1"/>
    <n v="14235"/>
    <b v="1"/>
    <b v="0"/>
    <b v="1"/>
  </r>
  <r>
    <n v="35"/>
    <x v="0"/>
    <d v="1900-01-08T00:00:00"/>
    <x v="0"/>
    <s v="Travel"/>
    <s v="Australia"/>
    <s v="Urban"/>
    <n v="251"/>
    <x v="0"/>
    <n v="10540"/>
    <b v="0"/>
    <b v="0"/>
    <b v="1"/>
  </r>
  <r>
    <n v="57"/>
    <x v="0"/>
    <d v="1900-01-01T00:00:00"/>
    <x v="1"/>
    <s v="Travel"/>
    <s v="United Kingdom"/>
    <s v="Urban"/>
    <n v="252"/>
    <x v="2"/>
    <n v="15510"/>
    <b v="1"/>
    <b v="0"/>
    <b v="0"/>
  </r>
  <r>
    <n v="18"/>
    <x v="2"/>
    <d v="1900-01-02T00:00:00"/>
    <x v="0"/>
    <s v="Lifestlye"/>
    <s v="United Kingdom"/>
    <s v="Urban"/>
    <n v="253"/>
    <x v="2"/>
    <n v="18461"/>
    <b v="1"/>
    <b v="1"/>
    <b v="1"/>
  </r>
  <r>
    <n v="28"/>
    <x v="2"/>
    <d v="1900-01-06T00:00:00"/>
    <x v="2"/>
    <s v="Lifestlye"/>
    <s v="Australia"/>
    <s v="Sub_Urban"/>
    <n v="254"/>
    <x v="1"/>
    <n v="17926"/>
    <b v="0"/>
    <b v="0"/>
    <b v="0"/>
  </r>
  <r>
    <n v="45"/>
    <x v="2"/>
    <d v="1900-01-04T00:00:00"/>
    <x v="1"/>
    <s v="Lifestlye"/>
    <s v="United States"/>
    <s v="Rural"/>
    <n v="255"/>
    <x v="0"/>
    <n v="15131"/>
    <b v="1"/>
    <b v="1"/>
    <b v="1"/>
  </r>
  <r>
    <n v="42"/>
    <x v="1"/>
    <d v="1900-01-01T00:00:00"/>
    <x v="0"/>
    <s v="Lifestlye"/>
    <s v="Australia"/>
    <s v="Sub_Urban"/>
    <n v="256"/>
    <x v="2"/>
    <n v="18697"/>
    <b v="0"/>
    <b v="1"/>
    <b v="0"/>
  </r>
  <r>
    <n v="40"/>
    <x v="1"/>
    <d v="1900-01-02T00:00:00"/>
    <x v="2"/>
    <s v="Sports"/>
    <s v="Australia"/>
    <s v="Urban"/>
    <n v="257"/>
    <x v="0"/>
    <n v="11129"/>
    <b v="1"/>
    <b v="1"/>
    <b v="1"/>
  </r>
  <r>
    <n v="48"/>
    <x v="2"/>
    <d v="1900-01-05T00:00:00"/>
    <x v="0"/>
    <s v="Lifestlye"/>
    <s v="Australia"/>
    <s v="Urban"/>
    <n v="258"/>
    <x v="0"/>
    <n v="13145"/>
    <b v="0"/>
    <b v="0"/>
    <b v="1"/>
  </r>
  <r>
    <n v="47"/>
    <x v="1"/>
    <d v="1900-01-06T00:00:00"/>
    <x v="0"/>
    <s v="Travel"/>
    <s v="United Kingdom"/>
    <s v="Sub_Urban"/>
    <n v="259"/>
    <x v="2"/>
    <n v="18553"/>
    <b v="1"/>
    <b v="1"/>
    <b v="1"/>
  </r>
  <r>
    <n v="59"/>
    <x v="1"/>
    <d v="1900-01-08T00:00:00"/>
    <x v="0"/>
    <s v="Lifestlye"/>
    <s v="United States"/>
    <s v="Urban"/>
    <n v="260"/>
    <x v="0"/>
    <n v="13720"/>
    <b v="1"/>
    <b v="0"/>
    <b v="0"/>
  </r>
  <r>
    <n v="52"/>
    <x v="0"/>
    <d v="1899-12-31T00:00:00"/>
    <x v="2"/>
    <s v="Sports"/>
    <s v="United States"/>
    <s v="Urban"/>
    <n v="261"/>
    <x v="2"/>
    <n v="19648"/>
    <b v="1"/>
    <b v="0"/>
    <b v="0"/>
  </r>
  <r>
    <n v="24"/>
    <x v="2"/>
    <d v="1900-01-06T00:00:00"/>
    <x v="2"/>
    <s v="Travel"/>
    <s v="Australia"/>
    <s v="Sub_Urban"/>
    <n v="262"/>
    <x v="2"/>
    <n v="14067"/>
    <b v="0"/>
    <b v="0"/>
    <b v="0"/>
  </r>
  <r>
    <n v="33"/>
    <x v="2"/>
    <d v="1900-01-07T00:00:00"/>
    <x v="0"/>
    <s v="Lifestlye"/>
    <s v="United Kingdom"/>
    <s v="Sub_Urban"/>
    <n v="263"/>
    <x v="2"/>
    <n v="14195"/>
    <b v="1"/>
    <b v="0"/>
    <b v="0"/>
  </r>
  <r>
    <n v="43"/>
    <x v="1"/>
    <d v="1900-01-02T00:00:00"/>
    <x v="1"/>
    <s v="Lifestlye"/>
    <s v="Australia"/>
    <s v="Sub_Urban"/>
    <n v="264"/>
    <x v="0"/>
    <n v="19873"/>
    <b v="1"/>
    <b v="0"/>
    <b v="0"/>
  </r>
  <r>
    <n v="19"/>
    <x v="2"/>
    <d v="1900-01-03T00:00:00"/>
    <x v="1"/>
    <s v="Lifestlye"/>
    <s v="United Kingdom"/>
    <s v="Urban"/>
    <n v="265"/>
    <x v="2"/>
    <n v="19244"/>
    <b v="0"/>
    <b v="1"/>
    <b v="1"/>
  </r>
  <r>
    <n v="18"/>
    <x v="0"/>
    <d v="1900-01-05T00:00:00"/>
    <x v="2"/>
    <s v="Travel"/>
    <s v="United Kingdom"/>
    <s v="Urban"/>
    <n v="266"/>
    <x v="0"/>
    <n v="17281"/>
    <b v="0"/>
    <b v="1"/>
    <b v="1"/>
  </r>
  <r>
    <n v="29"/>
    <x v="0"/>
    <d v="1900-01-06T00:00:00"/>
    <x v="2"/>
    <s v="Travel"/>
    <s v="United Kingdom"/>
    <s v="Rural"/>
    <n v="267"/>
    <x v="2"/>
    <n v="12509"/>
    <b v="1"/>
    <b v="0"/>
    <b v="1"/>
  </r>
  <r>
    <n v="22"/>
    <x v="0"/>
    <d v="1900-01-03T00:00:00"/>
    <x v="2"/>
    <s v="Sports"/>
    <s v="United Kingdom"/>
    <s v="Rural"/>
    <n v="268"/>
    <x v="2"/>
    <n v="15016"/>
    <b v="1"/>
    <b v="1"/>
    <b v="1"/>
  </r>
  <r>
    <n v="54"/>
    <x v="2"/>
    <d v="1900-01-07T00:00:00"/>
    <x v="2"/>
    <s v="Travel"/>
    <s v="United States"/>
    <s v="Sub_Urban"/>
    <n v="269"/>
    <x v="1"/>
    <n v="16533"/>
    <b v="1"/>
    <b v="0"/>
    <b v="1"/>
  </r>
  <r>
    <n v="49"/>
    <x v="2"/>
    <d v="1900-01-04T00:00:00"/>
    <x v="2"/>
    <s v="Travel"/>
    <s v="United Kingdom"/>
    <s v="Rural"/>
    <n v="270"/>
    <x v="1"/>
    <n v="14727"/>
    <b v="1"/>
    <b v="1"/>
    <b v="0"/>
  </r>
  <r>
    <n v="26"/>
    <x v="2"/>
    <d v="1899-12-31T00:00:00"/>
    <x v="1"/>
    <s v="Lifestlye"/>
    <s v="United Kingdom"/>
    <s v="Urban"/>
    <n v="271"/>
    <x v="1"/>
    <n v="10681"/>
    <b v="0"/>
    <b v="1"/>
    <b v="1"/>
  </r>
  <r>
    <n v="58"/>
    <x v="2"/>
    <d v="1900-01-03T00:00:00"/>
    <x v="2"/>
    <s v="Travel"/>
    <s v="Australia"/>
    <s v="Rural"/>
    <n v="272"/>
    <x v="0"/>
    <n v="13932"/>
    <b v="1"/>
    <b v="1"/>
    <b v="0"/>
  </r>
  <r>
    <n v="52"/>
    <x v="2"/>
    <d v="1900-01-02T00:00:00"/>
    <x v="0"/>
    <s v="Lifestlye"/>
    <s v="Australia"/>
    <s v="Urban"/>
    <n v="273"/>
    <x v="0"/>
    <n v="15560"/>
    <b v="1"/>
    <b v="1"/>
    <b v="1"/>
  </r>
  <r>
    <n v="36"/>
    <x v="0"/>
    <d v="1900-01-08T00:00:00"/>
    <x v="0"/>
    <s v="Lifestlye"/>
    <s v="United States"/>
    <s v="Sub_Urban"/>
    <n v="274"/>
    <x v="2"/>
    <n v="14016"/>
    <b v="0"/>
    <b v="1"/>
    <b v="0"/>
  </r>
  <r>
    <n v="33"/>
    <x v="1"/>
    <d v="1900-01-07T00:00:00"/>
    <x v="1"/>
    <s v="Travel"/>
    <s v="Australia"/>
    <s v="Sub_Urban"/>
    <n v="275"/>
    <x v="2"/>
    <n v="17339"/>
    <b v="1"/>
    <b v="1"/>
    <b v="0"/>
  </r>
  <r>
    <n v="20"/>
    <x v="0"/>
    <d v="1899-12-31T00:00:00"/>
    <x v="0"/>
    <s v="Sports"/>
    <s v="United Kingdom"/>
    <s v="Urban"/>
    <n v="276"/>
    <x v="2"/>
    <n v="10719"/>
    <b v="1"/>
    <b v="1"/>
    <b v="0"/>
  </r>
  <r>
    <n v="37"/>
    <x v="2"/>
    <d v="1900-01-05T00:00:00"/>
    <x v="1"/>
    <s v="Sports"/>
    <s v="Australia"/>
    <s v="Rural"/>
    <n v="277"/>
    <x v="2"/>
    <n v="10074"/>
    <b v="1"/>
    <b v="1"/>
    <b v="1"/>
  </r>
  <r>
    <n v="41"/>
    <x v="0"/>
    <d v="1900-01-08T00:00:00"/>
    <x v="1"/>
    <s v="Travel"/>
    <s v="United States"/>
    <s v="Sub_Urban"/>
    <n v="278"/>
    <x v="0"/>
    <n v="19485"/>
    <b v="0"/>
    <b v="1"/>
    <b v="1"/>
  </r>
  <r>
    <n v="50"/>
    <x v="2"/>
    <d v="1900-01-06T00:00:00"/>
    <x v="0"/>
    <s v="Sports"/>
    <s v="Australia"/>
    <s v="Sub_Urban"/>
    <n v="279"/>
    <x v="2"/>
    <n v="14157"/>
    <b v="0"/>
    <b v="1"/>
    <b v="1"/>
  </r>
  <r>
    <n v="41"/>
    <x v="2"/>
    <d v="1900-01-03T00:00:00"/>
    <x v="2"/>
    <s v="Lifestlye"/>
    <s v="Australia"/>
    <s v="Rural"/>
    <n v="280"/>
    <x v="2"/>
    <n v="18511"/>
    <b v="1"/>
    <b v="1"/>
    <b v="1"/>
  </r>
  <r>
    <n v="28"/>
    <x v="0"/>
    <d v="1899-12-31T00:00:00"/>
    <x v="0"/>
    <s v="Lifestlye"/>
    <s v="United States"/>
    <s v="Rural"/>
    <n v="281"/>
    <x v="1"/>
    <n v="12149"/>
    <b v="1"/>
    <b v="1"/>
    <b v="0"/>
  </r>
  <r>
    <n v="25"/>
    <x v="2"/>
    <d v="1900-01-01T00:00:00"/>
    <x v="0"/>
    <s v="Travel"/>
    <s v="United States"/>
    <s v="Urban"/>
    <n v="282"/>
    <x v="2"/>
    <n v="19644"/>
    <b v="0"/>
    <b v="1"/>
    <b v="0"/>
  </r>
  <r>
    <n v="53"/>
    <x v="1"/>
    <d v="1900-01-04T00:00:00"/>
    <x v="1"/>
    <s v="Sports"/>
    <s v="United Kingdom"/>
    <s v="Rural"/>
    <n v="283"/>
    <x v="2"/>
    <n v="19747"/>
    <b v="1"/>
    <b v="0"/>
    <b v="0"/>
  </r>
  <r>
    <n v="55"/>
    <x v="2"/>
    <d v="1900-01-04T00:00:00"/>
    <x v="0"/>
    <s v="Sports"/>
    <s v="Australia"/>
    <s v="Rural"/>
    <n v="284"/>
    <x v="2"/>
    <n v="16713"/>
    <b v="1"/>
    <b v="1"/>
    <b v="0"/>
  </r>
  <r>
    <n v="57"/>
    <x v="1"/>
    <d v="1900-01-07T00:00:00"/>
    <x v="1"/>
    <s v="Lifestlye"/>
    <s v="United Kingdom"/>
    <s v="Rural"/>
    <n v="285"/>
    <x v="0"/>
    <n v="14207"/>
    <b v="0"/>
    <b v="1"/>
    <b v="1"/>
  </r>
  <r>
    <n v="37"/>
    <x v="1"/>
    <d v="1900-01-05T00:00:00"/>
    <x v="2"/>
    <s v="Travel"/>
    <s v="Australia"/>
    <s v="Urban"/>
    <n v="286"/>
    <x v="1"/>
    <n v="17141"/>
    <b v="0"/>
    <b v="1"/>
    <b v="0"/>
  </r>
  <r>
    <n v="52"/>
    <x v="2"/>
    <d v="1900-01-07T00:00:00"/>
    <x v="2"/>
    <s v="Sports"/>
    <s v="Australia"/>
    <s v="Urban"/>
    <n v="287"/>
    <x v="2"/>
    <n v="18652"/>
    <b v="0"/>
    <b v="1"/>
    <b v="1"/>
  </r>
  <r>
    <n v="42"/>
    <x v="0"/>
    <d v="1900-01-01T00:00:00"/>
    <x v="2"/>
    <s v="Travel"/>
    <s v="United Kingdom"/>
    <s v="Sub_Urban"/>
    <n v="288"/>
    <x v="2"/>
    <n v="19078"/>
    <b v="1"/>
    <b v="1"/>
    <b v="0"/>
  </r>
  <r>
    <n v="52"/>
    <x v="1"/>
    <d v="1900-01-02T00:00:00"/>
    <x v="0"/>
    <s v="Sports"/>
    <s v="Australia"/>
    <s v="Urban"/>
    <n v="289"/>
    <x v="1"/>
    <n v="13936"/>
    <b v="1"/>
    <b v="1"/>
    <b v="0"/>
  </r>
  <r>
    <n v="42"/>
    <x v="0"/>
    <d v="1900-01-05T00:00:00"/>
    <x v="1"/>
    <s v="Lifestlye"/>
    <s v="Australia"/>
    <s v="Sub_Urban"/>
    <n v="290"/>
    <x v="2"/>
    <n v="19307"/>
    <b v="1"/>
    <b v="0"/>
    <b v="0"/>
  </r>
  <r>
    <n v="46"/>
    <x v="1"/>
    <d v="1900-01-02T00:00:00"/>
    <x v="2"/>
    <s v="Lifestlye"/>
    <s v="Australia"/>
    <s v="Rural"/>
    <n v="291"/>
    <x v="0"/>
    <n v="11075"/>
    <b v="1"/>
    <b v="0"/>
    <b v="1"/>
  </r>
  <r>
    <n v="35"/>
    <x v="2"/>
    <d v="1900-01-05T00:00:00"/>
    <x v="1"/>
    <s v="Travel"/>
    <s v="United States"/>
    <s v="Sub_Urban"/>
    <n v="292"/>
    <x v="2"/>
    <n v="13876"/>
    <b v="0"/>
    <b v="0"/>
    <b v="1"/>
  </r>
  <r>
    <n v="63"/>
    <x v="2"/>
    <d v="1900-01-05T00:00:00"/>
    <x v="1"/>
    <s v="Lifestlye"/>
    <s v="United Kingdom"/>
    <s v="Sub_Urban"/>
    <n v="293"/>
    <x v="0"/>
    <n v="14615"/>
    <b v="1"/>
    <b v="1"/>
    <b v="0"/>
  </r>
  <r>
    <n v="35"/>
    <x v="1"/>
    <d v="1900-01-01T00:00:00"/>
    <x v="2"/>
    <s v="Sports"/>
    <s v="United States"/>
    <s v="Rural"/>
    <n v="294"/>
    <x v="0"/>
    <n v="17265"/>
    <b v="1"/>
    <b v="1"/>
    <b v="0"/>
  </r>
  <r>
    <n v="19"/>
    <x v="2"/>
    <d v="1900-01-06T00:00:00"/>
    <x v="2"/>
    <s v="Lifestlye"/>
    <s v="United Kingdom"/>
    <s v="Sub_Urban"/>
    <n v="295"/>
    <x v="2"/>
    <n v="16379"/>
    <b v="0"/>
    <b v="1"/>
    <b v="0"/>
  </r>
  <r>
    <n v="52"/>
    <x v="1"/>
    <d v="1900-01-01T00:00:00"/>
    <x v="1"/>
    <s v="Travel"/>
    <s v="United Kingdom"/>
    <s v="Urban"/>
    <n v="296"/>
    <x v="1"/>
    <n v="19118"/>
    <b v="0"/>
    <b v="0"/>
    <b v="1"/>
  </r>
  <r>
    <n v="33"/>
    <x v="2"/>
    <d v="1900-01-05T00:00:00"/>
    <x v="2"/>
    <s v="Travel"/>
    <s v="Australia"/>
    <s v="Urban"/>
    <n v="297"/>
    <x v="0"/>
    <n v="14652"/>
    <b v="1"/>
    <b v="1"/>
    <b v="1"/>
  </r>
  <r>
    <n v="58"/>
    <x v="0"/>
    <d v="1899-12-31T00:00:00"/>
    <x v="1"/>
    <s v="Travel"/>
    <s v="United Kingdom"/>
    <s v="Urban"/>
    <n v="298"/>
    <x v="1"/>
    <n v="16792"/>
    <b v="0"/>
    <b v="1"/>
    <b v="1"/>
  </r>
  <r>
    <n v="53"/>
    <x v="2"/>
    <d v="1900-01-02T00:00:00"/>
    <x v="1"/>
    <s v="Sports"/>
    <s v="United States"/>
    <s v="Urban"/>
    <n v="299"/>
    <x v="2"/>
    <n v="19247"/>
    <b v="0"/>
    <b v="0"/>
    <b v="0"/>
  </r>
  <r>
    <n v="50"/>
    <x v="0"/>
    <d v="1900-01-01T00:00:00"/>
    <x v="2"/>
    <s v="Sports"/>
    <s v="United States"/>
    <s v="Sub_Urban"/>
    <n v="300"/>
    <x v="0"/>
    <n v="17456"/>
    <b v="1"/>
    <b v="0"/>
    <b v="1"/>
  </r>
  <r>
    <n v="21"/>
    <x v="2"/>
    <d v="1900-01-06T00:00:00"/>
    <x v="0"/>
    <s v="Sports"/>
    <s v="United States"/>
    <s v="Sub_Urban"/>
    <n v="301"/>
    <x v="2"/>
    <n v="14674"/>
    <b v="1"/>
    <b v="1"/>
    <b v="0"/>
  </r>
  <r>
    <n v="50"/>
    <x v="0"/>
    <d v="1900-01-03T00:00:00"/>
    <x v="2"/>
    <s v="Sports"/>
    <s v="United Kingdom"/>
    <s v="Rural"/>
    <n v="302"/>
    <x v="1"/>
    <n v="10541"/>
    <b v="1"/>
    <b v="1"/>
    <b v="1"/>
  </r>
  <r>
    <n v="31"/>
    <x v="2"/>
    <d v="1900-01-07T00:00:00"/>
    <x v="0"/>
    <s v="Sports"/>
    <s v="United States"/>
    <s v="Sub_Urban"/>
    <n v="303"/>
    <x v="2"/>
    <n v="12161"/>
    <b v="1"/>
    <b v="1"/>
    <b v="0"/>
  </r>
  <r>
    <n v="38"/>
    <x v="0"/>
    <d v="1900-01-05T00:00:00"/>
    <x v="1"/>
    <s v="Lifestlye"/>
    <s v="United Kingdom"/>
    <s v="Sub_Urban"/>
    <n v="304"/>
    <x v="2"/>
    <n v="12251"/>
    <b v="0"/>
    <b v="1"/>
    <b v="0"/>
  </r>
  <r>
    <n v="37"/>
    <x v="1"/>
    <d v="1900-01-03T00:00:00"/>
    <x v="1"/>
    <s v="Sports"/>
    <s v="United States"/>
    <s v="Sub_Urban"/>
    <n v="305"/>
    <x v="0"/>
    <n v="19244"/>
    <b v="0"/>
    <b v="0"/>
    <b v="1"/>
  </r>
  <r>
    <n v="25"/>
    <x v="1"/>
    <d v="1900-01-04T00:00:00"/>
    <x v="0"/>
    <s v="Sports"/>
    <s v="United States"/>
    <s v="Rural"/>
    <n v="306"/>
    <x v="2"/>
    <n v="14569"/>
    <b v="1"/>
    <b v="1"/>
    <b v="0"/>
  </r>
  <r>
    <n v="24"/>
    <x v="0"/>
    <d v="1900-01-08T00:00:00"/>
    <x v="1"/>
    <s v="Lifestlye"/>
    <s v="United Kingdom"/>
    <s v="Urban"/>
    <n v="307"/>
    <x v="2"/>
    <n v="12744"/>
    <b v="1"/>
    <b v="1"/>
    <b v="0"/>
  </r>
  <r>
    <n v="20"/>
    <x v="2"/>
    <d v="1900-01-06T00:00:00"/>
    <x v="0"/>
    <s v="Sports"/>
    <s v="United States"/>
    <s v="Sub_Urban"/>
    <n v="308"/>
    <x v="2"/>
    <n v="16041"/>
    <b v="0"/>
    <b v="0"/>
    <b v="0"/>
  </r>
  <r>
    <n v="34"/>
    <x v="0"/>
    <d v="1900-01-08T00:00:00"/>
    <x v="0"/>
    <s v="Travel"/>
    <s v="Australia"/>
    <s v="Rural"/>
    <n v="309"/>
    <x v="0"/>
    <n v="14675"/>
    <b v="1"/>
    <b v="1"/>
    <b v="1"/>
  </r>
  <r>
    <n v="50"/>
    <x v="2"/>
    <d v="1900-01-06T00:00:00"/>
    <x v="1"/>
    <s v="Sports"/>
    <s v="United Kingdom"/>
    <s v="Rural"/>
    <n v="310"/>
    <x v="1"/>
    <n v="11560"/>
    <b v="1"/>
    <b v="1"/>
    <b v="0"/>
  </r>
  <r>
    <n v="29"/>
    <x v="1"/>
    <d v="1899-12-31T00:00:00"/>
    <x v="0"/>
    <s v="Sports"/>
    <s v="United Kingdom"/>
    <s v="Rural"/>
    <n v="311"/>
    <x v="1"/>
    <n v="11164"/>
    <b v="1"/>
    <b v="0"/>
    <b v="1"/>
  </r>
  <r>
    <n v="39"/>
    <x v="2"/>
    <d v="1900-01-07T00:00:00"/>
    <x v="2"/>
    <s v="Travel"/>
    <s v="United Kingdom"/>
    <s v="Urban"/>
    <n v="312"/>
    <x v="2"/>
    <n v="15419"/>
    <b v="1"/>
    <b v="0"/>
    <b v="1"/>
  </r>
  <r>
    <n v="39"/>
    <x v="1"/>
    <d v="1900-01-03T00:00:00"/>
    <x v="2"/>
    <s v="Travel"/>
    <s v="Australia"/>
    <s v="Sub_Urban"/>
    <n v="313"/>
    <x v="0"/>
    <n v="12722"/>
    <b v="0"/>
    <b v="1"/>
    <b v="0"/>
  </r>
  <r>
    <n v="63"/>
    <x v="2"/>
    <d v="1900-01-02T00:00:00"/>
    <x v="1"/>
    <s v="Travel"/>
    <s v="United Kingdom"/>
    <s v="Rural"/>
    <n v="314"/>
    <x v="2"/>
    <n v="10470"/>
    <b v="1"/>
    <b v="0"/>
    <b v="1"/>
  </r>
  <r>
    <n v="47"/>
    <x v="2"/>
    <d v="1900-01-06T00:00:00"/>
    <x v="1"/>
    <s v="Travel"/>
    <s v="United States"/>
    <s v="Urban"/>
    <n v="315"/>
    <x v="1"/>
    <n v="19608"/>
    <b v="0"/>
    <b v="0"/>
    <b v="0"/>
  </r>
  <r>
    <n v="55"/>
    <x v="2"/>
    <d v="1900-01-02T00:00:00"/>
    <x v="0"/>
    <s v="Sports"/>
    <s v="United States"/>
    <s v="Rural"/>
    <n v="316"/>
    <x v="0"/>
    <n v="11468"/>
    <b v="1"/>
    <b v="1"/>
    <b v="1"/>
  </r>
  <r>
    <n v="55"/>
    <x v="0"/>
    <d v="1900-01-07T00:00:00"/>
    <x v="0"/>
    <s v="Travel"/>
    <s v="United States"/>
    <s v="Rural"/>
    <n v="317"/>
    <x v="1"/>
    <n v="17925"/>
    <b v="1"/>
    <b v="0"/>
    <b v="0"/>
  </r>
  <r>
    <n v="62"/>
    <x v="0"/>
    <d v="1900-01-05T00:00:00"/>
    <x v="0"/>
    <s v="Travel"/>
    <s v="United Kingdom"/>
    <s v="Rural"/>
    <n v="318"/>
    <x v="1"/>
    <n v="10808"/>
    <b v="0"/>
    <b v="1"/>
    <b v="1"/>
  </r>
  <r>
    <n v="25"/>
    <x v="1"/>
    <d v="1900-01-04T00:00:00"/>
    <x v="0"/>
    <s v="Lifestlye"/>
    <s v="United States"/>
    <s v="Rural"/>
    <n v="319"/>
    <x v="0"/>
    <n v="18363"/>
    <b v="1"/>
    <b v="1"/>
    <b v="0"/>
  </r>
  <r>
    <n v="44"/>
    <x v="1"/>
    <d v="1900-01-03T00:00:00"/>
    <x v="2"/>
    <s v="Travel"/>
    <s v="United Kingdom"/>
    <s v="Rural"/>
    <n v="320"/>
    <x v="0"/>
    <n v="16719"/>
    <b v="0"/>
    <b v="1"/>
    <b v="0"/>
  </r>
  <r>
    <n v="44"/>
    <x v="0"/>
    <d v="1900-01-07T00:00:00"/>
    <x v="2"/>
    <s v="Travel"/>
    <s v="United States"/>
    <s v="Urban"/>
    <n v="321"/>
    <x v="2"/>
    <n v="15073"/>
    <b v="1"/>
    <b v="1"/>
    <b v="0"/>
  </r>
  <r>
    <n v="51"/>
    <x v="1"/>
    <d v="1900-01-07T00:00:00"/>
    <x v="1"/>
    <s v="Lifestlye"/>
    <s v="Australia"/>
    <s v="Sub_Urban"/>
    <n v="322"/>
    <x v="2"/>
    <n v="18012"/>
    <b v="1"/>
    <b v="0"/>
    <b v="0"/>
  </r>
  <r>
    <n v="38"/>
    <x v="0"/>
    <d v="1899-12-31T00:00:00"/>
    <x v="0"/>
    <s v="Lifestlye"/>
    <s v="Australia"/>
    <s v="Sub_Urban"/>
    <n v="323"/>
    <x v="1"/>
    <n v="11645"/>
    <b v="1"/>
    <b v="1"/>
    <b v="1"/>
  </r>
  <r>
    <n v="47"/>
    <x v="2"/>
    <d v="1900-01-08T00:00:00"/>
    <x v="0"/>
    <s v="Sports"/>
    <s v="Australia"/>
    <s v="Sub_Urban"/>
    <n v="324"/>
    <x v="0"/>
    <n v="18249"/>
    <b v="1"/>
    <b v="1"/>
    <b v="1"/>
  </r>
  <r>
    <n v="50"/>
    <x v="1"/>
    <d v="1900-01-04T00:00:00"/>
    <x v="1"/>
    <s v="Lifestlye"/>
    <s v="Australia"/>
    <s v="Sub_Urban"/>
    <n v="325"/>
    <x v="0"/>
    <n v="11129"/>
    <b v="1"/>
    <b v="1"/>
    <b v="0"/>
  </r>
  <r>
    <n v="45"/>
    <x v="1"/>
    <d v="1900-01-03T00:00:00"/>
    <x v="0"/>
    <s v="Sports"/>
    <s v="United Kingdom"/>
    <s v="Urban"/>
    <n v="326"/>
    <x v="2"/>
    <n v="11353"/>
    <b v="0"/>
    <b v="1"/>
    <b v="1"/>
  </r>
  <r>
    <n v="64"/>
    <x v="0"/>
    <d v="1900-01-05T00:00:00"/>
    <x v="0"/>
    <s v="Lifestlye"/>
    <s v="United States"/>
    <s v="Urban"/>
    <n v="327"/>
    <x v="1"/>
    <n v="10767"/>
    <b v="0"/>
    <b v="0"/>
    <b v="0"/>
  </r>
  <r>
    <n v="50"/>
    <x v="1"/>
    <d v="1900-01-05T00:00:00"/>
    <x v="0"/>
    <s v="Lifestlye"/>
    <s v="Australia"/>
    <s v="Urban"/>
    <n v="328"/>
    <x v="1"/>
    <n v="13895"/>
    <b v="1"/>
    <b v="0"/>
    <b v="0"/>
  </r>
  <r>
    <n v="22"/>
    <x v="1"/>
    <d v="1900-01-01T00:00:00"/>
    <x v="0"/>
    <s v="Sports"/>
    <s v="United Kingdom"/>
    <s v="Rural"/>
    <n v="329"/>
    <x v="2"/>
    <n v="18874"/>
    <b v="1"/>
    <b v="0"/>
    <b v="1"/>
  </r>
  <r>
    <n v="36"/>
    <x v="2"/>
    <d v="1900-01-07T00:00:00"/>
    <x v="0"/>
    <s v="Lifestlye"/>
    <s v="Australia"/>
    <s v="Rural"/>
    <n v="330"/>
    <x v="0"/>
    <n v="13454"/>
    <b v="0"/>
    <b v="1"/>
    <b v="1"/>
  </r>
  <r>
    <n v="21"/>
    <x v="1"/>
    <d v="1900-01-06T00:00:00"/>
    <x v="1"/>
    <s v="Sports"/>
    <s v="Australia"/>
    <s v="Rural"/>
    <n v="331"/>
    <x v="2"/>
    <n v="17329"/>
    <b v="0"/>
    <b v="0"/>
    <b v="0"/>
  </r>
  <r>
    <n v="52"/>
    <x v="2"/>
    <d v="1899-12-31T00:00:00"/>
    <x v="0"/>
    <s v="Lifestlye"/>
    <s v="United Kingdom"/>
    <s v="Sub_Urban"/>
    <n v="332"/>
    <x v="2"/>
    <n v="11790"/>
    <b v="1"/>
    <b v="0"/>
    <b v="1"/>
  </r>
  <r>
    <n v="34"/>
    <x v="0"/>
    <d v="1900-01-04T00:00:00"/>
    <x v="1"/>
    <s v="Travel"/>
    <s v="United Kingdom"/>
    <s v="Rural"/>
    <n v="333"/>
    <x v="2"/>
    <n v="19669"/>
    <b v="1"/>
    <b v="1"/>
    <b v="0"/>
  </r>
  <r>
    <n v="61"/>
    <x v="1"/>
    <d v="1900-01-05T00:00:00"/>
    <x v="0"/>
    <s v="Lifestlye"/>
    <s v="United States"/>
    <s v="Sub_Urban"/>
    <n v="334"/>
    <x v="2"/>
    <n v="10885"/>
    <b v="0"/>
    <b v="0"/>
    <b v="1"/>
  </r>
  <r>
    <n v="45"/>
    <x v="2"/>
    <d v="1900-01-03T00:00:00"/>
    <x v="2"/>
    <s v="Sports"/>
    <s v="United States"/>
    <s v="Rural"/>
    <n v="335"/>
    <x v="0"/>
    <n v="17734"/>
    <b v="1"/>
    <b v="1"/>
    <b v="1"/>
  </r>
  <r>
    <n v="47"/>
    <x v="0"/>
    <d v="1900-01-01T00:00:00"/>
    <x v="2"/>
    <s v="Lifestlye"/>
    <s v="Australia"/>
    <s v="Sub_Urban"/>
    <n v="336"/>
    <x v="2"/>
    <n v="13906"/>
    <b v="0"/>
    <b v="0"/>
    <b v="1"/>
  </r>
  <r>
    <n v="46"/>
    <x v="1"/>
    <d v="1900-01-03T00:00:00"/>
    <x v="2"/>
    <s v="Sports"/>
    <s v="Australia"/>
    <s v="Rural"/>
    <n v="337"/>
    <x v="0"/>
    <n v="14492"/>
    <b v="1"/>
    <b v="0"/>
    <b v="1"/>
  </r>
  <r>
    <n v="63"/>
    <x v="0"/>
    <d v="1899-12-31T00:00:00"/>
    <x v="2"/>
    <s v="Sports"/>
    <s v="United States"/>
    <s v="Rural"/>
    <n v="338"/>
    <x v="2"/>
    <n v="19730"/>
    <b v="0"/>
    <b v="0"/>
    <b v="1"/>
  </r>
  <r>
    <n v="23"/>
    <x v="1"/>
    <d v="1900-01-06T00:00:00"/>
    <x v="1"/>
    <s v="Travel"/>
    <s v="United States"/>
    <s v="Urban"/>
    <n v="339"/>
    <x v="1"/>
    <n v="12073"/>
    <b v="0"/>
    <b v="0"/>
    <b v="0"/>
  </r>
  <r>
    <n v="52"/>
    <x v="0"/>
    <d v="1900-01-01T00:00:00"/>
    <x v="1"/>
    <s v="Travel"/>
    <s v="United Kingdom"/>
    <s v="Rural"/>
    <n v="340"/>
    <x v="0"/>
    <n v="10312"/>
    <b v="1"/>
    <b v="1"/>
    <b v="1"/>
  </r>
  <r>
    <n v="58"/>
    <x v="0"/>
    <d v="1900-01-01T00:00:00"/>
    <x v="0"/>
    <s v="Sports"/>
    <s v="United States"/>
    <s v="Rural"/>
    <n v="341"/>
    <x v="1"/>
    <n v="16269"/>
    <b v="0"/>
    <b v="1"/>
    <b v="1"/>
  </r>
  <r>
    <n v="54"/>
    <x v="2"/>
    <d v="1900-01-08T00:00:00"/>
    <x v="2"/>
    <s v="Lifestlye"/>
    <s v="United States"/>
    <s v="Urban"/>
    <n v="342"/>
    <x v="2"/>
    <n v="15317"/>
    <b v="1"/>
    <b v="0"/>
    <b v="0"/>
  </r>
  <r>
    <n v="41"/>
    <x v="0"/>
    <d v="1900-01-04T00:00:00"/>
    <x v="1"/>
    <s v="Sports"/>
    <s v="Australia"/>
    <s v="Sub_Urban"/>
    <n v="343"/>
    <x v="2"/>
    <n v="10810"/>
    <b v="1"/>
    <b v="1"/>
    <b v="0"/>
  </r>
  <r>
    <n v="46"/>
    <x v="1"/>
    <d v="1900-01-01T00:00:00"/>
    <x v="0"/>
    <s v="Sports"/>
    <s v="United States"/>
    <s v="Urban"/>
    <n v="344"/>
    <x v="2"/>
    <n v="16841"/>
    <b v="1"/>
    <b v="0"/>
    <b v="0"/>
  </r>
  <r>
    <n v="63"/>
    <x v="1"/>
    <d v="1900-01-08T00:00:00"/>
    <x v="0"/>
    <s v="Lifestlye"/>
    <s v="Australia"/>
    <s v="Urban"/>
    <n v="345"/>
    <x v="0"/>
    <n v="12032"/>
    <b v="1"/>
    <b v="0"/>
    <b v="1"/>
  </r>
  <r>
    <n v="48"/>
    <x v="2"/>
    <d v="1900-01-08T00:00:00"/>
    <x v="1"/>
    <s v="Lifestlye"/>
    <s v="United States"/>
    <s v="Sub_Urban"/>
    <n v="346"/>
    <x v="1"/>
    <n v="19699"/>
    <b v="0"/>
    <b v="0"/>
    <b v="1"/>
  </r>
  <r>
    <n v="52"/>
    <x v="1"/>
    <d v="1899-12-31T00:00:00"/>
    <x v="2"/>
    <s v="Lifestlye"/>
    <s v="United Kingdom"/>
    <s v="Rural"/>
    <n v="347"/>
    <x v="0"/>
    <n v="17129"/>
    <b v="1"/>
    <b v="0"/>
    <b v="0"/>
  </r>
  <r>
    <n v="50"/>
    <x v="1"/>
    <d v="1900-01-02T00:00:00"/>
    <x v="0"/>
    <s v="Lifestlye"/>
    <s v="United States"/>
    <s v="Sub_Urban"/>
    <n v="348"/>
    <x v="0"/>
    <n v="12705"/>
    <b v="1"/>
    <b v="0"/>
    <b v="0"/>
  </r>
  <r>
    <n v="38"/>
    <x v="1"/>
    <d v="1900-01-03T00:00:00"/>
    <x v="2"/>
    <s v="Sports"/>
    <s v="United States"/>
    <s v="Rural"/>
    <n v="349"/>
    <x v="2"/>
    <n v="18788"/>
    <b v="1"/>
    <b v="0"/>
    <b v="0"/>
  </r>
  <r>
    <n v="49"/>
    <x v="0"/>
    <d v="1900-01-06T00:00:00"/>
    <x v="2"/>
    <s v="Sports"/>
    <s v="United States"/>
    <s v="Rural"/>
    <n v="350"/>
    <x v="1"/>
    <n v="12147"/>
    <b v="1"/>
    <b v="1"/>
    <b v="0"/>
  </r>
  <r>
    <n v="40"/>
    <x v="0"/>
    <d v="1900-01-03T00:00:00"/>
    <x v="2"/>
    <s v="Travel"/>
    <s v="Australia"/>
    <s v="Sub_Urban"/>
    <n v="351"/>
    <x v="2"/>
    <n v="10615"/>
    <b v="0"/>
    <b v="1"/>
    <b v="1"/>
  </r>
  <r>
    <n v="50"/>
    <x v="1"/>
    <d v="1900-01-01T00:00:00"/>
    <x v="0"/>
    <s v="Sports"/>
    <s v="United Kingdom"/>
    <s v="Urban"/>
    <n v="352"/>
    <x v="0"/>
    <n v="10947"/>
    <b v="1"/>
    <b v="0"/>
    <b v="1"/>
  </r>
  <r>
    <n v="20"/>
    <x v="2"/>
    <d v="1900-01-06T00:00:00"/>
    <x v="2"/>
    <s v="Lifestlye"/>
    <s v="United States"/>
    <s v="Sub_Urban"/>
    <n v="353"/>
    <x v="2"/>
    <n v="15677"/>
    <b v="0"/>
    <b v="1"/>
    <b v="1"/>
  </r>
  <r>
    <n v="35"/>
    <x v="0"/>
    <d v="1900-01-05T00:00:00"/>
    <x v="0"/>
    <s v="Travel"/>
    <s v="Australia"/>
    <s v="Rural"/>
    <n v="354"/>
    <x v="1"/>
    <n v="14651"/>
    <b v="0"/>
    <b v="0"/>
    <b v="1"/>
  </r>
  <r>
    <n v="42"/>
    <x v="2"/>
    <d v="1900-01-02T00:00:00"/>
    <x v="2"/>
    <s v="Lifestlye"/>
    <s v="United Kingdom"/>
    <s v="Sub_Urban"/>
    <n v="355"/>
    <x v="2"/>
    <n v="17866"/>
    <b v="0"/>
    <b v="1"/>
    <b v="1"/>
  </r>
  <r>
    <n v="59"/>
    <x v="1"/>
    <d v="1900-01-05T00:00:00"/>
    <x v="0"/>
    <s v="Sports"/>
    <s v="Australia"/>
    <s v="Sub_Urban"/>
    <n v="356"/>
    <x v="1"/>
    <n v="12013"/>
    <b v="1"/>
    <b v="1"/>
    <b v="0"/>
  </r>
  <r>
    <n v="48"/>
    <x v="1"/>
    <d v="1900-01-05T00:00:00"/>
    <x v="2"/>
    <s v="Travel"/>
    <s v="Australia"/>
    <s v="Rural"/>
    <n v="357"/>
    <x v="1"/>
    <n v="13697"/>
    <b v="1"/>
    <b v="1"/>
    <b v="1"/>
  </r>
  <r>
    <n v="20"/>
    <x v="0"/>
    <d v="1900-01-04T00:00:00"/>
    <x v="1"/>
    <s v="Lifestlye"/>
    <s v="United Kingdom"/>
    <s v="Urban"/>
    <n v="358"/>
    <x v="2"/>
    <n v="10490"/>
    <b v="1"/>
    <b v="0"/>
    <b v="0"/>
  </r>
  <r>
    <n v="57"/>
    <x v="1"/>
    <d v="1900-01-03T00:00:00"/>
    <x v="2"/>
    <s v="Travel"/>
    <s v="United States"/>
    <s v="Sub_Urban"/>
    <n v="359"/>
    <x v="0"/>
    <n v="14350"/>
    <b v="1"/>
    <b v="1"/>
    <b v="0"/>
  </r>
  <r>
    <n v="63"/>
    <x v="0"/>
    <d v="1899-12-31T00:00:00"/>
    <x v="2"/>
    <s v="Travel"/>
    <s v="Australia"/>
    <s v="Rural"/>
    <n v="360"/>
    <x v="2"/>
    <n v="12428"/>
    <b v="0"/>
    <b v="0"/>
    <b v="0"/>
  </r>
  <r>
    <n v="41"/>
    <x v="1"/>
    <d v="1900-01-05T00:00:00"/>
    <x v="0"/>
    <s v="Sports"/>
    <s v="Australia"/>
    <s v="Rural"/>
    <n v="361"/>
    <x v="0"/>
    <n v="14987"/>
    <b v="0"/>
    <b v="0"/>
    <b v="1"/>
  </r>
  <r>
    <n v="49"/>
    <x v="1"/>
    <d v="1900-01-01T00:00:00"/>
    <x v="0"/>
    <s v="Lifestlye"/>
    <s v="United States"/>
    <s v="Sub_Urban"/>
    <n v="362"/>
    <x v="0"/>
    <n v="18733"/>
    <b v="1"/>
    <b v="0"/>
    <b v="0"/>
  </r>
  <r>
    <n v="64"/>
    <x v="0"/>
    <d v="1900-01-02T00:00:00"/>
    <x v="2"/>
    <s v="Travel"/>
    <s v="United States"/>
    <s v="Urban"/>
    <n v="363"/>
    <x v="2"/>
    <n v="19479"/>
    <b v="1"/>
    <b v="1"/>
    <b v="1"/>
  </r>
  <r>
    <n v="39"/>
    <x v="0"/>
    <d v="1900-01-07T00:00:00"/>
    <x v="1"/>
    <s v="Travel"/>
    <s v="United Kingdom"/>
    <s v="Sub_Urban"/>
    <n v="364"/>
    <x v="0"/>
    <n v="19825"/>
    <b v="1"/>
    <b v="1"/>
    <b v="0"/>
  </r>
  <r>
    <n v="40"/>
    <x v="0"/>
    <d v="1900-01-05T00:00:00"/>
    <x v="1"/>
    <s v="Lifestlye"/>
    <s v="United Kingdom"/>
    <s v="Urban"/>
    <n v="365"/>
    <x v="0"/>
    <n v="14920"/>
    <b v="1"/>
    <b v="1"/>
    <b v="1"/>
  </r>
  <r>
    <n v="19"/>
    <x v="1"/>
    <d v="1900-01-02T00:00:00"/>
    <x v="0"/>
    <s v="Travel"/>
    <s v="United Kingdom"/>
    <s v="Urban"/>
    <n v="366"/>
    <x v="2"/>
    <n v="12926"/>
    <b v="1"/>
    <b v="0"/>
    <b v="0"/>
  </r>
  <r>
    <n v="44"/>
    <x v="1"/>
    <d v="1900-01-06T00:00:00"/>
    <x v="1"/>
    <s v="Travel"/>
    <s v="United States"/>
    <s v="Urban"/>
    <n v="367"/>
    <x v="2"/>
    <n v="19544"/>
    <b v="1"/>
    <b v="0"/>
    <b v="1"/>
  </r>
  <r>
    <n v="59"/>
    <x v="2"/>
    <d v="1900-01-03T00:00:00"/>
    <x v="2"/>
    <s v="Travel"/>
    <s v="Australia"/>
    <s v="Urban"/>
    <n v="368"/>
    <x v="2"/>
    <n v="17282"/>
    <b v="1"/>
    <b v="1"/>
    <b v="0"/>
  </r>
  <r>
    <n v="19"/>
    <x v="0"/>
    <d v="1900-01-08T00:00:00"/>
    <x v="0"/>
    <s v="Lifestlye"/>
    <s v="Australia"/>
    <s v="Sub_Urban"/>
    <n v="369"/>
    <x v="0"/>
    <n v="14376"/>
    <b v="0"/>
    <b v="0"/>
    <b v="0"/>
  </r>
  <r>
    <n v="43"/>
    <x v="1"/>
    <d v="1900-01-04T00:00:00"/>
    <x v="2"/>
    <s v="Lifestlye"/>
    <s v="United Kingdom"/>
    <s v="Rural"/>
    <n v="370"/>
    <x v="1"/>
    <n v="19490"/>
    <b v="0"/>
    <b v="1"/>
    <b v="0"/>
  </r>
  <r>
    <n v="34"/>
    <x v="1"/>
    <d v="1900-01-02T00:00:00"/>
    <x v="0"/>
    <s v="Lifestlye"/>
    <s v="United States"/>
    <s v="Rural"/>
    <n v="371"/>
    <x v="0"/>
    <n v="14868"/>
    <b v="0"/>
    <b v="1"/>
    <b v="0"/>
  </r>
  <r>
    <n v="57"/>
    <x v="0"/>
    <d v="1900-01-01T00:00:00"/>
    <x v="0"/>
    <s v="Lifestlye"/>
    <s v="Australia"/>
    <s v="Rural"/>
    <n v="372"/>
    <x v="1"/>
    <n v="16986"/>
    <b v="0"/>
    <b v="1"/>
    <b v="1"/>
  </r>
  <r>
    <n v="50"/>
    <x v="2"/>
    <d v="1900-01-01T00:00:00"/>
    <x v="0"/>
    <s v="Sports"/>
    <s v="United Kingdom"/>
    <s v="Rural"/>
    <n v="373"/>
    <x v="2"/>
    <n v="16862"/>
    <b v="1"/>
    <b v="1"/>
    <b v="1"/>
  </r>
  <r>
    <n v="26"/>
    <x v="0"/>
    <d v="1900-01-02T00:00:00"/>
    <x v="0"/>
    <s v="Travel"/>
    <s v="Australia"/>
    <s v="Rural"/>
    <n v="374"/>
    <x v="1"/>
    <n v="14423"/>
    <b v="1"/>
    <b v="0"/>
    <b v="1"/>
  </r>
  <r>
    <n v="60"/>
    <x v="2"/>
    <d v="1900-01-01T00:00:00"/>
    <x v="1"/>
    <s v="Lifestlye"/>
    <s v="Australia"/>
    <s v="Rural"/>
    <n v="375"/>
    <x v="2"/>
    <n v="16870"/>
    <b v="1"/>
    <b v="1"/>
    <b v="0"/>
  </r>
  <r>
    <n v="56"/>
    <x v="1"/>
    <d v="1900-01-03T00:00:00"/>
    <x v="2"/>
    <s v="Travel"/>
    <s v="United States"/>
    <s v="Sub_Urban"/>
    <n v="376"/>
    <x v="2"/>
    <n v="18159"/>
    <b v="1"/>
    <b v="1"/>
    <b v="0"/>
  </r>
  <r>
    <n v="46"/>
    <x v="2"/>
    <d v="1900-01-01T00:00:00"/>
    <x v="2"/>
    <s v="Travel"/>
    <s v="United States"/>
    <s v="Urban"/>
    <n v="377"/>
    <x v="1"/>
    <n v="12073"/>
    <b v="1"/>
    <b v="1"/>
    <b v="0"/>
  </r>
  <r>
    <n v="59"/>
    <x v="1"/>
    <d v="1900-01-08T00:00:00"/>
    <x v="2"/>
    <s v="Sports"/>
    <s v="Australia"/>
    <s v="Rural"/>
    <n v="378"/>
    <x v="2"/>
    <n v="16170"/>
    <b v="0"/>
    <b v="1"/>
    <b v="0"/>
  </r>
  <r>
    <n v="43"/>
    <x v="0"/>
    <d v="1900-01-01T00:00:00"/>
    <x v="0"/>
    <s v="Lifestlye"/>
    <s v="United Kingdom"/>
    <s v="Sub_Urban"/>
    <n v="379"/>
    <x v="1"/>
    <n v="10701"/>
    <b v="1"/>
    <b v="1"/>
    <b v="0"/>
  </r>
  <r>
    <n v="52"/>
    <x v="0"/>
    <d v="1900-01-08T00:00:00"/>
    <x v="1"/>
    <s v="Lifestlye"/>
    <s v="United States"/>
    <s v="Rural"/>
    <n v="380"/>
    <x v="2"/>
    <n v="18113"/>
    <b v="0"/>
    <b v="1"/>
    <b v="0"/>
  </r>
  <r>
    <n v="42"/>
    <x v="0"/>
    <d v="1900-01-05T00:00:00"/>
    <x v="2"/>
    <s v="Travel"/>
    <s v="Australia"/>
    <s v="Rural"/>
    <n v="381"/>
    <x v="0"/>
    <n v="16825"/>
    <b v="1"/>
    <b v="1"/>
    <b v="1"/>
  </r>
  <r>
    <n v="41"/>
    <x v="2"/>
    <d v="1899-12-31T00:00:00"/>
    <x v="1"/>
    <s v="Lifestlye"/>
    <s v="United States"/>
    <s v="Urban"/>
    <n v="382"/>
    <x v="0"/>
    <n v="17867"/>
    <b v="0"/>
    <b v="0"/>
    <b v="1"/>
  </r>
  <r>
    <n v="30"/>
    <x v="1"/>
    <d v="1900-01-03T00:00:00"/>
    <x v="0"/>
    <s v="Travel"/>
    <s v="United States"/>
    <s v="Urban"/>
    <n v="383"/>
    <x v="2"/>
    <n v="14264"/>
    <b v="1"/>
    <b v="0"/>
    <b v="1"/>
  </r>
  <r>
    <n v="24"/>
    <x v="0"/>
    <d v="1899-12-31T00:00:00"/>
    <x v="2"/>
    <s v="Travel"/>
    <s v="United States"/>
    <s v="Urban"/>
    <n v="384"/>
    <x v="2"/>
    <n v="17968"/>
    <b v="0"/>
    <b v="0"/>
    <b v="1"/>
  </r>
  <r>
    <n v="53"/>
    <x v="0"/>
    <d v="1900-01-05T00:00:00"/>
    <x v="1"/>
    <s v="Sports"/>
    <s v="Australia"/>
    <s v="Rural"/>
    <n v="385"/>
    <x v="1"/>
    <n v="18146"/>
    <b v="1"/>
    <b v="0"/>
    <b v="1"/>
  </r>
  <r>
    <n v="62"/>
    <x v="1"/>
    <d v="1900-01-03T00:00:00"/>
    <x v="0"/>
    <s v="Sports"/>
    <s v="United Kingdom"/>
    <s v="Rural"/>
    <n v="386"/>
    <x v="0"/>
    <n v="17776"/>
    <b v="1"/>
    <b v="1"/>
    <b v="1"/>
  </r>
  <r>
    <n v="37"/>
    <x v="0"/>
    <d v="1900-01-02T00:00:00"/>
    <x v="1"/>
    <s v="Sports"/>
    <s v="United Kingdom"/>
    <s v="Rural"/>
    <n v="387"/>
    <x v="1"/>
    <n v="18558"/>
    <b v="1"/>
    <b v="0"/>
    <b v="1"/>
  </r>
  <r>
    <n v="18"/>
    <x v="1"/>
    <d v="1900-01-02T00:00:00"/>
    <x v="2"/>
    <s v="Travel"/>
    <s v="United Kingdom"/>
    <s v="Urban"/>
    <n v="388"/>
    <x v="2"/>
    <n v="18719"/>
    <b v="1"/>
    <b v="0"/>
    <b v="1"/>
  </r>
  <r>
    <n v="25"/>
    <x v="1"/>
    <d v="1900-01-08T00:00:00"/>
    <x v="2"/>
    <s v="Lifestlye"/>
    <s v="United States"/>
    <s v="Sub_Urban"/>
    <n v="389"/>
    <x v="2"/>
    <n v="14886"/>
    <b v="0"/>
    <b v="0"/>
    <b v="0"/>
  </r>
  <r>
    <n v="63"/>
    <x v="1"/>
    <d v="1900-01-05T00:00:00"/>
    <x v="0"/>
    <s v="Sports"/>
    <s v="Australia"/>
    <s v="Rural"/>
    <n v="390"/>
    <x v="1"/>
    <n v="13935"/>
    <b v="1"/>
    <b v="1"/>
    <b v="0"/>
  </r>
  <r>
    <n v="33"/>
    <x v="1"/>
    <d v="1900-01-08T00:00:00"/>
    <x v="0"/>
    <s v="Lifestlye"/>
    <s v="United States"/>
    <s v="Rural"/>
    <n v="391"/>
    <x v="2"/>
    <n v="14619"/>
    <b v="0"/>
    <b v="0"/>
    <b v="0"/>
  </r>
  <r>
    <n v="31"/>
    <x v="1"/>
    <d v="1900-01-04T00:00:00"/>
    <x v="0"/>
    <s v="Sports"/>
    <s v="United Kingdom"/>
    <s v="Rural"/>
    <n v="392"/>
    <x v="0"/>
    <n v="15191"/>
    <b v="1"/>
    <b v="0"/>
    <b v="0"/>
  </r>
  <r>
    <n v="29"/>
    <x v="2"/>
    <d v="1900-01-01T00:00:00"/>
    <x v="1"/>
    <s v="Sports"/>
    <s v="United Kingdom"/>
    <s v="Sub_Urban"/>
    <n v="393"/>
    <x v="1"/>
    <n v="16875"/>
    <b v="0"/>
    <b v="1"/>
    <b v="0"/>
  </r>
  <r>
    <n v="40"/>
    <x v="0"/>
    <d v="1900-01-07T00:00:00"/>
    <x v="1"/>
    <s v="Travel"/>
    <s v="Australia"/>
    <s v="Rural"/>
    <n v="394"/>
    <x v="0"/>
    <n v="17856"/>
    <b v="1"/>
    <b v="0"/>
    <b v="0"/>
  </r>
  <r>
    <n v="32"/>
    <x v="2"/>
    <d v="1900-01-04T00:00:00"/>
    <x v="1"/>
    <s v="Sports"/>
    <s v="United States"/>
    <s v="Sub_Urban"/>
    <n v="395"/>
    <x v="0"/>
    <n v="15401"/>
    <b v="1"/>
    <b v="1"/>
    <b v="0"/>
  </r>
  <r>
    <n v="45"/>
    <x v="0"/>
    <d v="1900-01-01T00:00:00"/>
    <x v="0"/>
    <s v="Sports"/>
    <s v="United Kingdom"/>
    <s v="Rural"/>
    <n v="396"/>
    <x v="0"/>
    <n v="13022"/>
    <b v="0"/>
    <b v="0"/>
    <b v="1"/>
  </r>
  <r>
    <n v="51"/>
    <x v="2"/>
    <d v="1900-01-03T00:00:00"/>
    <x v="2"/>
    <s v="Travel"/>
    <s v="Australia"/>
    <s v="Sub_Urban"/>
    <n v="397"/>
    <x v="1"/>
    <n v="15738"/>
    <b v="1"/>
    <b v="1"/>
    <b v="1"/>
  </r>
  <r>
    <n v="19"/>
    <x v="1"/>
    <d v="1900-01-08T00:00:00"/>
    <x v="2"/>
    <s v="Lifestlye"/>
    <s v="United States"/>
    <s v="Rural"/>
    <n v="398"/>
    <x v="2"/>
    <n v="15984"/>
    <b v="1"/>
    <b v="0"/>
    <b v="0"/>
  </r>
  <r>
    <n v="49"/>
    <x v="0"/>
    <d v="1900-01-03T00:00:00"/>
    <x v="1"/>
    <s v="Sports"/>
    <s v="United States"/>
    <s v="Urban"/>
    <n v="399"/>
    <x v="0"/>
    <n v="11770"/>
    <b v="0"/>
    <b v="0"/>
    <b v="1"/>
  </r>
  <r>
    <n v="40"/>
    <x v="0"/>
    <d v="1900-01-03T00:00:00"/>
    <x v="1"/>
    <s v="Travel"/>
    <s v="United Kingdom"/>
    <s v="Urban"/>
    <n v="400"/>
    <x v="0"/>
    <n v="19969"/>
    <b v="1"/>
    <b v="0"/>
    <b v="1"/>
  </r>
  <r>
    <n v="39"/>
    <x v="2"/>
    <d v="1900-01-01T00:00:00"/>
    <x v="2"/>
    <s v="Sports"/>
    <s v="United Kingdom"/>
    <s v="Urban"/>
    <n v="401"/>
    <x v="0"/>
    <n v="18989"/>
    <b v="0"/>
    <b v="1"/>
    <b v="1"/>
  </r>
  <r>
    <n v="42"/>
    <x v="2"/>
    <d v="1900-01-05T00:00:00"/>
    <x v="2"/>
    <s v="Travel"/>
    <s v="United States"/>
    <s v="Urban"/>
    <n v="402"/>
    <x v="2"/>
    <n v="13215"/>
    <b v="1"/>
    <b v="0"/>
    <b v="1"/>
  </r>
  <r>
    <n v="39"/>
    <x v="0"/>
    <d v="1900-01-01T00:00:00"/>
    <x v="1"/>
    <s v="Lifestlye"/>
    <s v="United States"/>
    <s v="Rural"/>
    <n v="403"/>
    <x v="2"/>
    <n v="16694"/>
    <b v="0"/>
    <b v="1"/>
    <b v="1"/>
  </r>
  <r>
    <n v="39"/>
    <x v="2"/>
    <d v="1900-01-06T00:00:00"/>
    <x v="1"/>
    <s v="Lifestlye"/>
    <s v="United Kingdom"/>
    <s v="Urban"/>
    <n v="404"/>
    <x v="1"/>
    <n v="12976"/>
    <b v="0"/>
    <b v="1"/>
    <b v="0"/>
  </r>
  <r>
    <n v="59"/>
    <x v="2"/>
    <d v="1900-01-02T00:00:00"/>
    <x v="2"/>
    <s v="Travel"/>
    <s v="United States"/>
    <s v="Sub_Urban"/>
    <n v="405"/>
    <x v="2"/>
    <n v="13737"/>
    <b v="0"/>
    <b v="1"/>
    <b v="1"/>
  </r>
  <r>
    <n v="23"/>
    <x v="2"/>
    <d v="1900-01-02T00:00:00"/>
    <x v="0"/>
    <s v="Travel"/>
    <s v="United Kingdom"/>
    <s v="Urban"/>
    <n v="406"/>
    <x v="1"/>
    <n v="19903"/>
    <b v="0"/>
    <b v="1"/>
    <b v="0"/>
  </r>
  <r>
    <n v="32"/>
    <x v="1"/>
    <d v="1900-01-04T00:00:00"/>
    <x v="1"/>
    <s v="Travel"/>
    <s v="United States"/>
    <s v="Urban"/>
    <n v="407"/>
    <x v="1"/>
    <n v="10752"/>
    <b v="1"/>
    <b v="0"/>
    <b v="0"/>
  </r>
  <r>
    <n v="60"/>
    <x v="1"/>
    <d v="1900-01-02T00:00:00"/>
    <x v="2"/>
    <s v="Lifestlye"/>
    <s v="United Kingdom"/>
    <s v="Urban"/>
    <n v="408"/>
    <x v="1"/>
    <n v="11392"/>
    <b v="1"/>
    <b v="0"/>
    <b v="0"/>
  </r>
  <r>
    <n v="54"/>
    <x v="2"/>
    <d v="1900-01-01T00:00:00"/>
    <x v="2"/>
    <s v="Sports"/>
    <s v="Australia"/>
    <s v="Rural"/>
    <n v="409"/>
    <x v="1"/>
    <n v="16789"/>
    <b v="0"/>
    <b v="0"/>
    <b v="1"/>
  </r>
  <r>
    <n v="50"/>
    <x v="2"/>
    <d v="1900-01-08T00:00:00"/>
    <x v="2"/>
    <s v="Lifestlye"/>
    <s v="United Kingdom"/>
    <s v="Urban"/>
    <n v="410"/>
    <x v="1"/>
    <n v="10677"/>
    <b v="1"/>
    <b v="1"/>
    <b v="0"/>
  </r>
  <r>
    <n v="25"/>
    <x v="1"/>
    <d v="1900-01-01T00:00:00"/>
    <x v="2"/>
    <s v="Travel"/>
    <s v="United Kingdom"/>
    <s v="Sub_Urban"/>
    <n v="411"/>
    <x v="0"/>
    <n v="10105"/>
    <b v="1"/>
    <b v="0"/>
    <b v="0"/>
  </r>
  <r>
    <n v="61"/>
    <x v="1"/>
    <d v="1900-01-01T00:00:00"/>
    <x v="0"/>
    <s v="Travel"/>
    <s v="Australia"/>
    <s v="Urban"/>
    <n v="412"/>
    <x v="2"/>
    <n v="14753"/>
    <b v="1"/>
    <b v="1"/>
    <b v="0"/>
  </r>
  <r>
    <n v="61"/>
    <x v="0"/>
    <d v="1900-01-07T00:00:00"/>
    <x v="2"/>
    <s v="Lifestlye"/>
    <s v="United States"/>
    <s v="Urban"/>
    <n v="413"/>
    <x v="0"/>
    <n v="11946"/>
    <b v="0"/>
    <b v="1"/>
    <b v="0"/>
  </r>
  <r>
    <n v="22"/>
    <x v="0"/>
    <d v="1900-01-08T00:00:00"/>
    <x v="1"/>
    <s v="Travel"/>
    <s v="Australia"/>
    <s v="Urban"/>
    <n v="414"/>
    <x v="1"/>
    <n v="15544"/>
    <b v="1"/>
    <b v="1"/>
    <b v="1"/>
  </r>
  <r>
    <n v="56"/>
    <x v="1"/>
    <d v="1900-01-06T00:00:00"/>
    <x v="0"/>
    <s v="Lifestlye"/>
    <s v="United Kingdom"/>
    <s v="Sub_Urban"/>
    <n v="415"/>
    <x v="2"/>
    <n v="11095"/>
    <b v="1"/>
    <b v="0"/>
    <b v="0"/>
  </r>
  <r>
    <n v="21"/>
    <x v="2"/>
    <d v="1900-01-02T00:00:00"/>
    <x v="2"/>
    <s v="Travel"/>
    <s v="United States"/>
    <s v="Urban"/>
    <n v="416"/>
    <x v="0"/>
    <n v="16985"/>
    <b v="0"/>
    <b v="0"/>
    <b v="0"/>
  </r>
  <r>
    <n v="23"/>
    <x v="2"/>
    <d v="1900-01-08T00:00:00"/>
    <x v="0"/>
    <s v="Sports"/>
    <s v="Australia"/>
    <s v="Sub_Urban"/>
    <n v="417"/>
    <x v="0"/>
    <n v="11782"/>
    <b v="1"/>
    <b v="1"/>
    <b v="0"/>
  </r>
  <r>
    <n v="62"/>
    <x v="2"/>
    <d v="1900-01-02T00:00:00"/>
    <x v="1"/>
    <s v="Sports"/>
    <s v="United States"/>
    <s v="Sub_Urban"/>
    <n v="418"/>
    <x v="1"/>
    <n v="14541"/>
    <b v="0"/>
    <b v="0"/>
    <b v="0"/>
  </r>
  <r>
    <n v="49"/>
    <x v="2"/>
    <d v="1900-01-04T00:00:00"/>
    <x v="2"/>
    <s v="Travel"/>
    <s v="United States"/>
    <s v="Urban"/>
    <n v="419"/>
    <x v="0"/>
    <n v="13257"/>
    <b v="0"/>
    <b v="0"/>
    <b v="1"/>
  </r>
  <r>
    <n v="47"/>
    <x v="0"/>
    <d v="1900-01-08T00:00:00"/>
    <x v="1"/>
    <s v="Lifestlye"/>
    <s v="Australia"/>
    <s v="Sub_Urban"/>
    <n v="420"/>
    <x v="0"/>
    <n v="16213"/>
    <b v="0"/>
    <b v="1"/>
    <b v="0"/>
  </r>
  <r>
    <n v="64"/>
    <x v="1"/>
    <d v="1900-01-02T00:00:00"/>
    <x v="2"/>
    <s v="Sports"/>
    <s v="United States"/>
    <s v="Rural"/>
    <n v="421"/>
    <x v="0"/>
    <n v="14869"/>
    <b v="1"/>
    <b v="1"/>
    <b v="0"/>
  </r>
  <r>
    <n v="52"/>
    <x v="2"/>
    <d v="1900-01-06T00:00:00"/>
    <x v="2"/>
    <s v="Lifestlye"/>
    <s v="Australia"/>
    <s v="Urban"/>
    <n v="422"/>
    <x v="0"/>
    <n v="11561"/>
    <b v="1"/>
    <b v="0"/>
    <b v="0"/>
  </r>
  <r>
    <n v="57"/>
    <x v="0"/>
    <d v="1899-12-31T00:00:00"/>
    <x v="2"/>
    <s v="Travel"/>
    <s v="United Kingdom"/>
    <s v="Urban"/>
    <n v="423"/>
    <x v="0"/>
    <n v="14006"/>
    <b v="0"/>
    <b v="1"/>
    <b v="0"/>
  </r>
  <r>
    <n v="33"/>
    <x v="2"/>
    <d v="1900-01-03T00:00:00"/>
    <x v="2"/>
    <s v="Lifestlye"/>
    <s v="United States"/>
    <s v="Sub_Urban"/>
    <n v="424"/>
    <x v="1"/>
    <n v="19867"/>
    <b v="0"/>
    <b v="1"/>
    <b v="0"/>
  </r>
  <r>
    <n v="30"/>
    <x v="1"/>
    <d v="1900-01-03T00:00:00"/>
    <x v="2"/>
    <s v="Sports"/>
    <s v="United Kingdom"/>
    <s v="Sub_Urban"/>
    <n v="425"/>
    <x v="1"/>
    <n v="19314"/>
    <b v="0"/>
    <b v="0"/>
    <b v="0"/>
  </r>
  <r>
    <n v="59"/>
    <x v="0"/>
    <d v="1900-01-06T00:00:00"/>
    <x v="0"/>
    <s v="Lifestlye"/>
    <s v="United Kingdom"/>
    <s v="Urban"/>
    <n v="426"/>
    <x v="0"/>
    <n v="13981"/>
    <b v="0"/>
    <b v="0"/>
    <b v="1"/>
  </r>
  <r>
    <n v="47"/>
    <x v="1"/>
    <d v="1900-01-07T00:00:00"/>
    <x v="2"/>
    <s v="Lifestlye"/>
    <s v="United States"/>
    <s v="Rural"/>
    <n v="427"/>
    <x v="1"/>
    <n v="19493"/>
    <b v="0"/>
    <b v="1"/>
    <b v="0"/>
  </r>
  <r>
    <n v="36"/>
    <x v="1"/>
    <d v="1899-12-31T00:00:00"/>
    <x v="2"/>
    <s v="Travel"/>
    <s v="Australia"/>
    <s v="Sub_Urban"/>
    <n v="428"/>
    <x v="1"/>
    <n v="15682"/>
    <b v="0"/>
    <b v="0"/>
    <b v="1"/>
  </r>
  <r>
    <n v="34"/>
    <x v="0"/>
    <d v="1900-01-04T00:00:00"/>
    <x v="0"/>
    <s v="Travel"/>
    <s v="United States"/>
    <s v="Sub_Urban"/>
    <n v="429"/>
    <x v="2"/>
    <n v="15782"/>
    <b v="1"/>
    <b v="1"/>
    <b v="1"/>
  </r>
  <r>
    <n v="36"/>
    <x v="0"/>
    <d v="1900-01-06T00:00:00"/>
    <x v="0"/>
    <s v="Travel"/>
    <s v="United Kingdom"/>
    <s v="Rural"/>
    <n v="430"/>
    <x v="0"/>
    <n v="10943"/>
    <b v="0"/>
    <b v="1"/>
    <b v="0"/>
  </r>
  <r>
    <n v="45"/>
    <x v="0"/>
    <d v="1900-01-03T00:00:00"/>
    <x v="0"/>
    <s v="Sports"/>
    <s v="United Kingdom"/>
    <s v="Rural"/>
    <n v="431"/>
    <x v="1"/>
    <n v="14550"/>
    <b v="0"/>
    <b v="0"/>
    <b v="1"/>
  </r>
  <r>
    <n v="43"/>
    <x v="0"/>
    <d v="1900-01-03T00:00:00"/>
    <x v="0"/>
    <s v="Sports"/>
    <s v="Australia"/>
    <s v="Urban"/>
    <n v="432"/>
    <x v="1"/>
    <n v="19137"/>
    <b v="0"/>
    <b v="1"/>
    <b v="0"/>
  </r>
  <r>
    <n v="54"/>
    <x v="0"/>
    <d v="1900-01-03T00:00:00"/>
    <x v="0"/>
    <s v="Travel"/>
    <s v="United States"/>
    <s v="Rural"/>
    <n v="433"/>
    <x v="0"/>
    <n v="10600"/>
    <b v="1"/>
    <b v="1"/>
    <b v="1"/>
  </r>
  <r>
    <n v="43"/>
    <x v="0"/>
    <d v="1900-01-05T00:00:00"/>
    <x v="0"/>
    <s v="Travel"/>
    <s v="United Kingdom"/>
    <s v="Urban"/>
    <n v="434"/>
    <x v="2"/>
    <n v="16376"/>
    <b v="1"/>
    <b v="1"/>
    <b v="0"/>
  </r>
  <r>
    <n v="40"/>
    <x v="0"/>
    <d v="1900-01-06T00:00:00"/>
    <x v="2"/>
    <s v="Sports"/>
    <s v="United Kingdom"/>
    <s v="Rural"/>
    <n v="435"/>
    <x v="0"/>
    <n v="19609"/>
    <b v="1"/>
    <b v="0"/>
    <b v="1"/>
  </r>
  <r>
    <n v="26"/>
    <x v="2"/>
    <d v="1900-01-01T00:00:00"/>
    <x v="2"/>
    <s v="Sports"/>
    <s v="United Kingdom"/>
    <s v="Sub_Urban"/>
    <n v="436"/>
    <x v="2"/>
    <n v="11524"/>
    <b v="1"/>
    <b v="0"/>
    <b v="1"/>
  </r>
  <r>
    <n v="29"/>
    <x v="1"/>
    <d v="1900-01-04T00:00:00"/>
    <x v="1"/>
    <s v="Sports"/>
    <s v="Australia"/>
    <s v="Urban"/>
    <n v="437"/>
    <x v="0"/>
    <n v="13766"/>
    <b v="0"/>
    <b v="0"/>
    <b v="0"/>
  </r>
  <r>
    <n v="18"/>
    <x v="0"/>
    <d v="1900-01-03T00:00:00"/>
    <x v="2"/>
    <s v="Sports"/>
    <s v="United Kingdom"/>
    <s v="Urban"/>
    <n v="438"/>
    <x v="0"/>
    <n v="10250"/>
    <b v="1"/>
    <b v="1"/>
    <b v="1"/>
  </r>
  <r>
    <n v="18"/>
    <x v="2"/>
    <d v="1900-01-02T00:00:00"/>
    <x v="2"/>
    <s v="Travel"/>
    <s v="United Kingdom"/>
    <s v="Urban"/>
    <n v="439"/>
    <x v="0"/>
    <n v="19736"/>
    <b v="0"/>
    <b v="1"/>
    <b v="1"/>
  </r>
  <r>
    <n v="64"/>
    <x v="2"/>
    <d v="1900-01-06T00:00:00"/>
    <x v="0"/>
    <s v="Sports"/>
    <s v="United States"/>
    <s v="Rural"/>
    <n v="440"/>
    <x v="0"/>
    <n v="10078"/>
    <b v="0"/>
    <b v="0"/>
    <b v="1"/>
  </r>
  <r>
    <n v="51"/>
    <x v="2"/>
    <d v="1900-01-05T00:00:00"/>
    <x v="0"/>
    <s v="Travel"/>
    <s v="United States"/>
    <s v="Sub_Urban"/>
    <n v="441"/>
    <x v="2"/>
    <n v="13123"/>
    <b v="0"/>
    <b v="0"/>
    <b v="1"/>
  </r>
  <r>
    <n v="49"/>
    <x v="1"/>
    <d v="1900-01-06T00:00:00"/>
    <x v="2"/>
    <s v="Lifestlye"/>
    <s v="United Kingdom"/>
    <s v="Urban"/>
    <n v="442"/>
    <x v="2"/>
    <n v="19089"/>
    <b v="0"/>
    <b v="0"/>
    <b v="1"/>
  </r>
  <r>
    <n v="42"/>
    <x v="0"/>
    <d v="1900-01-04T00:00:00"/>
    <x v="1"/>
    <s v="Lifestlye"/>
    <s v="United Kingdom"/>
    <s v="Urban"/>
    <n v="443"/>
    <x v="1"/>
    <n v="17064"/>
    <b v="0"/>
    <b v="1"/>
    <b v="0"/>
  </r>
  <r>
    <n v="57"/>
    <x v="2"/>
    <d v="1900-01-05T00:00:00"/>
    <x v="0"/>
    <s v="Sports"/>
    <s v="United States"/>
    <s v="Urban"/>
    <n v="444"/>
    <x v="0"/>
    <n v="18417"/>
    <b v="0"/>
    <b v="0"/>
    <b v="1"/>
  </r>
  <r>
    <n v="62"/>
    <x v="1"/>
    <d v="1900-01-04T00:00:00"/>
    <x v="2"/>
    <s v="Lifestlye"/>
    <s v="Australia"/>
    <s v="Urban"/>
    <n v="445"/>
    <x v="2"/>
    <n v="11209"/>
    <b v="1"/>
    <b v="1"/>
    <b v="1"/>
  </r>
  <r>
    <n v="18"/>
    <x v="1"/>
    <d v="1900-01-06T00:00:00"/>
    <x v="2"/>
    <s v="Lifestlye"/>
    <s v="Australia"/>
    <s v="Sub_Urban"/>
    <n v="446"/>
    <x v="2"/>
    <n v="15153"/>
    <b v="1"/>
    <b v="0"/>
    <b v="0"/>
  </r>
  <r>
    <n v="33"/>
    <x v="1"/>
    <d v="1900-01-01T00:00:00"/>
    <x v="1"/>
    <s v="Lifestlye"/>
    <s v="Australia"/>
    <s v="Rural"/>
    <n v="447"/>
    <x v="2"/>
    <n v="14898"/>
    <b v="1"/>
    <b v="1"/>
    <b v="0"/>
  </r>
  <r>
    <n v="56"/>
    <x v="2"/>
    <d v="1900-01-04T00:00:00"/>
    <x v="1"/>
    <s v="Sports"/>
    <s v="Australia"/>
    <s v="Sub_Urban"/>
    <n v="448"/>
    <x v="0"/>
    <n v="12178"/>
    <b v="1"/>
    <b v="1"/>
    <b v="0"/>
  </r>
  <r>
    <n v="22"/>
    <x v="0"/>
    <d v="1900-01-05T00:00:00"/>
    <x v="0"/>
    <s v="Sports"/>
    <s v="Australia"/>
    <s v="Urban"/>
    <n v="449"/>
    <x v="1"/>
    <n v="17610"/>
    <b v="1"/>
    <b v="0"/>
    <b v="1"/>
  </r>
  <r>
    <n v="39"/>
    <x v="2"/>
    <d v="1900-01-05T00:00:00"/>
    <x v="1"/>
    <s v="Lifestlye"/>
    <s v="Australia"/>
    <s v="Sub_Urban"/>
    <n v="450"/>
    <x v="2"/>
    <n v="18895"/>
    <b v="0"/>
    <b v="1"/>
    <b v="1"/>
  </r>
  <r>
    <n v="46"/>
    <x v="2"/>
    <d v="1900-01-04T00:00:00"/>
    <x v="2"/>
    <s v="Travel"/>
    <s v="Australia"/>
    <s v="Urban"/>
    <n v="451"/>
    <x v="0"/>
    <n v="12544"/>
    <b v="1"/>
    <b v="0"/>
    <b v="1"/>
  </r>
  <r>
    <n v="20"/>
    <x v="0"/>
    <d v="1900-01-06T00:00:00"/>
    <x v="2"/>
    <s v="Lifestlye"/>
    <s v="Australia"/>
    <s v="Rural"/>
    <n v="452"/>
    <x v="2"/>
    <n v="15522"/>
    <b v="1"/>
    <b v="1"/>
    <b v="1"/>
  </r>
  <r>
    <n v="29"/>
    <x v="0"/>
    <d v="1900-01-07T00:00:00"/>
    <x v="1"/>
    <s v="Sports"/>
    <s v="United States"/>
    <s v="Rural"/>
    <n v="453"/>
    <x v="2"/>
    <n v="12370"/>
    <b v="1"/>
    <b v="1"/>
    <b v="0"/>
  </r>
  <r>
    <n v="43"/>
    <x v="0"/>
    <d v="1900-01-06T00:00:00"/>
    <x v="1"/>
    <s v="Sports"/>
    <s v="Australia"/>
    <s v="Rural"/>
    <n v="454"/>
    <x v="1"/>
    <n v="13281"/>
    <b v="0"/>
    <b v="0"/>
    <b v="0"/>
  </r>
  <r>
    <n v="33"/>
    <x v="1"/>
    <d v="1900-01-04T00:00:00"/>
    <x v="1"/>
    <s v="Sports"/>
    <s v="Australia"/>
    <s v="Urban"/>
    <n v="455"/>
    <x v="2"/>
    <n v="14710"/>
    <b v="0"/>
    <b v="1"/>
    <b v="1"/>
  </r>
  <r>
    <n v="54"/>
    <x v="0"/>
    <d v="1899-12-31T00:00:00"/>
    <x v="1"/>
    <s v="Lifestlye"/>
    <s v="Australia"/>
    <s v="Sub_Urban"/>
    <n v="456"/>
    <x v="2"/>
    <n v="10328"/>
    <b v="0"/>
    <b v="0"/>
    <b v="1"/>
  </r>
  <r>
    <n v="39"/>
    <x v="2"/>
    <d v="1900-01-04T00:00:00"/>
    <x v="0"/>
    <s v="Travel"/>
    <s v="United Kingdom"/>
    <s v="Rural"/>
    <n v="457"/>
    <x v="0"/>
    <n v="15579"/>
    <b v="1"/>
    <b v="0"/>
    <b v="1"/>
  </r>
  <r>
    <n v="46"/>
    <x v="0"/>
    <d v="1900-01-01T00:00:00"/>
    <x v="1"/>
    <s v="Sports"/>
    <s v="United States"/>
    <s v="Urban"/>
    <n v="458"/>
    <x v="0"/>
    <n v="14228"/>
    <b v="1"/>
    <b v="0"/>
    <b v="1"/>
  </r>
  <r>
    <n v="31"/>
    <x v="2"/>
    <d v="1900-01-04T00:00:00"/>
    <x v="0"/>
    <s v="Sports"/>
    <s v="United States"/>
    <s v="Urban"/>
    <n v="459"/>
    <x v="1"/>
    <n v="16794"/>
    <b v="1"/>
    <b v="1"/>
    <b v="0"/>
  </r>
  <r>
    <n v="45"/>
    <x v="1"/>
    <d v="1900-01-04T00:00:00"/>
    <x v="2"/>
    <s v="Lifestlye"/>
    <s v="United States"/>
    <s v="Sub_Urban"/>
    <n v="460"/>
    <x v="0"/>
    <n v="10120"/>
    <b v="1"/>
    <b v="1"/>
    <b v="0"/>
  </r>
  <r>
    <n v="22"/>
    <x v="2"/>
    <d v="1900-01-01T00:00:00"/>
    <x v="1"/>
    <s v="Travel"/>
    <s v="Australia"/>
    <s v="Rural"/>
    <n v="461"/>
    <x v="0"/>
    <n v="16749"/>
    <b v="1"/>
    <b v="1"/>
    <b v="1"/>
  </r>
  <r>
    <n v="64"/>
    <x v="2"/>
    <d v="1900-01-04T00:00:00"/>
    <x v="0"/>
    <s v="Lifestlye"/>
    <s v="Australia"/>
    <s v="Urban"/>
    <n v="462"/>
    <x v="1"/>
    <n v="10964"/>
    <b v="0"/>
    <b v="0"/>
    <b v="0"/>
  </r>
  <r>
    <n v="47"/>
    <x v="0"/>
    <d v="1900-01-03T00:00:00"/>
    <x v="1"/>
    <s v="Sports"/>
    <s v="United Kingdom"/>
    <s v="Sub_Urban"/>
    <n v="463"/>
    <x v="2"/>
    <n v="14224"/>
    <b v="1"/>
    <b v="0"/>
    <b v="1"/>
  </r>
  <r>
    <n v="63"/>
    <x v="0"/>
    <d v="1899-12-31T00:00:00"/>
    <x v="2"/>
    <s v="Travel"/>
    <s v="United States"/>
    <s v="Rural"/>
    <n v="464"/>
    <x v="1"/>
    <n v="13675"/>
    <b v="0"/>
    <b v="1"/>
    <b v="1"/>
  </r>
  <r>
    <n v="22"/>
    <x v="2"/>
    <d v="1900-01-02T00:00:00"/>
    <x v="2"/>
    <s v="Travel"/>
    <s v="Australia"/>
    <s v="Sub_Urban"/>
    <n v="465"/>
    <x v="0"/>
    <n v="15694"/>
    <b v="1"/>
    <b v="1"/>
    <b v="0"/>
  </r>
  <r>
    <n v="29"/>
    <x v="0"/>
    <d v="1899-12-31T00:00:00"/>
    <x v="2"/>
    <s v="Sports"/>
    <s v="United States"/>
    <s v="Sub_Urban"/>
    <n v="466"/>
    <x v="1"/>
    <n v="12076"/>
    <b v="0"/>
    <b v="0"/>
    <b v="1"/>
  </r>
  <r>
    <n v="33"/>
    <x v="1"/>
    <d v="1900-01-04T00:00:00"/>
    <x v="1"/>
    <s v="Travel"/>
    <s v="United Kingdom"/>
    <s v="Urban"/>
    <n v="467"/>
    <x v="2"/>
    <n v="16865"/>
    <b v="0"/>
    <b v="1"/>
    <b v="0"/>
  </r>
  <r>
    <n v="43"/>
    <x v="1"/>
    <d v="1900-01-03T00:00:00"/>
    <x v="1"/>
    <s v="Travel"/>
    <s v="United Kingdom"/>
    <s v="Urban"/>
    <n v="468"/>
    <x v="1"/>
    <n v="15643"/>
    <b v="0"/>
    <b v="0"/>
    <b v="1"/>
  </r>
  <r>
    <n v="43"/>
    <x v="0"/>
    <d v="1900-01-06T00:00:00"/>
    <x v="0"/>
    <s v="Lifestlye"/>
    <s v="United Kingdom"/>
    <s v="Urban"/>
    <n v="469"/>
    <x v="0"/>
    <n v="18524"/>
    <b v="0"/>
    <b v="1"/>
    <b v="0"/>
  </r>
  <r>
    <n v="38"/>
    <x v="1"/>
    <d v="1900-01-04T00:00:00"/>
    <x v="2"/>
    <s v="Sports"/>
    <s v="United States"/>
    <s v="Sub_Urban"/>
    <n v="470"/>
    <x v="0"/>
    <n v="15249"/>
    <b v="1"/>
    <b v="0"/>
    <b v="1"/>
  </r>
  <r>
    <n v="56"/>
    <x v="0"/>
    <d v="1900-01-03T00:00:00"/>
    <x v="1"/>
    <s v="Sports"/>
    <s v="Australia"/>
    <s v="Urban"/>
    <n v="471"/>
    <x v="1"/>
    <n v="11316"/>
    <b v="1"/>
    <b v="1"/>
    <b v="0"/>
  </r>
  <r>
    <n v="53"/>
    <x v="2"/>
    <d v="1900-01-01T00:00:00"/>
    <x v="2"/>
    <s v="Sports"/>
    <s v="Australia"/>
    <s v="Sub_Urban"/>
    <n v="472"/>
    <x v="2"/>
    <n v="11196"/>
    <b v="1"/>
    <b v="1"/>
    <b v="1"/>
  </r>
  <r>
    <n v="50"/>
    <x v="2"/>
    <d v="1900-01-03T00:00:00"/>
    <x v="2"/>
    <s v="Sports"/>
    <s v="United Kingdom"/>
    <s v="Sub_Urban"/>
    <n v="473"/>
    <x v="1"/>
    <n v="13170"/>
    <b v="0"/>
    <b v="0"/>
    <b v="1"/>
  </r>
  <r>
    <n v="47"/>
    <x v="1"/>
    <d v="1900-01-01T00:00:00"/>
    <x v="0"/>
    <s v="Sports"/>
    <s v="Australia"/>
    <s v="Urban"/>
    <n v="474"/>
    <x v="2"/>
    <n v="19621"/>
    <b v="1"/>
    <b v="0"/>
    <b v="0"/>
  </r>
  <r>
    <n v="54"/>
    <x v="0"/>
    <d v="1900-01-07T00:00:00"/>
    <x v="0"/>
    <s v="Travel"/>
    <s v="United Kingdom"/>
    <s v="Rural"/>
    <n v="475"/>
    <x v="2"/>
    <n v="10355"/>
    <b v="1"/>
    <b v="0"/>
    <b v="1"/>
  </r>
  <r>
    <n v="40"/>
    <x v="0"/>
    <d v="1900-01-02T00:00:00"/>
    <x v="0"/>
    <s v="Lifestlye"/>
    <s v="United States"/>
    <s v="Rural"/>
    <n v="476"/>
    <x v="1"/>
    <n v="19718"/>
    <b v="1"/>
    <b v="1"/>
    <b v="0"/>
  </r>
  <r>
    <n v="27"/>
    <x v="1"/>
    <d v="1900-01-08T00:00:00"/>
    <x v="0"/>
    <s v="Sports"/>
    <s v="United Kingdom"/>
    <s v="Rural"/>
    <n v="477"/>
    <x v="2"/>
    <n v="10028"/>
    <b v="1"/>
    <b v="0"/>
    <b v="0"/>
  </r>
  <r>
    <n v="22"/>
    <x v="2"/>
    <d v="1900-01-03T00:00:00"/>
    <x v="2"/>
    <s v="Lifestlye"/>
    <s v="United States"/>
    <s v="Sub_Urban"/>
    <n v="478"/>
    <x v="0"/>
    <n v="11013"/>
    <b v="0"/>
    <b v="0"/>
    <b v="1"/>
  </r>
  <r>
    <n v="53"/>
    <x v="1"/>
    <d v="1900-01-05T00:00:00"/>
    <x v="0"/>
    <s v="Lifestlye"/>
    <s v="United Kingdom"/>
    <s v="Sub_Urban"/>
    <n v="479"/>
    <x v="1"/>
    <n v="19019"/>
    <b v="0"/>
    <b v="1"/>
    <b v="1"/>
  </r>
  <r>
    <n v="51"/>
    <x v="2"/>
    <d v="1900-01-04T00:00:00"/>
    <x v="0"/>
    <s v="Travel"/>
    <s v="Australia"/>
    <s v="Sub_Urban"/>
    <n v="480"/>
    <x v="2"/>
    <n v="12024"/>
    <b v="1"/>
    <b v="0"/>
    <b v="1"/>
  </r>
  <r>
    <n v="48"/>
    <x v="0"/>
    <d v="1899-12-31T00:00:00"/>
    <x v="0"/>
    <s v="Sports"/>
    <s v="Australia"/>
    <s v="Urban"/>
    <n v="481"/>
    <x v="0"/>
    <n v="18490"/>
    <b v="1"/>
    <b v="0"/>
    <b v="1"/>
  </r>
  <r>
    <n v="27"/>
    <x v="2"/>
    <d v="1900-01-08T00:00:00"/>
    <x v="0"/>
    <s v="Travel"/>
    <s v="United Kingdom"/>
    <s v="Sub_Urban"/>
    <n v="482"/>
    <x v="1"/>
    <n v="15839"/>
    <b v="1"/>
    <b v="0"/>
    <b v="0"/>
  </r>
  <r>
    <n v="36"/>
    <x v="1"/>
    <d v="1899-12-31T00:00:00"/>
    <x v="2"/>
    <s v="Sports"/>
    <s v="Australia"/>
    <s v="Urban"/>
    <n v="483"/>
    <x v="0"/>
    <n v="15791"/>
    <b v="0"/>
    <b v="1"/>
    <b v="1"/>
  </r>
  <r>
    <n v="49"/>
    <x v="0"/>
    <d v="1900-01-07T00:00:00"/>
    <x v="0"/>
    <s v="Travel"/>
    <s v="Australia"/>
    <s v="Urban"/>
    <n v="484"/>
    <x v="0"/>
    <n v="10754"/>
    <b v="0"/>
    <b v="1"/>
    <b v="1"/>
  </r>
  <r>
    <n v="18"/>
    <x v="1"/>
    <d v="1900-01-08T00:00:00"/>
    <x v="2"/>
    <s v="Lifestlye"/>
    <s v="Australia"/>
    <s v="Rural"/>
    <n v="485"/>
    <x v="0"/>
    <n v="18961"/>
    <b v="0"/>
    <b v="1"/>
    <b v="1"/>
  </r>
  <r>
    <n v="22"/>
    <x v="1"/>
    <d v="1900-01-08T00:00:00"/>
    <x v="1"/>
    <s v="Sports"/>
    <s v="United States"/>
    <s v="Rural"/>
    <n v="486"/>
    <x v="2"/>
    <n v="13735"/>
    <b v="1"/>
    <b v="0"/>
    <b v="0"/>
  </r>
  <r>
    <n v="62"/>
    <x v="2"/>
    <d v="1899-12-31T00:00:00"/>
    <x v="2"/>
    <s v="Lifestlye"/>
    <s v="Australia"/>
    <s v="Rural"/>
    <n v="487"/>
    <x v="1"/>
    <n v="11238"/>
    <b v="0"/>
    <b v="1"/>
    <b v="1"/>
  </r>
  <r>
    <n v="21"/>
    <x v="1"/>
    <d v="1900-01-01T00:00:00"/>
    <x v="2"/>
    <s v="Lifestlye"/>
    <s v="United States"/>
    <s v="Urban"/>
    <n v="488"/>
    <x v="1"/>
    <n v="11906"/>
    <b v="0"/>
    <b v="0"/>
    <b v="0"/>
  </r>
  <r>
    <n v="33"/>
    <x v="2"/>
    <d v="1899-12-31T00:00:00"/>
    <x v="0"/>
    <s v="Travel"/>
    <s v="United Kingdom"/>
    <s v="Urban"/>
    <n v="489"/>
    <x v="2"/>
    <n v="17399"/>
    <b v="0"/>
    <b v="0"/>
    <b v="1"/>
  </r>
  <r>
    <n v="41"/>
    <x v="0"/>
    <d v="1900-01-01T00:00:00"/>
    <x v="1"/>
    <s v="Sports"/>
    <s v="Australia"/>
    <s v="Urban"/>
    <n v="490"/>
    <x v="1"/>
    <n v="17961"/>
    <b v="0"/>
    <b v="0"/>
    <b v="0"/>
  </r>
  <r>
    <n v="33"/>
    <x v="2"/>
    <d v="1900-01-07T00:00:00"/>
    <x v="1"/>
    <s v="Lifestlye"/>
    <s v="Australia"/>
    <s v="Sub_Urban"/>
    <n v="491"/>
    <x v="0"/>
    <n v="19756"/>
    <b v="0"/>
    <b v="1"/>
    <b v="1"/>
  </r>
  <r>
    <n v="19"/>
    <x v="0"/>
    <d v="1900-01-04T00:00:00"/>
    <x v="1"/>
    <s v="Travel"/>
    <s v="Australia"/>
    <s v="Urban"/>
    <n v="492"/>
    <x v="1"/>
    <n v="19410"/>
    <b v="1"/>
    <b v="1"/>
    <b v="1"/>
  </r>
  <r>
    <n v="45"/>
    <x v="2"/>
    <d v="1900-01-06T00:00:00"/>
    <x v="1"/>
    <s v="Sports"/>
    <s v="United Kingdom"/>
    <s v="Rural"/>
    <n v="493"/>
    <x v="2"/>
    <n v="14601"/>
    <b v="1"/>
    <b v="0"/>
    <b v="0"/>
  </r>
  <r>
    <n v="49"/>
    <x v="1"/>
    <d v="1900-01-01T00:00:00"/>
    <x v="2"/>
    <s v="Sports"/>
    <s v="United States"/>
    <s v="Rural"/>
    <n v="494"/>
    <x v="0"/>
    <n v="19549"/>
    <b v="1"/>
    <b v="0"/>
    <b v="1"/>
  </r>
  <r>
    <n v="44"/>
    <x v="2"/>
    <d v="1900-01-07T00:00:00"/>
    <x v="1"/>
    <s v="Lifestlye"/>
    <s v="United States"/>
    <s v="Urban"/>
    <n v="495"/>
    <x v="2"/>
    <n v="11460"/>
    <b v="1"/>
    <b v="1"/>
    <b v="1"/>
  </r>
  <r>
    <n v="37"/>
    <x v="2"/>
    <d v="1900-01-05T00:00:00"/>
    <x v="2"/>
    <s v="Sports"/>
    <s v="Australia"/>
    <s v="Urban"/>
    <n v="496"/>
    <x v="0"/>
    <n v="17669"/>
    <b v="0"/>
    <b v="1"/>
    <b v="1"/>
  </r>
  <r>
    <n v="41"/>
    <x v="0"/>
    <d v="1900-01-07T00:00:00"/>
    <x v="2"/>
    <s v="Lifestlye"/>
    <s v="United Kingdom"/>
    <s v="Rural"/>
    <n v="497"/>
    <x v="0"/>
    <n v="11416"/>
    <b v="1"/>
    <b v="1"/>
    <b v="0"/>
  </r>
  <r>
    <n v="29"/>
    <x v="1"/>
    <d v="1899-12-31T00:00:00"/>
    <x v="2"/>
    <s v="Sports"/>
    <s v="United Kingdom"/>
    <s v="Urban"/>
    <n v="498"/>
    <x v="1"/>
    <n v="17766"/>
    <b v="1"/>
    <b v="0"/>
    <b v="1"/>
  </r>
  <r>
    <n v="52"/>
    <x v="2"/>
    <d v="1899-12-31T00:00:00"/>
    <x v="1"/>
    <s v="Travel"/>
    <s v="United Kingdom"/>
    <s v="Rural"/>
    <n v="499"/>
    <x v="0"/>
    <n v="11428"/>
    <b v="1"/>
    <b v="1"/>
    <b v="0"/>
  </r>
  <r>
    <n v="50"/>
    <x v="1"/>
    <d v="1900-01-06T00:00:00"/>
    <x v="0"/>
    <s v="Lifestlye"/>
    <s v="United Kingdom"/>
    <s v="Sub_Urban"/>
    <n v="500"/>
    <x v="2"/>
    <n v="14378"/>
    <b v="0"/>
    <b v="1"/>
    <b v="0"/>
  </r>
  <r>
    <n v="50"/>
    <x v="2"/>
    <d v="1900-01-07T00:00:00"/>
    <x v="0"/>
    <s v="Lifestlye"/>
    <s v="United Kingdom"/>
    <s v="Rural"/>
    <n v="501"/>
    <x v="1"/>
    <n v="17529"/>
    <b v="1"/>
    <b v="1"/>
    <b v="0"/>
  </r>
  <r>
    <n v="60"/>
    <x v="2"/>
    <d v="1900-01-02T00:00:00"/>
    <x v="1"/>
    <s v="Sports"/>
    <s v="United States"/>
    <s v="Sub_Urban"/>
    <n v="502"/>
    <x v="2"/>
    <n v="14474"/>
    <b v="0"/>
    <b v="0"/>
    <b v="1"/>
  </r>
  <r>
    <n v="54"/>
    <x v="1"/>
    <d v="1900-01-04T00:00:00"/>
    <x v="0"/>
    <s v="Sports"/>
    <s v="United States"/>
    <s v="Urban"/>
    <n v="503"/>
    <x v="0"/>
    <n v="13071"/>
    <b v="0"/>
    <b v="1"/>
    <b v="0"/>
  </r>
  <r>
    <n v="29"/>
    <x v="2"/>
    <d v="1899-12-31T00:00:00"/>
    <x v="0"/>
    <s v="Lifestlye"/>
    <s v="United States"/>
    <s v="Urban"/>
    <n v="504"/>
    <x v="2"/>
    <n v="10555"/>
    <b v="0"/>
    <b v="0"/>
    <b v="0"/>
  </r>
  <r>
    <n v="20"/>
    <x v="1"/>
    <d v="1900-01-06T00:00:00"/>
    <x v="2"/>
    <s v="Sports"/>
    <s v="Australia"/>
    <s v="Sub_Urban"/>
    <n v="505"/>
    <x v="2"/>
    <n v="18547"/>
    <b v="1"/>
    <b v="0"/>
    <b v="1"/>
  </r>
  <r>
    <n v="18"/>
    <x v="2"/>
    <d v="1900-01-04T00:00:00"/>
    <x v="2"/>
    <s v="Travel"/>
    <s v="United Kingdom"/>
    <s v="Urban"/>
    <n v="506"/>
    <x v="0"/>
    <n v="11563"/>
    <b v="0"/>
    <b v="0"/>
    <b v="0"/>
  </r>
  <r>
    <n v="50"/>
    <x v="0"/>
    <d v="1900-01-07T00:00:00"/>
    <x v="1"/>
    <s v="Sports"/>
    <s v="Australia"/>
    <s v="Sub_Urban"/>
    <n v="507"/>
    <x v="1"/>
    <n v="11040"/>
    <b v="1"/>
    <b v="1"/>
    <b v="0"/>
  </r>
  <r>
    <n v="57"/>
    <x v="1"/>
    <d v="1900-01-07T00:00:00"/>
    <x v="1"/>
    <s v="Travel"/>
    <s v="United Kingdom"/>
    <s v="Urban"/>
    <n v="508"/>
    <x v="2"/>
    <n v="12686"/>
    <b v="1"/>
    <b v="1"/>
    <b v="1"/>
  </r>
  <r>
    <n v="27"/>
    <x v="2"/>
    <d v="1900-01-08T00:00:00"/>
    <x v="0"/>
    <s v="Travel"/>
    <s v="United States"/>
    <s v="Rural"/>
    <n v="509"/>
    <x v="0"/>
    <n v="12553"/>
    <b v="1"/>
    <b v="1"/>
    <b v="1"/>
  </r>
  <r>
    <n v="60"/>
    <x v="2"/>
    <d v="1900-01-06T00:00:00"/>
    <x v="2"/>
    <s v="Travel"/>
    <s v="Australia"/>
    <s v="Urban"/>
    <n v="510"/>
    <x v="1"/>
    <n v="11779"/>
    <b v="0"/>
    <b v="0"/>
    <b v="0"/>
  </r>
  <r>
    <n v="61"/>
    <x v="0"/>
    <d v="1899-12-31T00:00:00"/>
    <x v="1"/>
    <s v="Travel"/>
    <s v="United States"/>
    <s v="Rural"/>
    <n v="511"/>
    <x v="1"/>
    <n v="10075"/>
    <b v="0"/>
    <b v="1"/>
    <b v="1"/>
  </r>
  <r>
    <n v="46"/>
    <x v="1"/>
    <d v="1900-01-02T00:00:00"/>
    <x v="1"/>
    <s v="Travel"/>
    <s v="United Kingdom"/>
    <s v="Rural"/>
    <n v="512"/>
    <x v="1"/>
    <n v="14326"/>
    <b v="1"/>
    <b v="0"/>
    <b v="1"/>
  </r>
  <r>
    <n v="30"/>
    <x v="2"/>
    <d v="1900-01-07T00:00:00"/>
    <x v="1"/>
    <s v="Sports"/>
    <s v="United Kingdom"/>
    <s v="Sub_Urban"/>
    <n v="513"/>
    <x v="2"/>
    <n v="15835"/>
    <b v="0"/>
    <b v="1"/>
    <b v="1"/>
  </r>
  <r>
    <n v="29"/>
    <x v="0"/>
    <d v="1900-01-02T00:00:00"/>
    <x v="1"/>
    <s v="Travel"/>
    <s v="United Kingdom"/>
    <s v="Urban"/>
    <n v="514"/>
    <x v="2"/>
    <n v="15057"/>
    <b v="0"/>
    <b v="1"/>
    <b v="0"/>
  </r>
  <r>
    <n v="48"/>
    <x v="2"/>
    <d v="1900-01-07T00:00:00"/>
    <x v="1"/>
    <s v="Sports"/>
    <s v="United States"/>
    <s v="Sub_Urban"/>
    <n v="515"/>
    <x v="2"/>
    <n v="12349"/>
    <b v="0"/>
    <b v="1"/>
    <b v="0"/>
  </r>
  <r>
    <n v="63"/>
    <x v="1"/>
    <d v="1899-12-31T00:00:00"/>
    <x v="1"/>
    <s v="Travel"/>
    <s v="United Kingdom"/>
    <s v="Urban"/>
    <n v="516"/>
    <x v="1"/>
    <n v="12773"/>
    <b v="1"/>
    <b v="1"/>
    <b v="1"/>
  </r>
  <r>
    <n v="19"/>
    <x v="2"/>
    <d v="1900-01-04T00:00:00"/>
    <x v="0"/>
    <s v="Lifestlye"/>
    <s v="United States"/>
    <s v="Rural"/>
    <n v="517"/>
    <x v="2"/>
    <n v="12262"/>
    <b v="0"/>
    <b v="0"/>
    <b v="0"/>
  </r>
  <r>
    <n v="52"/>
    <x v="2"/>
    <d v="1900-01-03T00:00:00"/>
    <x v="2"/>
    <s v="Travel"/>
    <s v="Australia"/>
    <s v="Rural"/>
    <n v="518"/>
    <x v="0"/>
    <n v="13229"/>
    <b v="0"/>
    <b v="0"/>
    <b v="1"/>
  </r>
  <r>
    <n v="40"/>
    <x v="2"/>
    <d v="1900-01-04T00:00:00"/>
    <x v="2"/>
    <s v="Lifestlye"/>
    <s v="United Kingdom"/>
    <s v="Urban"/>
    <n v="519"/>
    <x v="2"/>
    <n v="10392"/>
    <b v="1"/>
    <b v="0"/>
    <b v="1"/>
  </r>
  <r>
    <n v="34"/>
    <x v="2"/>
    <d v="1900-01-07T00:00:00"/>
    <x v="1"/>
    <s v="Travel"/>
    <s v="United Kingdom"/>
    <s v="Urban"/>
    <n v="520"/>
    <x v="2"/>
    <n v="11108"/>
    <b v="0"/>
    <b v="0"/>
    <b v="1"/>
  </r>
  <r>
    <n v="43"/>
    <x v="0"/>
    <d v="1900-01-03T00:00:00"/>
    <x v="2"/>
    <s v="Travel"/>
    <s v="United Kingdom"/>
    <s v="Sub_Urban"/>
    <n v="521"/>
    <x v="1"/>
    <n v="14362"/>
    <b v="1"/>
    <b v="1"/>
    <b v="1"/>
  </r>
  <r>
    <n v="25"/>
    <x v="0"/>
    <d v="1900-01-03T00:00:00"/>
    <x v="2"/>
    <s v="Travel"/>
    <s v="Australia"/>
    <s v="Urban"/>
    <n v="522"/>
    <x v="2"/>
    <n v="15188"/>
    <b v="0"/>
    <b v="0"/>
    <b v="1"/>
  </r>
  <r>
    <n v="46"/>
    <x v="1"/>
    <d v="1900-01-02T00:00:00"/>
    <x v="2"/>
    <s v="Lifestlye"/>
    <s v="United Kingdom"/>
    <s v="Urban"/>
    <n v="523"/>
    <x v="0"/>
    <n v="18802"/>
    <b v="0"/>
    <b v="0"/>
    <b v="0"/>
  </r>
  <r>
    <n v="43"/>
    <x v="0"/>
    <d v="1900-01-06T00:00:00"/>
    <x v="1"/>
    <s v="Lifestlye"/>
    <s v="United States"/>
    <s v="Urban"/>
    <n v="524"/>
    <x v="1"/>
    <n v="15057"/>
    <b v="0"/>
    <b v="0"/>
    <b v="0"/>
  </r>
  <r>
    <n v="27"/>
    <x v="0"/>
    <d v="1900-01-02T00:00:00"/>
    <x v="1"/>
    <s v="Travel"/>
    <s v="United States"/>
    <s v="Sub_Urban"/>
    <n v="525"/>
    <x v="0"/>
    <n v="13998"/>
    <b v="0"/>
    <b v="1"/>
    <b v="0"/>
  </r>
  <r>
    <n v="43"/>
    <x v="1"/>
    <d v="1900-01-02T00:00:00"/>
    <x v="2"/>
    <s v="Sports"/>
    <s v="United Kingdom"/>
    <s v="Urban"/>
    <n v="526"/>
    <x v="1"/>
    <n v="18864"/>
    <b v="0"/>
    <b v="0"/>
    <b v="0"/>
  </r>
  <r>
    <n v="51"/>
    <x v="0"/>
    <d v="1900-01-04T00:00:00"/>
    <x v="2"/>
    <s v="Travel"/>
    <s v="United Kingdom"/>
    <s v="Rural"/>
    <n v="527"/>
    <x v="1"/>
    <n v="16566"/>
    <b v="0"/>
    <b v="0"/>
    <b v="1"/>
  </r>
  <r>
    <n v="58"/>
    <x v="0"/>
    <d v="1900-01-04T00:00:00"/>
    <x v="1"/>
    <s v="Lifestlye"/>
    <s v="Australia"/>
    <s v="Sub_Urban"/>
    <n v="528"/>
    <x v="2"/>
    <n v="13677"/>
    <b v="1"/>
    <b v="1"/>
    <b v="1"/>
  </r>
  <r>
    <n v="24"/>
    <x v="1"/>
    <d v="1900-01-05T00:00:00"/>
    <x v="0"/>
    <s v="Travel"/>
    <s v="Australia"/>
    <s v="Sub_Urban"/>
    <n v="529"/>
    <x v="0"/>
    <n v="15796"/>
    <b v="0"/>
    <b v="1"/>
    <b v="0"/>
  </r>
  <r>
    <n v="21"/>
    <x v="1"/>
    <d v="1900-01-07T00:00:00"/>
    <x v="2"/>
    <s v="Lifestlye"/>
    <s v="Australia"/>
    <s v="Rural"/>
    <n v="530"/>
    <x v="1"/>
    <n v="16363"/>
    <b v="0"/>
    <b v="0"/>
    <b v="0"/>
  </r>
  <r>
    <n v="62"/>
    <x v="1"/>
    <d v="1900-01-05T00:00:00"/>
    <x v="0"/>
    <s v="Lifestlye"/>
    <s v="United Kingdom"/>
    <s v="Rural"/>
    <n v="531"/>
    <x v="2"/>
    <n v="18123"/>
    <b v="0"/>
    <b v="0"/>
    <b v="1"/>
  </r>
  <r>
    <n v="28"/>
    <x v="2"/>
    <d v="1899-12-31T00:00:00"/>
    <x v="2"/>
    <s v="Lifestlye"/>
    <s v="Australia"/>
    <s v="Rural"/>
    <n v="532"/>
    <x v="1"/>
    <n v="18222"/>
    <b v="1"/>
    <b v="1"/>
    <b v="1"/>
  </r>
  <r>
    <n v="46"/>
    <x v="2"/>
    <d v="1900-01-07T00:00:00"/>
    <x v="0"/>
    <s v="Travel"/>
    <s v="Australia"/>
    <s v="Urban"/>
    <n v="533"/>
    <x v="1"/>
    <n v="17690"/>
    <b v="1"/>
    <b v="0"/>
    <b v="1"/>
  </r>
  <r>
    <n v="53"/>
    <x v="1"/>
    <d v="1900-01-07T00:00:00"/>
    <x v="0"/>
    <s v="Lifestlye"/>
    <s v="United States"/>
    <s v="Rural"/>
    <n v="534"/>
    <x v="1"/>
    <n v="11400"/>
    <b v="1"/>
    <b v="1"/>
    <b v="0"/>
  </r>
  <r>
    <n v="42"/>
    <x v="1"/>
    <d v="1900-01-08T00:00:00"/>
    <x v="0"/>
    <s v="Lifestlye"/>
    <s v="Australia"/>
    <s v="Urban"/>
    <n v="535"/>
    <x v="1"/>
    <n v="14071"/>
    <b v="0"/>
    <b v="0"/>
    <b v="1"/>
  </r>
  <r>
    <n v="38"/>
    <x v="1"/>
    <d v="1900-01-08T00:00:00"/>
    <x v="1"/>
    <s v="Travel"/>
    <s v="United States"/>
    <s v="Sub_Urban"/>
    <n v="536"/>
    <x v="1"/>
    <n v="18808"/>
    <b v="0"/>
    <b v="0"/>
    <b v="1"/>
  </r>
  <r>
    <n v="53"/>
    <x v="2"/>
    <d v="1900-01-01T00:00:00"/>
    <x v="0"/>
    <s v="Lifestlye"/>
    <s v="United States"/>
    <s v="Sub_Urban"/>
    <n v="537"/>
    <x v="1"/>
    <n v="12786"/>
    <b v="1"/>
    <b v="0"/>
    <b v="0"/>
  </r>
  <r>
    <n v="27"/>
    <x v="2"/>
    <d v="1900-01-01T00:00:00"/>
    <x v="0"/>
    <s v="Travel"/>
    <s v="Australia"/>
    <s v="Rural"/>
    <n v="538"/>
    <x v="2"/>
    <n v="17169"/>
    <b v="1"/>
    <b v="0"/>
    <b v="0"/>
  </r>
  <r>
    <n v="54"/>
    <x v="0"/>
    <d v="1900-01-02T00:00:00"/>
    <x v="0"/>
    <s v="Lifestlye"/>
    <s v="United States"/>
    <s v="Urban"/>
    <n v="539"/>
    <x v="1"/>
    <n v="10870"/>
    <b v="1"/>
    <b v="0"/>
    <b v="0"/>
  </r>
  <r>
    <n v="26"/>
    <x v="0"/>
    <d v="1899-12-31T00:00:00"/>
    <x v="2"/>
    <s v="Sports"/>
    <s v="United Kingdom"/>
    <s v="Rural"/>
    <n v="540"/>
    <x v="0"/>
    <n v="14196"/>
    <b v="0"/>
    <b v="1"/>
    <b v="1"/>
  </r>
  <r>
    <n v="41"/>
    <x v="1"/>
    <d v="1900-01-03T00:00:00"/>
    <x v="0"/>
    <s v="Sports"/>
    <s v="United Kingdom"/>
    <s v="Rural"/>
    <n v="541"/>
    <x v="2"/>
    <n v="19604"/>
    <b v="1"/>
    <b v="1"/>
    <b v="1"/>
  </r>
  <r>
    <n v="52"/>
    <x v="2"/>
    <d v="1900-01-03T00:00:00"/>
    <x v="2"/>
    <s v="Lifestlye"/>
    <s v="Australia"/>
    <s v="Urban"/>
    <n v="542"/>
    <x v="0"/>
    <n v="12739"/>
    <b v="0"/>
    <b v="0"/>
    <b v="0"/>
  </r>
  <r>
    <n v="52"/>
    <x v="2"/>
    <d v="1900-01-08T00:00:00"/>
    <x v="0"/>
    <s v="Sports"/>
    <s v="United Kingdom"/>
    <s v="Rural"/>
    <n v="543"/>
    <x v="1"/>
    <n v="10940"/>
    <b v="0"/>
    <b v="0"/>
    <b v="1"/>
  </r>
  <r>
    <n v="53"/>
    <x v="2"/>
    <d v="1900-01-08T00:00:00"/>
    <x v="0"/>
    <s v="Travel"/>
    <s v="United States"/>
    <s v="Sub_Urban"/>
    <n v="544"/>
    <x v="0"/>
    <n v="10340"/>
    <b v="0"/>
    <b v="0"/>
    <b v="1"/>
  </r>
  <r>
    <n v="35"/>
    <x v="1"/>
    <d v="1900-01-08T00:00:00"/>
    <x v="1"/>
    <s v="Sports"/>
    <s v="United Kingdom"/>
    <s v="Rural"/>
    <n v="545"/>
    <x v="1"/>
    <n v="17422"/>
    <b v="1"/>
    <b v="1"/>
    <b v="1"/>
  </r>
  <r>
    <n v="56"/>
    <x v="0"/>
    <d v="1900-01-06T00:00:00"/>
    <x v="2"/>
    <s v="Lifestlye"/>
    <s v="Australia"/>
    <s v="Urban"/>
    <n v="546"/>
    <x v="1"/>
    <n v="14133"/>
    <b v="0"/>
    <b v="1"/>
    <b v="0"/>
  </r>
  <r>
    <n v="49"/>
    <x v="1"/>
    <d v="1900-01-01T00:00:00"/>
    <x v="0"/>
    <s v="Lifestlye"/>
    <s v="Australia"/>
    <s v="Urban"/>
    <n v="547"/>
    <x v="2"/>
    <n v="10659"/>
    <b v="1"/>
    <b v="1"/>
    <b v="0"/>
  </r>
  <r>
    <n v="41"/>
    <x v="0"/>
    <d v="1900-01-04T00:00:00"/>
    <x v="2"/>
    <s v="Travel"/>
    <s v="United States"/>
    <s v="Sub_Urban"/>
    <n v="548"/>
    <x v="2"/>
    <n v="19752"/>
    <b v="1"/>
    <b v="1"/>
    <b v="1"/>
  </r>
  <r>
    <n v="40"/>
    <x v="0"/>
    <d v="1900-01-03T00:00:00"/>
    <x v="2"/>
    <s v="Lifestlye"/>
    <s v="Australia"/>
    <s v="Urban"/>
    <n v="549"/>
    <x v="1"/>
    <n v="13457"/>
    <b v="1"/>
    <b v="1"/>
    <b v="1"/>
  </r>
  <r>
    <n v="49"/>
    <x v="1"/>
    <d v="1900-01-07T00:00:00"/>
    <x v="1"/>
    <s v="Travel"/>
    <s v="United Kingdom"/>
    <s v="Urban"/>
    <n v="550"/>
    <x v="2"/>
    <n v="19848"/>
    <b v="1"/>
    <b v="1"/>
    <b v="1"/>
  </r>
  <r>
    <n v="54"/>
    <x v="0"/>
    <d v="1900-01-01T00:00:00"/>
    <x v="1"/>
    <s v="Sports"/>
    <s v="Australia"/>
    <s v="Sub_Urban"/>
    <n v="551"/>
    <x v="0"/>
    <n v="12975"/>
    <b v="0"/>
    <b v="1"/>
    <b v="1"/>
  </r>
  <r>
    <n v="29"/>
    <x v="0"/>
    <d v="1900-01-05T00:00:00"/>
    <x v="1"/>
    <s v="Sports"/>
    <s v="United States"/>
    <s v="Rural"/>
    <n v="552"/>
    <x v="2"/>
    <n v="19241"/>
    <b v="0"/>
    <b v="1"/>
    <b v="0"/>
  </r>
  <r>
    <n v="30"/>
    <x v="2"/>
    <d v="1900-01-04T00:00:00"/>
    <x v="1"/>
    <s v="Travel"/>
    <s v="Australia"/>
    <s v="Sub_Urban"/>
    <n v="553"/>
    <x v="2"/>
    <n v="10453"/>
    <b v="0"/>
    <b v="0"/>
    <b v="0"/>
  </r>
  <r>
    <n v="40"/>
    <x v="0"/>
    <d v="1900-01-01T00:00:00"/>
    <x v="1"/>
    <s v="Travel"/>
    <s v="United Kingdom"/>
    <s v="Rural"/>
    <n v="554"/>
    <x v="0"/>
    <n v="19896"/>
    <b v="0"/>
    <b v="1"/>
    <b v="1"/>
  </r>
  <r>
    <n v="42"/>
    <x v="1"/>
    <d v="1899-12-31T00:00:00"/>
    <x v="1"/>
    <s v="Lifestlye"/>
    <s v="United States"/>
    <s v="Sub_Urban"/>
    <n v="555"/>
    <x v="2"/>
    <n v="18184"/>
    <b v="1"/>
    <b v="1"/>
    <b v="1"/>
  </r>
  <r>
    <n v="52"/>
    <x v="1"/>
    <d v="1900-01-07T00:00:00"/>
    <x v="1"/>
    <s v="Sports"/>
    <s v="United Kingdom"/>
    <s v="Rural"/>
    <n v="556"/>
    <x v="1"/>
    <n v="15442"/>
    <b v="1"/>
    <b v="1"/>
    <b v="0"/>
  </r>
  <r>
    <n v="58"/>
    <x v="0"/>
    <d v="1900-01-01T00:00:00"/>
    <x v="1"/>
    <s v="Travel"/>
    <s v="United States"/>
    <s v="Sub_Urban"/>
    <n v="557"/>
    <x v="0"/>
    <n v="10818"/>
    <b v="1"/>
    <b v="1"/>
    <b v="1"/>
  </r>
  <r>
    <n v="47"/>
    <x v="2"/>
    <d v="1900-01-06T00:00:00"/>
    <x v="0"/>
    <s v="Sports"/>
    <s v="Australia"/>
    <s v="Rural"/>
    <n v="558"/>
    <x v="1"/>
    <n v="14868"/>
    <b v="1"/>
    <b v="0"/>
    <b v="0"/>
  </r>
  <r>
    <n v="34"/>
    <x v="2"/>
    <d v="1900-01-08T00:00:00"/>
    <x v="2"/>
    <s v="Travel"/>
    <s v="United States"/>
    <s v="Sub_Urban"/>
    <n v="559"/>
    <x v="0"/>
    <n v="10012"/>
    <b v="0"/>
    <b v="1"/>
    <b v="1"/>
  </r>
  <r>
    <n v="37"/>
    <x v="0"/>
    <d v="1900-01-08T00:00:00"/>
    <x v="1"/>
    <s v="Sports"/>
    <s v="United States"/>
    <s v="Rural"/>
    <n v="560"/>
    <x v="1"/>
    <n v="17727"/>
    <b v="1"/>
    <b v="0"/>
    <b v="0"/>
  </r>
  <r>
    <n v="42"/>
    <x v="0"/>
    <d v="1900-01-07T00:00:00"/>
    <x v="1"/>
    <s v="Lifestlye"/>
    <s v="Australia"/>
    <s v="Sub_Urban"/>
    <n v="561"/>
    <x v="1"/>
    <n v="10920"/>
    <b v="0"/>
    <b v="0"/>
    <b v="1"/>
  </r>
  <r>
    <n v="39"/>
    <x v="1"/>
    <d v="1900-01-08T00:00:00"/>
    <x v="2"/>
    <s v="Sports"/>
    <s v="United Kingdom"/>
    <s v="Urban"/>
    <n v="562"/>
    <x v="2"/>
    <n v="14920"/>
    <b v="1"/>
    <b v="0"/>
    <b v="1"/>
  </r>
  <r>
    <n v="30"/>
    <x v="0"/>
    <d v="1900-01-01T00:00:00"/>
    <x v="0"/>
    <s v="Sports"/>
    <s v="Australia"/>
    <s v="Rural"/>
    <n v="563"/>
    <x v="1"/>
    <n v="12418"/>
    <b v="1"/>
    <b v="1"/>
    <b v="0"/>
  </r>
  <r>
    <n v="36"/>
    <x v="2"/>
    <d v="1900-01-05T00:00:00"/>
    <x v="2"/>
    <s v="Sports"/>
    <s v="United States"/>
    <s v="Sub_Urban"/>
    <n v="564"/>
    <x v="2"/>
    <n v="19506"/>
    <b v="1"/>
    <b v="1"/>
    <b v="0"/>
  </r>
  <r>
    <n v="53"/>
    <x v="0"/>
    <d v="1900-01-03T00:00:00"/>
    <x v="2"/>
    <s v="Sports"/>
    <s v="Australia"/>
    <s v="Rural"/>
    <n v="565"/>
    <x v="0"/>
    <n v="16475"/>
    <b v="1"/>
    <b v="1"/>
    <b v="1"/>
  </r>
  <r>
    <n v="29"/>
    <x v="1"/>
    <d v="1900-01-03T00:00:00"/>
    <x v="1"/>
    <s v="Sports"/>
    <s v="United States"/>
    <s v="Rural"/>
    <n v="566"/>
    <x v="1"/>
    <n v="12017"/>
    <b v="0"/>
    <b v="0"/>
    <b v="1"/>
  </r>
  <r>
    <n v="58"/>
    <x v="1"/>
    <d v="1900-01-04T00:00:00"/>
    <x v="2"/>
    <s v="Lifestlye"/>
    <s v="Australia"/>
    <s v="Sub_Urban"/>
    <n v="567"/>
    <x v="1"/>
    <n v="17957"/>
    <b v="0"/>
    <b v="0"/>
    <b v="0"/>
  </r>
  <r>
    <n v="36"/>
    <x v="1"/>
    <d v="1900-01-02T00:00:00"/>
    <x v="2"/>
    <s v="Travel"/>
    <s v="Australia"/>
    <s v="Rural"/>
    <n v="568"/>
    <x v="0"/>
    <n v="19420"/>
    <b v="0"/>
    <b v="0"/>
    <b v="0"/>
  </r>
  <r>
    <n v="29"/>
    <x v="1"/>
    <d v="1899-12-31T00:00:00"/>
    <x v="1"/>
    <s v="Sports"/>
    <s v="United Kingdom"/>
    <s v="Sub_Urban"/>
    <n v="569"/>
    <x v="0"/>
    <n v="14792"/>
    <b v="0"/>
    <b v="0"/>
    <b v="1"/>
  </r>
  <r>
    <n v="26"/>
    <x v="1"/>
    <d v="1900-01-07T00:00:00"/>
    <x v="1"/>
    <s v="Lifestlye"/>
    <s v="United States"/>
    <s v="Urban"/>
    <n v="570"/>
    <x v="1"/>
    <n v="16830"/>
    <b v="1"/>
    <b v="1"/>
    <b v="1"/>
  </r>
  <r>
    <n v="24"/>
    <x v="0"/>
    <d v="1900-01-04T00:00:00"/>
    <x v="1"/>
    <s v="Sports"/>
    <s v="United Kingdom"/>
    <s v="Rural"/>
    <n v="571"/>
    <x v="0"/>
    <n v="12434"/>
    <b v="1"/>
    <b v="1"/>
    <b v="0"/>
  </r>
  <r>
    <n v="45"/>
    <x v="0"/>
    <d v="1900-01-02T00:00:00"/>
    <x v="1"/>
    <s v="Sports"/>
    <s v="United States"/>
    <s v="Urban"/>
    <n v="572"/>
    <x v="2"/>
    <n v="12868"/>
    <b v="0"/>
    <b v="1"/>
    <b v="0"/>
  </r>
  <r>
    <n v="31"/>
    <x v="0"/>
    <d v="1900-01-06T00:00:00"/>
    <x v="2"/>
    <s v="Travel"/>
    <s v="Australia"/>
    <s v="Rural"/>
    <n v="573"/>
    <x v="0"/>
    <n v="11438"/>
    <b v="0"/>
    <b v="0"/>
    <b v="0"/>
  </r>
  <r>
    <n v="48"/>
    <x v="0"/>
    <d v="1900-01-06T00:00:00"/>
    <x v="2"/>
    <s v="Sports"/>
    <s v="United States"/>
    <s v="Rural"/>
    <n v="574"/>
    <x v="0"/>
    <n v="13543"/>
    <b v="1"/>
    <b v="0"/>
    <b v="0"/>
  </r>
  <r>
    <n v="36"/>
    <x v="1"/>
    <d v="1899-12-31T00:00:00"/>
    <x v="0"/>
    <s v="Lifestlye"/>
    <s v="United Kingdom"/>
    <s v="Rural"/>
    <n v="575"/>
    <x v="1"/>
    <n v="11781"/>
    <b v="1"/>
    <b v="1"/>
    <b v="0"/>
  </r>
  <r>
    <n v="64"/>
    <x v="2"/>
    <d v="1900-01-08T00:00:00"/>
    <x v="0"/>
    <s v="Lifestlye"/>
    <s v="United Kingdom"/>
    <s v="Sub_Urban"/>
    <n v="576"/>
    <x v="2"/>
    <n v="16343"/>
    <b v="0"/>
    <b v="1"/>
    <b v="1"/>
  </r>
  <r>
    <n v="33"/>
    <x v="0"/>
    <d v="1900-01-01T00:00:00"/>
    <x v="2"/>
    <s v="Travel"/>
    <s v="United Kingdom"/>
    <s v="Urban"/>
    <n v="577"/>
    <x v="0"/>
    <n v="12263"/>
    <b v="0"/>
    <b v="0"/>
    <b v="1"/>
  </r>
  <r>
    <n v="22"/>
    <x v="2"/>
    <d v="1900-01-04T00:00:00"/>
    <x v="0"/>
    <s v="Sports"/>
    <s v="United States"/>
    <s v="Rural"/>
    <n v="578"/>
    <x v="2"/>
    <n v="10211"/>
    <b v="0"/>
    <b v="1"/>
    <b v="0"/>
  </r>
  <r>
    <n v="52"/>
    <x v="0"/>
    <d v="1900-01-04T00:00:00"/>
    <x v="2"/>
    <s v="Lifestlye"/>
    <s v="United Kingdom"/>
    <s v="Sub_Urban"/>
    <n v="579"/>
    <x v="2"/>
    <n v="18699"/>
    <b v="1"/>
    <b v="1"/>
    <b v="1"/>
  </r>
  <r>
    <n v="29"/>
    <x v="0"/>
    <d v="1900-01-07T00:00:00"/>
    <x v="0"/>
    <s v="Sports"/>
    <s v="United Kingdom"/>
    <s v="Rural"/>
    <n v="580"/>
    <x v="2"/>
    <n v="16159"/>
    <b v="0"/>
    <b v="0"/>
    <b v="1"/>
  </r>
  <r>
    <n v="42"/>
    <x v="2"/>
    <d v="1900-01-07T00:00:00"/>
    <x v="1"/>
    <s v="Sports"/>
    <s v="United Kingdom"/>
    <s v="Sub_Urban"/>
    <n v="581"/>
    <x v="1"/>
    <n v="17027"/>
    <b v="0"/>
    <b v="0"/>
    <b v="0"/>
  </r>
  <r>
    <n v="38"/>
    <x v="1"/>
    <d v="1900-01-06T00:00:00"/>
    <x v="0"/>
    <s v="Sports"/>
    <s v="Australia"/>
    <s v="Rural"/>
    <n v="582"/>
    <x v="0"/>
    <n v="10331"/>
    <b v="0"/>
    <b v="0"/>
    <b v="1"/>
  </r>
  <r>
    <n v="53"/>
    <x v="0"/>
    <d v="1900-01-06T00:00:00"/>
    <x v="1"/>
    <s v="Travel"/>
    <s v="Australia"/>
    <s v="Urban"/>
    <n v="583"/>
    <x v="1"/>
    <n v="16860"/>
    <b v="0"/>
    <b v="1"/>
    <b v="1"/>
  </r>
  <r>
    <n v="40"/>
    <x v="0"/>
    <d v="1900-01-05T00:00:00"/>
    <x v="1"/>
    <s v="Sports"/>
    <s v="United States"/>
    <s v="Urban"/>
    <n v="584"/>
    <x v="0"/>
    <n v="18044"/>
    <b v="0"/>
    <b v="0"/>
    <b v="1"/>
  </r>
  <r>
    <n v="33"/>
    <x v="0"/>
    <d v="1900-01-05T00:00:00"/>
    <x v="1"/>
    <s v="Lifestlye"/>
    <s v="United States"/>
    <s v="Rural"/>
    <n v="585"/>
    <x v="0"/>
    <n v="18169"/>
    <b v="1"/>
    <b v="1"/>
    <b v="0"/>
  </r>
  <r>
    <n v="56"/>
    <x v="2"/>
    <d v="1900-01-08T00:00:00"/>
    <x v="1"/>
    <s v="Sports"/>
    <s v="United Kingdom"/>
    <s v="Sub_Urban"/>
    <n v="586"/>
    <x v="1"/>
    <n v="18742"/>
    <b v="0"/>
    <b v="1"/>
    <b v="0"/>
  </r>
  <r>
    <n v="62"/>
    <x v="1"/>
    <d v="1900-01-05T00:00:00"/>
    <x v="0"/>
    <s v="Lifestlye"/>
    <s v="Australia"/>
    <s v="Rural"/>
    <n v="587"/>
    <x v="2"/>
    <n v="15720"/>
    <b v="1"/>
    <b v="0"/>
    <b v="1"/>
  </r>
  <r>
    <n v="59"/>
    <x v="2"/>
    <d v="1900-01-01T00:00:00"/>
    <x v="2"/>
    <s v="Sports"/>
    <s v="United Kingdom"/>
    <s v="Sub_Urban"/>
    <n v="588"/>
    <x v="2"/>
    <n v="19133"/>
    <b v="0"/>
    <b v="1"/>
    <b v="1"/>
  </r>
  <r>
    <n v="56"/>
    <x v="2"/>
    <d v="1900-01-01T00:00:00"/>
    <x v="1"/>
    <s v="Lifestlye"/>
    <s v="United Kingdom"/>
    <s v="Rural"/>
    <n v="589"/>
    <x v="0"/>
    <n v="10727"/>
    <b v="0"/>
    <b v="0"/>
    <b v="1"/>
  </r>
  <r>
    <n v="31"/>
    <x v="1"/>
    <d v="1900-01-04T00:00:00"/>
    <x v="0"/>
    <s v="Lifestlye"/>
    <s v="Australia"/>
    <s v="Sub_Urban"/>
    <n v="590"/>
    <x v="1"/>
    <n v="14975"/>
    <b v="0"/>
    <b v="0"/>
    <b v="1"/>
  </r>
  <r>
    <n v="48"/>
    <x v="2"/>
    <d v="1900-01-03T00:00:00"/>
    <x v="1"/>
    <s v="Sports"/>
    <s v="Australia"/>
    <s v="Urban"/>
    <n v="591"/>
    <x v="2"/>
    <n v="13243"/>
    <b v="1"/>
    <b v="1"/>
    <b v="1"/>
  </r>
  <r>
    <n v="22"/>
    <x v="1"/>
    <d v="1900-01-01T00:00:00"/>
    <x v="0"/>
    <s v="Sports"/>
    <s v="Australia"/>
    <s v="Rural"/>
    <n v="592"/>
    <x v="2"/>
    <n v="10648"/>
    <b v="1"/>
    <b v="1"/>
    <b v="1"/>
  </r>
  <r>
    <n v="52"/>
    <x v="0"/>
    <d v="1900-01-02T00:00:00"/>
    <x v="0"/>
    <s v="Lifestlye"/>
    <s v="United States"/>
    <s v="Urban"/>
    <n v="593"/>
    <x v="0"/>
    <n v="15095"/>
    <b v="1"/>
    <b v="0"/>
    <b v="0"/>
  </r>
  <r>
    <n v="40"/>
    <x v="1"/>
    <d v="1900-01-06T00:00:00"/>
    <x v="0"/>
    <s v="Travel"/>
    <s v="United States"/>
    <s v="Urban"/>
    <n v="594"/>
    <x v="0"/>
    <n v="16614"/>
    <b v="0"/>
    <b v="0"/>
    <b v="1"/>
  </r>
  <r>
    <n v="46"/>
    <x v="0"/>
    <d v="1900-01-07T00:00:00"/>
    <x v="2"/>
    <s v="Sports"/>
    <s v="United Kingdom"/>
    <s v="Rural"/>
    <n v="595"/>
    <x v="1"/>
    <n v="17135"/>
    <b v="0"/>
    <b v="0"/>
    <b v="1"/>
  </r>
  <r>
    <n v="60"/>
    <x v="2"/>
    <d v="1900-01-05T00:00:00"/>
    <x v="0"/>
    <s v="Travel"/>
    <s v="United States"/>
    <s v="Rural"/>
    <n v="596"/>
    <x v="0"/>
    <n v="11009"/>
    <b v="1"/>
    <b v="0"/>
    <b v="0"/>
  </r>
  <r>
    <n v="28"/>
    <x v="2"/>
    <d v="1900-01-04T00:00:00"/>
    <x v="0"/>
    <s v="Sports"/>
    <s v="Australia"/>
    <s v="Sub_Urban"/>
    <n v="597"/>
    <x v="2"/>
    <n v="11550"/>
    <b v="1"/>
    <b v="0"/>
    <b v="1"/>
  </r>
  <r>
    <n v="35"/>
    <x v="0"/>
    <d v="1899-12-31T00:00:00"/>
    <x v="2"/>
    <s v="Sports"/>
    <s v="Australia"/>
    <s v="Sub_Urban"/>
    <n v="598"/>
    <x v="2"/>
    <n v="18995"/>
    <b v="0"/>
    <b v="0"/>
    <b v="1"/>
  </r>
  <r>
    <n v="64"/>
    <x v="2"/>
    <d v="1900-01-07T00:00:00"/>
    <x v="2"/>
    <s v="Sports"/>
    <s v="United States"/>
    <s v="Urban"/>
    <n v="599"/>
    <x v="2"/>
    <n v="17492"/>
    <b v="1"/>
    <b v="1"/>
    <b v="1"/>
  </r>
  <r>
    <n v="29"/>
    <x v="1"/>
    <d v="1900-01-02T00:00:00"/>
    <x v="0"/>
    <s v="Sports"/>
    <s v="United Kingdom"/>
    <s v="Sub_Urban"/>
    <n v="600"/>
    <x v="2"/>
    <n v="13401"/>
    <b v="0"/>
    <b v="1"/>
    <b v="1"/>
  </r>
  <r>
    <n v="26"/>
    <x v="0"/>
    <d v="1900-01-05T00:00:00"/>
    <x v="2"/>
    <s v="Travel"/>
    <s v="United Kingdom"/>
    <s v="Sub_Urban"/>
    <n v="601"/>
    <x v="1"/>
    <n v="17447"/>
    <b v="1"/>
    <b v="1"/>
    <b v="0"/>
  </r>
  <r>
    <n v="27"/>
    <x v="2"/>
    <d v="1900-01-02T00:00:00"/>
    <x v="1"/>
    <s v="Sports"/>
    <s v="United States"/>
    <s v="Rural"/>
    <n v="602"/>
    <x v="1"/>
    <n v="15424"/>
    <b v="1"/>
    <b v="1"/>
    <b v="1"/>
  </r>
  <r>
    <n v="61"/>
    <x v="0"/>
    <d v="1900-01-06T00:00:00"/>
    <x v="1"/>
    <s v="Lifestlye"/>
    <s v="United Kingdom"/>
    <s v="Sub_Urban"/>
    <n v="603"/>
    <x v="0"/>
    <n v="14241"/>
    <b v="1"/>
    <b v="0"/>
    <b v="0"/>
  </r>
  <r>
    <n v="34"/>
    <x v="1"/>
    <d v="1900-01-06T00:00:00"/>
    <x v="2"/>
    <s v="Lifestlye"/>
    <s v="United Kingdom"/>
    <s v="Urban"/>
    <n v="604"/>
    <x v="0"/>
    <n v="13161"/>
    <b v="0"/>
    <b v="1"/>
    <b v="1"/>
  </r>
  <r>
    <n v="55"/>
    <x v="1"/>
    <d v="1900-01-08T00:00:00"/>
    <x v="2"/>
    <s v="Travel"/>
    <s v="United Kingdom"/>
    <s v="Sub_Urban"/>
    <n v="605"/>
    <x v="0"/>
    <n v="14155"/>
    <b v="0"/>
    <b v="1"/>
    <b v="1"/>
  </r>
  <r>
    <n v="24"/>
    <x v="2"/>
    <d v="1900-01-04T00:00:00"/>
    <x v="0"/>
    <s v="Sports"/>
    <s v="Australia"/>
    <s v="Urban"/>
    <n v="606"/>
    <x v="1"/>
    <n v="17478"/>
    <b v="1"/>
    <b v="0"/>
    <b v="0"/>
  </r>
  <r>
    <n v="63"/>
    <x v="1"/>
    <d v="1900-01-07T00:00:00"/>
    <x v="2"/>
    <s v="Lifestlye"/>
    <s v="Australia"/>
    <s v="Rural"/>
    <n v="607"/>
    <x v="2"/>
    <n v="18719"/>
    <b v="0"/>
    <b v="1"/>
    <b v="1"/>
  </r>
  <r>
    <n v="30"/>
    <x v="0"/>
    <d v="1900-01-07T00:00:00"/>
    <x v="0"/>
    <s v="Travel"/>
    <s v="United States"/>
    <s v="Urban"/>
    <n v="608"/>
    <x v="0"/>
    <n v="19215"/>
    <b v="0"/>
    <b v="0"/>
    <b v="0"/>
  </r>
  <r>
    <n v="57"/>
    <x v="1"/>
    <d v="1899-12-31T00:00:00"/>
    <x v="1"/>
    <s v="Sports"/>
    <s v="Australia"/>
    <s v="Sub_Urban"/>
    <n v="609"/>
    <x v="2"/>
    <n v="16617"/>
    <b v="0"/>
    <b v="0"/>
    <b v="0"/>
  </r>
  <r>
    <n v="59"/>
    <x v="0"/>
    <d v="1900-01-04T00:00:00"/>
    <x v="2"/>
    <s v="Lifestlye"/>
    <s v="United Kingdom"/>
    <s v="Rural"/>
    <n v="610"/>
    <x v="0"/>
    <n v="15660"/>
    <b v="0"/>
    <b v="0"/>
    <b v="0"/>
  </r>
  <r>
    <n v="26"/>
    <x v="0"/>
    <d v="1900-01-02T00:00:00"/>
    <x v="0"/>
    <s v="Lifestlye"/>
    <s v="Australia"/>
    <s v="Sub_Urban"/>
    <n v="611"/>
    <x v="0"/>
    <n v="18624"/>
    <b v="1"/>
    <b v="0"/>
    <b v="1"/>
  </r>
  <r>
    <n v="44"/>
    <x v="1"/>
    <d v="1899-12-31T00:00:00"/>
    <x v="0"/>
    <s v="Travel"/>
    <s v="United States"/>
    <s v="Rural"/>
    <n v="612"/>
    <x v="0"/>
    <n v="11176"/>
    <b v="0"/>
    <b v="0"/>
    <b v="1"/>
  </r>
  <r>
    <n v="19"/>
    <x v="2"/>
    <d v="1900-01-03T00:00:00"/>
    <x v="1"/>
    <s v="Sports"/>
    <s v="Australia"/>
    <s v="Rural"/>
    <n v="613"/>
    <x v="0"/>
    <n v="17956"/>
    <b v="0"/>
    <b v="1"/>
    <b v="1"/>
  </r>
  <r>
    <n v="22"/>
    <x v="1"/>
    <d v="1900-01-07T00:00:00"/>
    <x v="2"/>
    <s v="Sports"/>
    <s v="United Kingdom"/>
    <s v="Sub_Urban"/>
    <n v="614"/>
    <x v="0"/>
    <n v="18592"/>
    <b v="1"/>
    <b v="1"/>
    <b v="1"/>
  </r>
  <r>
    <n v="46"/>
    <x v="0"/>
    <d v="1900-01-02T00:00:00"/>
    <x v="1"/>
    <s v="Lifestlye"/>
    <s v="United Kingdom"/>
    <s v="Sub_Urban"/>
    <n v="615"/>
    <x v="2"/>
    <n v="12233"/>
    <b v="0"/>
    <b v="1"/>
    <b v="0"/>
  </r>
  <r>
    <n v="54"/>
    <x v="0"/>
    <d v="1900-01-01T00:00:00"/>
    <x v="0"/>
    <s v="Lifestlye"/>
    <s v="United States"/>
    <s v="Rural"/>
    <n v="616"/>
    <x v="0"/>
    <n v="14700"/>
    <b v="0"/>
    <b v="0"/>
    <b v="1"/>
  </r>
  <r>
    <n v="55"/>
    <x v="1"/>
    <d v="1900-01-08T00:00:00"/>
    <x v="0"/>
    <s v="Lifestlye"/>
    <s v="Australia"/>
    <s v="Rural"/>
    <n v="617"/>
    <x v="2"/>
    <n v="15906"/>
    <b v="0"/>
    <b v="1"/>
    <b v="1"/>
  </r>
  <r>
    <n v="36"/>
    <x v="2"/>
    <d v="1900-01-04T00:00:00"/>
    <x v="2"/>
    <s v="Sports"/>
    <s v="Australia"/>
    <s v="Sub_Urban"/>
    <n v="618"/>
    <x v="1"/>
    <n v="17860"/>
    <b v="1"/>
    <b v="1"/>
    <b v="0"/>
  </r>
  <r>
    <n v="25"/>
    <x v="2"/>
    <d v="1900-01-06T00:00:00"/>
    <x v="0"/>
    <s v="Travel"/>
    <s v="Australia"/>
    <s v="Urban"/>
    <n v="619"/>
    <x v="0"/>
    <n v="17526"/>
    <b v="1"/>
    <b v="1"/>
    <b v="0"/>
  </r>
  <r>
    <n v="62"/>
    <x v="0"/>
    <d v="1900-01-01T00:00:00"/>
    <x v="2"/>
    <s v="Travel"/>
    <s v="United Kingdom"/>
    <s v="Sub_Urban"/>
    <n v="620"/>
    <x v="2"/>
    <n v="15559"/>
    <b v="0"/>
    <b v="1"/>
    <b v="1"/>
  </r>
  <r>
    <n v="18"/>
    <x v="0"/>
    <d v="1900-01-08T00:00:00"/>
    <x v="1"/>
    <s v="Sports"/>
    <s v="United States"/>
    <s v="Rural"/>
    <n v="621"/>
    <x v="1"/>
    <n v="16732"/>
    <b v="0"/>
    <b v="0"/>
    <b v="0"/>
  </r>
  <r>
    <n v="39"/>
    <x v="2"/>
    <d v="1900-01-08T00:00:00"/>
    <x v="2"/>
    <s v="Travel"/>
    <s v="Australia"/>
    <s v="Sub_Urban"/>
    <n v="622"/>
    <x v="1"/>
    <n v="12513"/>
    <b v="1"/>
    <b v="1"/>
    <b v="0"/>
  </r>
  <r>
    <n v="34"/>
    <x v="1"/>
    <d v="1900-01-03T00:00:00"/>
    <x v="2"/>
    <s v="Lifestlye"/>
    <s v="United Kingdom"/>
    <s v="Urban"/>
    <n v="623"/>
    <x v="1"/>
    <n v="17830"/>
    <b v="1"/>
    <b v="0"/>
    <b v="0"/>
  </r>
  <r>
    <n v="24"/>
    <x v="0"/>
    <d v="1900-01-03T00:00:00"/>
    <x v="0"/>
    <s v="Travel"/>
    <s v="United Kingdom"/>
    <s v="Sub_Urban"/>
    <n v="624"/>
    <x v="2"/>
    <n v="19965"/>
    <b v="1"/>
    <b v="0"/>
    <b v="0"/>
  </r>
  <r>
    <n v="42"/>
    <x v="0"/>
    <d v="1900-01-05T00:00:00"/>
    <x v="0"/>
    <s v="Travel"/>
    <s v="United Kingdom"/>
    <s v="Rural"/>
    <n v="625"/>
    <x v="0"/>
    <n v="16944"/>
    <b v="0"/>
    <b v="1"/>
    <b v="0"/>
  </r>
  <r>
    <n v="62"/>
    <x v="2"/>
    <d v="1900-01-05T00:00:00"/>
    <x v="2"/>
    <s v="Travel"/>
    <s v="Australia"/>
    <s v="Sub_Urban"/>
    <n v="626"/>
    <x v="0"/>
    <n v="17910"/>
    <b v="0"/>
    <b v="0"/>
    <b v="1"/>
  </r>
  <r>
    <n v="21"/>
    <x v="1"/>
    <d v="1899-12-31T00:00:00"/>
    <x v="0"/>
    <s v="Lifestlye"/>
    <s v="Australia"/>
    <s v="Rural"/>
    <n v="627"/>
    <x v="2"/>
    <n v="15649"/>
    <b v="1"/>
    <b v="0"/>
    <b v="1"/>
  </r>
  <r>
    <n v="53"/>
    <x v="2"/>
    <d v="1900-01-08T00:00:00"/>
    <x v="0"/>
    <s v="Sports"/>
    <s v="Australia"/>
    <s v="Rural"/>
    <n v="628"/>
    <x v="0"/>
    <n v="11096"/>
    <b v="0"/>
    <b v="0"/>
    <b v="1"/>
  </r>
  <r>
    <n v="23"/>
    <x v="1"/>
    <d v="1900-01-01T00:00:00"/>
    <x v="0"/>
    <s v="Lifestlye"/>
    <s v="Australia"/>
    <s v="Sub_Urban"/>
    <n v="629"/>
    <x v="2"/>
    <n v="19120"/>
    <b v="0"/>
    <b v="0"/>
    <b v="1"/>
  </r>
  <r>
    <n v="48"/>
    <x v="1"/>
    <d v="1900-01-04T00:00:00"/>
    <x v="2"/>
    <s v="Sports"/>
    <s v="Australia"/>
    <s v="Rural"/>
    <n v="630"/>
    <x v="0"/>
    <n v="11951"/>
    <b v="0"/>
    <b v="0"/>
    <b v="1"/>
  </r>
  <r>
    <n v="36"/>
    <x v="1"/>
    <d v="1900-01-08T00:00:00"/>
    <x v="0"/>
    <s v="Sports"/>
    <s v="Australia"/>
    <s v="Rural"/>
    <n v="631"/>
    <x v="1"/>
    <n v="19746"/>
    <b v="0"/>
    <b v="0"/>
    <b v="1"/>
  </r>
  <r>
    <n v="61"/>
    <x v="0"/>
    <d v="1900-01-03T00:00:00"/>
    <x v="2"/>
    <s v="Sports"/>
    <s v="Australia"/>
    <s v="Urban"/>
    <n v="632"/>
    <x v="0"/>
    <n v="19186"/>
    <b v="0"/>
    <b v="0"/>
    <b v="1"/>
  </r>
  <r>
    <n v="56"/>
    <x v="2"/>
    <d v="1900-01-02T00:00:00"/>
    <x v="0"/>
    <s v="Travel"/>
    <s v="Australia"/>
    <s v="Urban"/>
    <n v="633"/>
    <x v="2"/>
    <n v="17799"/>
    <b v="0"/>
    <b v="1"/>
    <b v="0"/>
  </r>
  <r>
    <n v="44"/>
    <x v="2"/>
    <d v="1900-01-06T00:00:00"/>
    <x v="1"/>
    <s v="Travel"/>
    <s v="Australia"/>
    <s v="Urban"/>
    <n v="634"/>
    <x v="2"/>
    <n v="18804"/>
    <b v="0"/>
    <b v="1"/>
    <b v="1"/>
  </r>
  <r>
    <n v="27"/>
    <x v="1"/>
    <d v="1900-01-05T00:00:00"/>
    <x v="0"/>
    <s v="Sports"/>
    <s v="United Kingdom"/>
    <s v="Urban"/>
    <n v="635"/>
    <x v="1"/>
    <n v="10595"/>
    <b v="1"/>
    <b v="0"/>
    <b v="1"/>
  </r>
  <r>
    <n v="43"/>
    <x v="0"/>
    <d v="1900-01-07T00:00:00"/>
    <x v="0"/>
    <s v="Sports"/>
    <s v="Australia"/>
    <s v="Rural"/>
    <n v="636"/>
    <x v="2"/>
    <n v="17875"/>
    <b v="1"/>
    <b v="0"/>
    <b v="1"/>
  </r>
  <r>
    <n v="36"/>
    <x v="0"/>
    <d v="1900-01-02T00:00:00"/>
    <x v="2"/>
    <s v="Travel"/>
    <s v="United States"/>
    <s v="Sub_Urban"/>
    <n v="637"/>
    <x v="0"/>
    <n v="19033"/>
    <b v="1"/>
    <b v="1"/>
    <b v="0"/>
  </r>
  <r>
    <n v="56"/>
    <x v="2"/>
    <d v="1900-01-04T00:00:00"/>
    <x v="2"/>
    <s v="Lifestlye"/>
    <s v="United Kingdom"/>
    <s v="Rural"/>
    <n v="638"/>
    <x v="0"/>
    <n v="14439"/>
    <b v="1"/>
    <b v="1"/>
    <b v="1"/>
  </r>
  <r>
    <n v="20"/>
    <x v="0"/>
    <d v="1900-01-03T00:00:00"/>
    <x v="0"/>
    <s v="Sports"/>
    <s v="Australia"/>
    <s v="Rural"/>
    <n v="639"/>
    <x v="1"/>
    <n v="15972"/>
    <b v="1"/>
    <b v="1"/>
    <b v="1"/>
  </r>
  <r>
    <n v="62"/>
    <x v="0"/>
    <d v="1900-01-03T00:00:00"/>
    <x v="1"/>
    <s v="Lifestlye"/>
    <s v="United States"/>
    <s v="Rural"/>
    <n v="640"/>
    <x v="2"/>
    <n v="10858"/>
    <b v="1"/>
    <b v="1"/>
    <b v="0"/>
  </r>
  <r>
    <n v="30"/>
    <x v="1"/>
    <d v="1900-01-03T00:00:00"/>
    <x v="0"/>
    <s v="Travel"/>
    <s v="Australia"/>
    <s v="Sub_Urban"/>
    <n v="641"/>
    <x v="1"/>
    <n v="15519"/>
    <b v="1"/>
    <b v="0"/>
    <b v="1"/>
  </r>
  <r>
    <n v="45"/>
    <x v="0"/>
    <d v="1900-01-07T00:00:00"/>
    <x v="0"/>
    <s v="Sports"/>
    <s v="United States"/>
    <s v="Urban"/>
    <n v="642"/>
    <x v="0"/>
    <n v="17385"/>
    <b v="1"/>
    <b v="0"/>
    <b v="1"/>
  </r>
  <r>
    <n v="37"/>
    <x v="1"/>
    <d v="1900-01-05T00:00:00"/>
    <x v="1"/>
    <s v="Lifestlye"/>
    <s v="United States"/>
    <s v="Rural"/>
    <n v="643"/>
    <x v="1"/>
    <n v="18636"/>
    <b v="1"/>
    <b v="1"/>
    <b v="0"/>
  </r>
  <r>
    <n v="45"/>
    <x v="2"/>
    <d v="1900-01-02T00:00:00"/>
    <x v="2"/>
    <s v="Lifestlye"/>
    <s v="United States"/>
    <s v="Rural"/>
    <n v="644"/>
    <x v="2"/>
    <n v="19980"/>
    <b v="0"/>
    <b v="1"/>
    <b v="1"/>
  </r>
  <r>
    <n v="25"/>
    <x v="0"/>
    <d v="1900-01-04T00:00:00"/>
    <x v="0"/>
    <s v="Lifestlye"/>
    <s v="United States"/>
    <s v="Urban"/>
    <n v="645"/>
    <x v="1"/>
    <n v="14317"/>
    <b v="0"/>
    <b v="1"/>
    <b v="0"/>
  </r>
  <r>
    <n v="58"/>
    <x v="2"/>
    <d v="1900-01-05T00:00:00"/>
    <x v="2"/>
    <s v="Travel"/>
    <s v="United Kingdom"/>
    <s v="Rural"/>
    <n v="646"/>
    <x v="2"/>
    <n v="13454"/>
    <b v="1"/>
    <b v="1"/>
    <b v="1"/>
  </r>
  <r>
    <n v="56"/>
    <x v="2"/>
    <d v="1900-01-04T00:00:00"/>
    <x v="2"/>
    <s v="Travel"/>
    <s v="United Kingdom"/>
    <s v="Sub_Urban"/>
    <n v="647"/>
    <x v="2"/>
    <n v="11030"/>
    <b v="0"/>
    <b v="0"/>
    <b v="1"/>
  </r>
  <r>
    <n v="18"/>
    <x v="0"/>
    <d v="1900-01-05T00:00:00"/>
    <x v="1"/>
    <s v="Lifestlye"/>
    <s v="United States"/>
    <s v="Rural"/>
    <n v="648"/>
    <x v="0"/>
    <n v="19487"/>
    <b v="0"/>
    <b v="1"/>
    <b v="1"/>
  </r>
  <r>
    <n v="20"/>
    <x v="0"/>
    <d v="1900-01-07T00:00:00"/>
    <x v="1"/>
    <s v="Lifestlye"/>
    <s v="Australia"/>
    <s v="Rural"/>
    <n v="649"/>
    <x v="0"/>
    <n v="17906"/>
    <b v="1"/>
    <b v="1"/>
    <b v="0"/>
  </r>
  <r>
    <n v="30"/>
    <x v="2"/>
    <d v="1900-01-06T00:00:00"/>
    <x v="2"/>
    <s v="Travel"/>
    <s v="United States"/>
    <s v="Urban"/>
    <n v="650"/>
    <x v="0"/>
    <n v="11447"/>
    <b v="1"/>
    <b v="1"/>
    <b v="0"/>
  </r>
  <r>
    <n v="45"/>
    <x v="0"/>
    <d v="1900-01-04T00:00:00"/>
    <x v="0"/>
    <s v="Lifestlye"/>
    <s v="United Kingdom"/>
    <s v="Rural"/>
    <n v="651"/>
    <x v="2"/>
    <n v="12850"/>
    <b v="1"/>
    <b v="0"/>
    <b v="0"/>
  </r>
  <r>
    <n v="42"/>
    <x v="1"/>
    <d v="1900-01-05T00:00:00"/>
    <x v="2"/>
    <s v="Lifestlye"/>
    <s v="Australia"/>
    <s v="Rural"/>
    <n v="652"/>
    <x v="1"/>
    <n v="18106"/>
    <b v="0"/>
    <b v="0"/>
    <b v="1"/>
  </r>
  <r>
    <n v="50"/>
    <x v="1"/>
    <d v="1900-01-03T00:00:00"/>
    <x v="0"/>
    <s v="Travel"/>
    <s v="United Kingdom"/>
    <s v="Sub_Urban"/>
    <n v="653"/>
    <x v="2"/>
    <n v="17151"/>
    <b v="0"/>
    <b v="0"/>
    <b v="1"/>
  </r>
  <r>
    <n v="55"/>
    <x v="0"/>
    <d v="1900-01-08T00:00:00"/>
    <x v="0"/>
    <s v="Lifestlye"/>
    <s v="United Kingdom"/>
    <s v="Urban"/>
    <n v="654"/>
    <x v="0"/>
    <n v="19503"/>
    <b v="1"/>
    <b v="1"/>
    <b v="0"/>
  </r>
  <r>
    <n v="23"/>
    <x v="2"/>
    <d v="1900-01-03T00:00:00"/>
    <x v="1"/>
    <s v="Lifestlye"/>
    <s v="Australia"/>
    <s v="Urban"/>
    <n v="655"/>
    <x v="0"/>
    <n v="16952"/>
    <b v="0"/>
    <b v="1"/>
    <b v="0"/>
  </r>
  <r>
    <n v="61"/>
    <x v="0"/>
    <d v="1899-12-31T00:00:00"/>
    <x v="0"/>
    <s v="Lifestlye"/>
    <s v="United States"/>
    <s v="Sub_Urban"/>
    <n v="656"/>
    <x v="1"/>
    <n v="14055"/>
    <b v="0"/>
    <b v="1"/>
    <b v="1"/>
  </r>
  <r>
    <n v="62"/>
    <x v="0"/>
    <d v="1900-01-06T00:00:00"/>
    <x v="0"/>
    <s v="Travel"/>
    <s v="United States"/>
    <s v="Rural"/>
    <n v="657"/>
    <x v="0"/>
    <n v="15402"/>
    <b v="0"/>
    <b v="0"/>
    <b v="1"/>
  </r>
  <r>
    <n v="49"/>
    <x v="2"/>
    <d v="1900-01-06T00:00:00"/>
    <x v="2"/>
    <s v="Lifestlye"/>
    <s v="United States"/>
    <s v="Urban"/>
    <n v="658"/>
    <x v="0"/>
    <n v="19281"/>
    <b v="1"/>
    <b v="0"/>
    <b v="1"/>
  </r>
  <r>
    <n v="62"/>
    <x v="2"/>
    <d v="1900-01-03T00:00:00"/>
    <x v="1"/>
    <s v="Travel"/>
    <s v="United States"/>
    <s v="Urban"/>
    <n v="659"/>
    <x v="0"/>
    <n v="11672"/>
    <b v="0"/>
    <b v="1"/>
    <b v="1"/>
  </r>
  <r>
    <n v="64"/>
    <x v="1"/>
    <d v="1900-01-02T00:00:00"/>
    <x v="0"/>
    <s v="Travel"/>
    <s v="Australia"/>
    <s v="Rural"/>
    <n v="660"/>
    <x v="1"/>
    <n v="14532"/>
    <b v="0"/>
    <b v="1"/>
    <b v="0"/>
  </r>
  <r>
    <n v="38"/>
    <x v="2"/>
    <d v="1900-01-07T00:00:00"/>
    <x v="0"/>
    <s v="Sports"/>
    <s v="Australia"/>
    <s v="Rural"/>
    <n v="661"/>
    <x v="2"/>
    <n v="14924"/>
    <b v="0"/>
    <b v="0"/>
    <b v="1"/>
  </r>
  <r>
    <n v="33"/>
    <x v="1"/>
    <d v="1900-01-04T00:00:00"/>
    <x v="1"/>
    <s v="Sports"/>
    <s v="Australia"/>
    <s v="Urban"/>
    <n v="662"/>
    <x v="0"/>
    <n v="16085"/>
    <b v="0"/>
    <b v="1"/>
    <b v="1"/>
  </r>
  <r>
    <n v="38"/>
    <x v="2"/>
    <d v="1900-01-06T00:00:00"/>
    <x v="2"/>
    <s v="Lifestlye"/>
    <s v="United Kingdom"/>
    <s v="Rural"/>
    <n v="663"/>
    <x v="1"/>
    <n v="17734"/>
    <b v="0"/>
    <b v="1"/>
    <b v="1"/>
  </r>
  <r>
    <n v="28"/>
    <x v="0"/>
    <d v="1900-01-03T00:00:00"/>
    <x v="1"/>
    <s v="Travel"/>
    <s v="Australia"/>
    <s v="Urban"/>
    <n v="664"/>
    <x v="0"/>
    <n v="14864"/>
    <b v="0"/>
    <b v="1"/>
    <b v="1"/>
  </r>
  <r>
    <n v="54"/>
    <x v="1"/>
    <d v="1900-01-03T00:00:00"/>
    <x v="1"/>
    <s v="Sports"/>
    <s v="United States"/>
    <s v="Rural"/>
    <n v="665"/>
    <x v="1"/>
    <n v="19316"/>
    <b v="0"/>
    <b v="0"/>
    <b v="1"/>
  </r>
  <r>
    <n v="53"/>
    <x v="1"/>
    <d v="1900-01-07T00:00:00"/>
    <x v="0"/>
    <s v="Lifestlye"/>
    <s v="United Kingdom"/>
    <s v="Rural"/>
    <n v="666"/>
    <x v="0"/>
    <n v="11221"/>
    <b v="1"/>
    <b v="1"/>
    <b v="1"/>
  </r>
  <r>
    <n v="52"/>
    <x v="1"/>
    <d v="1900-01-07T00:00:00"/>
    <x v="0"/>
    <s v="Sports"/>
    <s v="United States"/>
    <s v="Sub_Urban"/>
    <n v="667"/>
    <x v="1"/>
    <n v="12860"/>
    <b v="1"/>
    <b v="1"/>
    <b v="1"/>
  </r>
  <r>
    <n v="36"/>
    <x v="0"/>
    <d v="1900-01-01T00:00:00"/>
    <x v="2"/>
    <s v="Sports"/>
    <s v="United States"/>
    <s v="Rural"/>
    <n v="668"/>
    <x v="0"/>
    <n v="18428"/>
    <b v="0"/>
    <b v="1"/>
    <b v="0"/>
  </r>
  <r>
    <n v="37"/>
    <x v="0"/>
    <d v="1900-01-01T00:00:00"/>
    <x v="0"/>
    <s v="Travel"/>
    <s v="Australia"/>
    <s v="Sub_Urban"/>
    <n v="669"/>
    <x v="2"/>
    <n v="19336"/>
    <b v="1"/>
    <b v="1"/>
    <b v="0"/>
  </r>
  <r>
    <n v="35"/>
    <x v="0"/>
    <d v="1900-01-02T00:00:00"/>
    <x v="0"/>
    <s v="Travel"/>
    <s v="Australia"/>
    <s v="Rural"/>
    <n v="670"/>
    <x v="0"/>
    <n v="13253"/>
    <b v="0"/>
    <b v="0"/>
    <b v="0"/>
  </r>
  <r>
    <n v="64"/>
    <x v="0"/>
    <d v="1900-01-02T00:00:00"/>
    <x v="1"/>
    <s v="Sports"/>
    <s v="United States"/>
    <s v="Urban"/>
    <n v="671"/>
    <x v="1"/>
    <n v="13782"/>
    <b v="0"/>
    <b v="0"/>
    <b v="1"/>
  </r>
  <r>
    <n v="58"/>
    <x v="0"/>
    <d v="1899-12-31T00:00:00"/>
    <x v="0"/>
    <s v="Sports"/>
    <s v="United States"/>
    <s v="Urban"/>
    <n v="672"/>
    <x v="0"/>
    <n v="16957"/>
    <b v="0"/>
    <b v="0"/>
    <b v="0"/>
  </r>
  <r>
    <n v="31"/>
    <x v="1"/>
    <d v="1900-01-02T00:00:00"/>
    <x v="2"/>
    <s v="Travel"/>
    <s v="United Kingdom"/>
    <s v="Rural"/>
    <n v="673"/>
    <x v="2"/>
    <n v="10766"/>
    <b v="1"/>
    <b v="1"/>
    <b v="1"/>
  </r>
  <r>
    <n v="32"/>
    <x v="0"/>
    <d v="1900-01-05T00:00:00"/>
    <x v="1"/>
    <s v="Lifestlye"/>
    <s v="Australia"/>
    <s v="Rural"/>
    <n v="674"/>
    <x v="0"/>
    <n v="12681"/>
    <b v="0"/>
    <b v="0"/>
    <b v="1"/>
  </r>
  <r>
    <n v="48"/>
    <x v="1"/>
    <d v="1900-01-07T00:00:00"/>
    <x v="2"/>
    <s v="Travel"/>
    <s v="United Kingdom"/>
    <s v="Urban"/>
    <n v="675"/>
    <x v="1"/>
    <n v="17710"/>
    <b v="0"/>
    <b v="1"/>
    <b v="1"/>
  </r>
  <r>
    <n v="18"/>
    <x v="0"/>
    <d v="1900-01-05T00:00:00"/>
    <x v="1"/>
    <s v="Sports"/>
    <s v="United Kingdom"/>
    <s v="Rural"/>
    <n v="676"/>
    <x v="1"/>
    <n v="17482"/>
    <b v="1"/>
    <b v="0"/>
    <b v="1"/>
  </r>
  <r>
    <n v="20"/>
    <x v="2"/>
    <d v="1900-01-04T00:00:00"/>
    <x v="0"/>
    <s v="Lifestlye"/>
    <s v="United Kingdom"/>
    <s v="Sub_Urban"/>
    <n v="677"/>
    <x v="2"/>
    <n v="15086"/>
    <b v="1"/>
    <b v="1"/>
    <b v="0"/>
  </r>
  <r>
    <n v="33"/>
    <x v="1"/>
    <d v="1900-01-03T00:00:00"/>
    <x v="1"/>
    <s v="Sports"/>
    <s v="United States"/>
    <s v="Sub_Urban"/>
    <n v="678"/>
    <x v="1"/>
    <n v="17964"/>
    <b v="0"/>
    <b v="0"/>
    <b v="1"/>
  </r>
  <r>
    <n v="40"/>
    <x v="2"/>
    <d v="1900-01-02T00:00:00"/>
    <x v="1"/>
    <s v="Lifestlye"/>
    <s v="United Kingdom"/>
    <s v="Sub_Urban"/>
    <n v="679"/>
    <x v="0"/>
    <n v="12665"/>
    <b v="1"/>
    <b v="0"/>
    <b v="1"/>
  </r>
  <r>
    <n v="28"/>
    <x v="1"/>
    <d v="1900-01-03T00:00:00"/>
    <x v="0"/>
    <s v="Sports"/>
    <s v="United Kingdom"/>
    <s v="Sub_Urban"/>
    <n v="680"/>
    <x v="0"/>
    <n v="19951"/>
    <b v="1"/>
    <b v="0"/>
    <b v="0"/>
  </r>
  <r>
    <n v="29"/>
    <x v="2"/>
    <d v="1900-01-06T00:00:00"/>
    <x v="0"/>
    <s v="Lifestlye"/>
    <s v="United States"/>
    <s v="Sub_Urban"/>
    <n v="681"/>
    <x v="0"/>
    <n v="13513"/>
    <b v="0"/>
    <b v="1"/>
    <b v="0"/>
  </r>
  <r>
    <n v="27"/>
    <x v="0"/>
    <d v="1899-12-31T00:00:00"/>
    <x v="2"/>
    <s v="Lifestlye"/>
    <s v="Australia"/>
    <s v="Rural"/>
    <n v="682"/>
    <x v="1"/>
    <n v="10495"/>
    <b v="0"/>
    <b v="1"/>
    <b v="0"/>
  </r>
  <r>
    <n v="49"/>
    <x v="0"/>
    <d v="1900-01-06T00:00:00"/>
    <x v="2"/>
    <s v="Sports"/>
    <s v="Australia"/>
    <s v="Rural"/>
    <n v="683"/>
    <x v="0"/>
    <n v="15822"/>
    <b v="0"/>
    <b v="1"/>
    <b v="1"/>
  </r>
  <r>
    <n v="33"/>
    <x v="0"/>
    <d v="1899-12-31T00:00:00"/>
    <x v="0"/>
    <s v="Lifestlye"/>
    <s v="United Kingdom"/>
    <s v="Sub_Urban"/>
    <n v="684"/>
    <x v="0"/>
    <n v="12072"/>
    <b v="1"/>
    <b v="0"/>
    <b v="0"/>
  </r>
  <r>
    <n v="25"/>
    <x v="1"/>
    <d v="1900-01-01T00:00:00"/>
    <x v="0"/>
    <s v="Travel"/>
    <s v="United States"/>
    <s v="Rural"/>
    <n v="685"/>
    <x v="0"/>
    <n v="17795"/>
    <b v="1"/>
    <b v="1"/>
    <b v="1"/>
  </r>
  <r>
    <n v="55"/>
    <x v="2"/>
    <d v="1900-01-03T00:00:00"/>
    <x v="0"/>
    <s v="Sports"/>
    <s v="Australia"/>
    <s v="Rural"/>
    <n v="686"/>
    <x v="2"/>
    <n v="18529"/>
    <b v="1"/>
    <b v="1"/>
    <b v="1"/>
  </r>
  <r>
    <n v="29"/>
    <x v="0"/>
    <d v="1899-12-31T00:00:00"/>
    <x v="1"/>
    <s v="Travel"/>
    <s v="United Kingdom"/>
    <s v="Sub_Urban"/>
    <n v="687"/>
    <x v="1"/>
    <n v="13949"/>
    <b v="0"/>
    <b v="1"/>
    <b v="0"/>
  </r>
  <r>
    <n v="41"/>
    <x v="2"/>
    <d v="1900-01-08T00:00:00"/>
    <x v="1"/>
    <s v="Sports"/>
    <s v="United Kingdom"/>
    <s v="Rural"/>
    <n v="688"/>
    <x v="1"/>
    <n v="16033"/>
    <b v="1"/>
    <b v="1"/>
    <b v="0"/>
  </r>
  <r>
    <n v="45"/>
    <x v="2"/>
    <d v="1900-01-05T00:00:00"/>
    <x v="1"/>
    <s v="Lifestlye"/>
    <s v="United States"/>
    <s v="Rural"/>
    <n v="689"/>
    <x v="1"/>
    <n v="18328"/>
    <b v="1"/>
    <b v="1"/>
    <b v="0"/>
  </r>
  <r>
    <n v="25"/>
    <x v="0"/>
    <d v="1899-12-31T00:00:00"/>
    <x v="0"/>
    <s v="Lifestlye"/>
    <s v="United Kingdom"/>
    <s v="Rural"/>
    <n v="690"/>
    <x v="2"/>
    <n v="12555"/>
    <b v="0"/>
    <b v="1"/>
    <b v="1"/>
  </r>
  <r>
    <n v="45"/>
    <x v="0"/>
    <d v="1899-12-31T00:00:00"/>
    <x v="2"/>
    <s v="Lifestlye"/>
    <s v="Australia"/>
    <s v="Sub_Urban"/>
    <n v="691"/>
    <x v="1"/>
    <n v="16370"/>
    <b v="0"/>
    <b v="0"/>
    <b v="1"/>
  </r>
  <r>
    <n v="53"/>
    <x v="2"/>
    <d v="1900-01-05T00:00:00"/>
    <x v="0"/>
    <s v="Sports"/>
    <s v="United States"/>
    <s v="Rural"/>
    <n v="692"/>
    <x v="2"/>
    <n v="14415"/>
    <b v="0"/>
    <b v="0"/>
    <b v="1"/>
  </r>
  <r>
    <n v="43"/>
    <x v="0"/>
    <d v="1900-01-03T00:00:00"/>
    <x v="1"/>
    <s v="Travel"/>
    <s v="Australia"/>
    <s v="Urban"/>
    <n v="693"/>
    <x v="2"/>
    <n v="15959"/>
    <b v="1"/>
    <b v="1"/>
    <b v="1"/>
  </r>
  <r>
    <n v="25"/>
    <x v="0"/>
    <d v="1900-01-03T00:00:00"/>
    <x v="1"/>
    <s v="Travel"/>
    <s v="Australia"/>
    <s v="Urban"/>
    <n v="694"/>
    <x v="1"/>
    <n v="19107"/>
    <b v="0"/>
    <b v="0"/>
    <b v="1"/>
  </r>
  <r>
    <n v="45"/>
    <x v="0"/>
    <d v="1900-01-05T00:00:00"/>
    <x v="0"/>
    <s v="Sports"/>
    <s v="Australia"/>
    <s v="Sub_Urban"/>
    <n v="695"/>
    <x v="0"/>
    <n v="15993"/>
    <b v="1"/>
    <b v="0"/>
    <b v="1"/>
  </r>
  <r>
    <n v="45"/>
    <x v="1"/>
    <d v="1900-01-06T00:00:00"/>
    <x v="0"/>
    <s v="Sports"/>
    <s v="United Kingdom"/>
    <s v="Urban"/>
    <n v="696"/>
    <x v="0"/>
    <n v="15021"/>
    <b v="1"/>
    <b v="1"/>
    <b v="0"/>
  </r>
  <r>
    <n v="54"/>
    <x v="2"/>
    <d v="1900-01-08T00:00:00"/>
    <x v="1"/>
    <s v="Travel"/>
    <s v="United Kingdom"/>
    <s v="Sub_Urban"/>
    <n v="697"/>
    <x v="1"/>
    <n v="12907"/>
    <b v="0"/>
    <b v="1"/>
    <b v="1"/>
  </r>
  <r>
    <n v="58"/>
    <x v="2"/>
    <d v="1900-01-04T00:00:00"/>
    <x v="1"/>
    <s v="Travel"/>
    <s v="Australia"/>
    <s v="Urban"/>
    <n v="698"/>
    <x v="1"/>
    <n v="12914"/>
    <b v="0"/>
    <b v="0"/>
    <b v="0"/>
  </r>
  <r>
    <n v="53"/>
    <x v="1"/>
    <d v="1900-01-08T00:00:00"/>
    <x v="1"/>
    <s v="Travel"/>
    <s v="Australia"/>
    <s v="Urban"/>
    <n v="699"/>
    <x v="2"/>
    <n v="13870"/>
    <b v="0"/>
    <b v="1"/>
    <b v="0"/>
  </r>
  <r>
    <n v="44"/>
    <x v="2"/>
    <d v="1900-01-03T00:00:00"/>
    <x v="0"/>
    <s v="Travel"/>
    <s v="United States"/>
    <s v="Urban"/>
    <n v="700"/>
    <x v="1"/>
    <n v="19190"/>
    <b v="0"/>
    <b v="0"/>
    <b v="0"/>
  </r>
  <r>
    <n v="34"/>
    <x v="0"/>
    <d v="1900-01-01T00:00:00"/>
    <x v="1"/>
    <s v="Sports"/>
    <s v="United States"/>
    <s v="Sub_Urban"/>
    <n v="701"/>
    <x v="2"/>
    <n v="15085"/>
    <b v="0"/>
    <b v="0"/>
    <b v="0"/>
  </r>
  <r>
    <n v="26"/>
    <x v="2"/>
    <d v="1900-01-02T00:00:00"/>
    <x v="1"/>
    <s v="Sports"/>
    <s v="United Kingdom"/>
    <s v="Sub_Urban"/>
    <n v="702"/>
    <x v="1"/>
    <n v="16546"/>
    <b v="1"/>
    <b v="0"/>
    <b v="0"/>
  </r>
  <r>
    <n v="50"/>
    <x v="0"/>
    <d v="1899-12-31T00:00:00"/>
    <x v="2"/>
    <s v="Lifestlye"/>
    <s v="United Kingdom"/>
    <s v="Rural"/>
    <n v="703"/>
    <x v="0"/>
    <n v="10395"/>
    <b v="1"/>
    <b v="1"/>
    <b v="1"/>
  </r>
  <r>
    <n v="37"/>
    <x v="1"/>
    <d v="1900-01-05T00:00:00"/>
    <x v="0"/>
    <s v="Travel"/>
    <s v="United States"/>
    <s v="Sub_Urban"/>
    <n v="704"/>
    <x v="0"/>
    <n v="10938"/>
    <b v="1"/>
    <b v="0"/>
    <b v="1"/>
  </r>
  <r>
    <n v="30"/>
    <x v="0"/>
    <d v="1900-01-05T00:00:00"/>
    <x v="2"/>
    <s v="Lifestlye"/>
    <s v="Australia"/>
    <s v="Urban"/>
    <n v="705"/>
    <x v="1"/>
    <n v="19828"/>
    <b v="0"/>
    <b v="1"/>
    <b v="1"/>
  </r>
  <r>
    <n v="45"/>
    <x v="2"/>
    <d v="1899-12-31T00:00:00"/>
    <x v="2"/>
    <s v="Sports"/>
    <s v="United Kingdom"/>
    <s v="Urban"/>
    <n v="706"/>
    <x v="2"/>
    <n v="12510"/>
    <b v="1"/>
    <b v="1"/>
    <b v="1"/>
  </r>
  <r>
    <n v="46"/>
    <x v="2"/>
    <d v="1900-01-02T00:00:00"/>
    <x v="1"/>
    <s v="Sports"/>
    <s v="Australia"/>
    <s v="Sub_Urban"/>
    <n v="707"/>
    <x v="0"/>
    <n v="14636"/>
    <b v="0"/>
    <b v="1"/>
    <b v="0"/>
  </r>
  <r>
    <n v="30"/>
    <x v="2"/>
    <d v="1900-01-04T00:00:00"/>
    <x v="0"/>
    <s v="Lifestlye"/>
    <s v="United States"/>
    <s v="Sub_Urban"/>
    <n v="708"/>
    <x v="2"/>
    <n v="11649"/>
    <b v="0"/>
    <b v="1"/>
    <b v="0"/>
  </r>
  <r>
    <n v="63"/>
    <x v="1"/>
    <d v="1900-01-02T00:00:00"/>
    <x v="1"/>
    <s v="Travel"/>
    <s v="United Kingdom"/>
    <s v="Sub_Urban"/>
    <n v="709"/>
    <x v="1"/>
    <n v="13690"/>
    <b v="1"/>
    <b v="1"/>
    <b v="0"/>
  </r>
  <r>
    <n v="52"/>
    <x v="1"/>
    <d v="1900-01-02T00:00:00"/>
    <x v="0"/>
    <s v="Travel"/>
    <s v="United Kingdom"/>
    <s v="Rural"/>
    <n v="710"/>
    <x v="1"/>
    <n v="13435"/>
    <b v="1"/>
    <b v="0"/>
    <b v="1"/>
  </r>
  <r>
    <n v="23"/>
    <x v="2"/>
    <d v="1900-01-02T00:00:00"/>
    <x v="2"/>
    <s v="Travel"/>
    <s v="United States"/>
    <s v="Urban"/>
    <n v="711"/>
    <x v="0"/>
    <n v="13201"/>
    <b v="0"/>
    <b v="1"/>
    <b v="1"/>
  </r>
  <r>
    <n v="35"/>
    <x v="0"/>
    <d v="1900-01-04T00:00:00"/>
    <x v="0"/>
    <s v="Travel"/>
    <s v="United Kingdom"/>
    <s v="Rural"/>
    <n v="712"/>
    <x v="1"/>
    <n v="14179"/>
    <b v="1"/>
    <b v="1"/>
    <b v="1"/>
  </r>
  <r>
    <n v="22"/>
    <x v="1"/>
    <d v="1900-01-04T00:00:00"/>
    <x v="1"/>
    <s v="Lifestlye"/>
    <s v="United States"/>
    <s v="Rural"/>
    <n v="713"/>
    <x v="0"/>
    <n v="18405"/>
    <b v="0"/>
    <b v="1"/>
    <b v="1"/>
  </r>
  <r>
    <n v="64"/>
    <x v="2"/>
    <d v="1900-01-03T00:00:00"/>
    <x v="1"/>
    <s v="Lifestlye"/>
    <s v="United Kingdom"/>
    <s v="Urban"/>
    <n v="714"/>
    <x v="2"/>
    <n v="13237"/>
    <b v="1"/>
    <b v="1"/>
    <b v="0"/>
  </r>
  <r>
    <n v="42"/>
    <x v="2"/>
    <d v="1899-12-31T00:00:00"/>
    <x v="1"/>
    <s v="Sports"/>
    <s v="United States"/>
    <s v="Urban"/>
    <n v="715"/>
    <x v="0"/>
    <n v="13862"/>
    <b v="1"/>
    <b v="1"/>
    <b v="0"/>
  </r>
  <r>
    <n v="19"/>
    <x v="1"/>
    <d v="1900-01-04T00:00:00"/>
    <x v="0"/>
    <s v="Travel"/>
    <s v="United Kingdom"/>
    <s v="Sub_Urban"/>
    <n v="716"/>
    <x v="0"/>
    <n v="10058"/>
    <b v="1"/>
    <b v="0"/>
    <b v="1"/>
  </r>
  <r>
    <n v="27"/>
    <x v="1"/>
    <d v="1900-01-04T00:00:00"/>
    <x v="2"/>
    <s v="Travel"/>
    <s v="Australia"/>
    <s v="Sub_Urban"/>
    <n v="717"/>
    <x v="2"/>
    <n v="14938"/>
    <b v="1"/>
    <b v="1"/>
    <b v="1"/>
  </r>
  <r>
    <n v="47"/>
    <x v="1"/>
    <d v="1900-01-03T00:00:00"/>
    <x v="2"/>
    <s v="Travel"/>
    <s v="Australia"/>
    <s v="Rural"/>
    <n v="718"/>
    <x v="0"/>
    <n v="12971"/>
    <b v="1"/>
    <b v="1"/>
    <b v="0"/>
  </r>
  <r>
    <n v="62"/>
    <x v="0"/>
    <d v="1900-01-05T00:00:00"/>
    <x v="0"/>
    <s v="Lifestlye"/>
    <s v="Australia"/>
    <s v="Sub_Urban"/>
    <n v="719"/>
    <x v="0"/>
    <n v="19719"/>
    <b v="0"/>
    <b v="0"/>
    <b v="0"/>
  </r>
  <r>
    <n v="22"/>
    <x v="0"/>
    <d v="1900-01-03T00:00:00"/>
    <x v="1"/>
    <s v="Travel"/>
    <s v="United Kingdom"/>
    <s v="Sub_Urban"/>
    <n v="720"/>
    <x v="1"/>
    <n v="18314"/>
    <b v="1"/>
    <b v="1"/>
    <b v="0"/>
  </r>
  <r>
    <n v="50"/>
    <x v="2"/>
    <d v="1900-01-06T00:00:00"/>
    <x v="2"/>
    <s v="Lifestlye"/>
    <s v="United Kingdom"/>
    <s v="Urban"/>
    <n v="721"/>
    <x v="2"/>
    <n v="19628"/>
    <b v="1"/>
    <b v="0"/>
    <b v="0"/>
  </r>
  <r>
    <n v="18"/>
    <x v="1"/>
    <d v="1900-01-06T00:00:00"/>
    <x v="1"/>
    <s v="Travel"/>
    <s v="Australia"/>
    <s v="Urban"/>
    <n v="722"/>
    <x v="0"/>
    <n v="19354"/>
    <b v="1"/>
    <b v="0"/>
    <b v="1"/>
  </r>
  <r>
    <n v="35"/>
    <x v="0"/>
    <d v="1900-01-01T00:00:00"/>
    <x v="0"/>
    <s v="Travel"/>
    <s v="Australia"/>
    <s v="Sub_Urban"/>
    <n v="723"/>
    <x v="2"/>
    <n v="13345"/>
    <b v="0"/>
    <b v="0"/>
    <b v="0"/>
  </r>
  <r>
    <n v="49"/>
    <x v="1"/>
    <d v="1900-01-02T00:00:00"/>
    <x v="1"/>
    <s v="Sports"/>
    <s v="United States"/>
    <s v="Urban"/>
    <n v="724"/>
    <x v="2"/>
    <n v="12486"/>
    <b v="0"/>
    <b v="0"/>
    <b v="0"/>
  </r>
  <r>
    <n v="64"/>
    <x v="2"/>
    <d v="1899-12-31T00:00:00"/>
    <x v="2"/>
    <s v="Travel"/>
    <s v="United States"/>
    <s v="Sub_Urban"/>
    <n v="725"/>
    <x v="0"/>
    <n v="10561"/>
    <b v="0"/>
    <b v="1"/>
    <b v="0"/>
  </r>
  <r>
    <n v="28"/>
    <x v="0"/>
    <d v="1900-01-07T00:00:00"/>
    <x v="2"/>
    <s v="Travel"/>
    <s v="United States"/>
    <s v="Urban"/>
    <n v="726"/>
    <x v="1"/>
    <n v="13981"/>
    <b v="0"/>
    <b v="1"/>
    <b v="0"/>
  </r>
  <r>
    <n v="38"/>
    <x v="0"/>
    <d v="1900-01-08T00:00:00"/>
    <x v="1"/>
    <s v="Sports"/>
    <s v="Australia"/>
    <s v="Urban"/>
    <n v="727"/>
    <x v="2"/>
    <n v="16261"/>
    <b v="0"/>
    <b v="0"/>
    <b v="1"/>
  </r>
  <r>
    <n v="43"/>
    <x v="0"/>
    <d v="1900-01-03T00:00:00"/>
    <x v="0"/>
    <s v="Lifestlye"/>
    <s v="Australia"/>
    <s v="Urban"/>
    <n v="728"/>
    <x v="0"/>
    <n v="11737"/>
    <b v="1"/>
    <b v="0"/>
    <b v="1"/>
  </r>
  <r>
    <n v="42"/>
    <x v="2"/>
    <d v="1900-01-05T00:00:00"/>
    <x v="1"/>
    <s v="Lifestlye"/>
    <s v="Australia"/>
    <s v="Urban"/>
    <n v="729"/>
    <x v="2"/>
    <n v="19096"/>
    <b v="1"/>
    <b v="1"/>
    <b v="1"/>
  </r>
  <r>
    <n v="39"/>
    <x v="1"/>
    <d v="1900-01-08T00:00:00"/>
    <x v="0"/>
    <s v="Travel"/>
    <s v="United States"/>
    <s v="Sub_Urban"/>
    <n v="730"/>
    <x v="1"/>
    <n v="13554"/>
    <b v="1"/>
    <b v="0"/>
    <b v="1"/>
  </r>
  <r>
    <n v="44"/>
    <x v="0"/>
    <d v="1900-01-05T00:00:00"/>
    <x v="1"/>
    <s v="Lifestlye"/>
    <s v="United Kingdom"/>
    <s v="Rural"/>
    <n v="731"/>
    <x v="1"/>
    <n v="19918"/>
    <b v="0"/>
    <b v="0"/>
    <b v="1"/>
  </r>
  <r>
    <n v="30"/>
    <x v="2"/>
    <d v="1900-01-08T00:00:00"/>
    <x v="2"/>
    <s v="Travel"/>
    <s v="Australia"/>
    <s v="Urban"/>
    <n v="732"/>
    <x v="1"/>
    <n v="19126"/>
    <b v="0"/>
    <b v="0"/>
    <b v="1"/>
  </r>
  <r>
    <n v="50"/>
    <x v="1"/>
    <d v="1900-01-03T00:00:00"/>
    <x v="0"/>
    <s v="Sports"/>
    <s v="United Kingdom"/>
    <s v="Sub_Urban"/>
    <n v="733"/>
    <x v="0"/>
    <n v="17095"/>
    <b v="1"/>
    <b v="1"/>
    <b v="0"/>
  </r>
  <r>
    <n v="51"/>
    <x v="2"/>
    <d v="1900-01-07T00:00:00"/>
    <x v="0"/>
    <s v="Sports"/>
    <s v="United Kingdom"/>
    <s v="Sub_Urban"/>
    <n v="734"/>
    <x v="0"/>
    <n v="18266"/>
    <b v="0"/>
    <b v="0"/>
    <b v="0"/>
  </r>
  <r>
    <n v="58"/>
    <x v="1"/>
    <d v="1900-01-08T00:00:00"/>
    <x v="0"/>
    <s v="Travel"/>
    <s v="United Kingdom"/>
    <s v="Urban"/>
    <n v="735"/>
    <x v="1"/>
    <n v="10294"/>
    <b v="0"/>
    <b v="1"/>
    <b v="0"/>
  </r>
  <r>
    <n v="52"/>
    <x v="2"/>
    <d v="1900-01-03T00:00:00"/>
    <x v="2"/>
    <s v="Sports"/>
    <s v="United States"/>
    <s v="Rural"/>
    <n v="736"/>
    <x v="0"/>
    <n v="18212"/>
    <b v="0"/>
    <b v="1"/>
    <b v="0"/>
  </r>
  <r>
    <n v="18"/>
    <x v="1"/>
    <d v="1900-01-04T00:00:00"/>
    <x v="1"/>
    <s v="Sports"/>
    <s v="United Kingdom"/>
    <s v="Urban"/>
    <n v="737"/>
    <x v="1"/>
    <n v="19230"/>
    <b v="1"/>
    <b v="1"/>
    <b v="1"/>
  </r>
  <r>
    <n v="38"/>
    <x v="0"/>
    <d v="1900-01-07T00:00:00"/>
    <x v="2"/>
    <s v="Travel"/>
    <s v="Australia"/>
    <s v="Sub_Urban"/>
    <n v="738"/>
    <x v="0"/>
    <n v="15330"/>
    <b v="1"/>
    <b v="0"/>
    <b v="0"/>
  </r>
  <r>
    <n v="23"/>
    <x v="1"/>
    <d v="1900-01-05T00:00:00"/>
    <x v="0"/>
    <s v="Travel"/>
    <s v="United States"/>
    <s v="Rural"/>
    <n v="739"/>
    <x v="1"/>
    <n v="14655"/>
    <b v="0"/>
    <b v="0"/>
    <b v="1"/>
  </r>
  <r>
    <n v="45"/>
    <x v="2"/>
    <d v="1900-01-06T00:00:00"/>
    <x v="1"/>
    <s v="Sports"/>
    <s v="Australia"/>
    <s v="Sub_Urban"/>
    <n v="740"/>
    <x v="2"/>
    <n v="11109"/>
    <b v="0"/>
    <b v="1"/>
    <b v="0"/>
  </r>
  <r>
    <n v="34"/>
    <x v="2"/>
    <d v="1900-01-02T00:00:00"/>
    <x v="2"/>
    <s v="Lifestlye"/>
    <s v="Australia"/>
    <s v="Urban"/>
    <n v="741"/>
    <x v="1"/>
    <n v="13771"/>
    <b v="0"/>
    <b v="1"/>
    <b v="0"/>
  </r>
  <r>
    <n v="22"/>
    <x v="1"/>
    <d v="1900-01-06T00:00:00"/>
    <x v="0"/>
    <s v="Lifestlye"/>
    <s v="United States"/>
    <s v="Rural"/>
    <n v="742"/>
    <x v="1"/>
    <n v="18563"/>
    <b v="0"/>
    <b v="1"/>
    <b v="0"/>
  </r>
  <r>
    <n v="48"/>
    <x v="0"/>
    <d v="1900-01-07T00:00:00"/>
    <x v="0"/>
    <s v="Travel"/>
    <s v="Australia"/>
    <s v="Sub_Urban"/>
    <n v="743"/>
    <x v="0"/>
    <n v="16123"/>
    <b v="1"/>
    <b v="0"/>
    <b v="1"/>
  </r>
  <r>
    <n v="22"/>
    <x v="0"/>
    <d v="1900-01-05T00:00:00"/>
    <x v="2"/>
    <s v="Travel"/>
    <s v="Australia"/>
    <s v="Sub_Urban"/>
    <n v="744"/>
    <x v="0"/>
    <n v="17647"/>
    <b v="0"/>
    <b v="0"/>
    <b v="0"/>
  </r>
  <r>
    <n v="55"/>
    <x v="1"/>
    <d v="1900-01-08T00:00:00"/>
    <x v="2"/>
    <s v="Lifestlye"/>
    <s v="United States"/>
    <s v="Sub_Urban"/>
    <n v="745"/>
    <x v="0"/>
    <n v="11174"/>
    <b v="1"/>
    <b v="1"/>
    <b v="1"/>
  </r>
  <r>
    <n v="20"/>
    <x v="1"/>
    <d v="1900-01-05T00:00:00"/>
    <x v="2"/>
    <s v="Sports"/>
    <s v="Australia"/>
    <s v="Urban"/>
    <n v="746"/>
    <x v="0"/>
    <n v="11164"/>
    <b v="1"/>
    <b v="1"/>
    <b v="1"/>
  </r>
  <r>
    <n v="40"/>
    <x v="2"/>
    <d v="1900-01-08T00:00:00"/>
    <x v="0"/>
    <s v="Lifestlye"/>
    <s v="United Kingdom"/>
    <s v="Rural"/>
    <n v="747"/>
    <x v="0"/>
    <n v="19284"/>
    <b v="1"/>
    <b v="0"/>
    <b v="0"/>
  </r>
  <r>
    <n v="54"/>
    <x v="0"/>
    <d v="1900-01-03T00:00:00"/>
    <x v="2"/>
    <s v="Lifestlye"/>
    <s v="Australia"/>
    <s v="Urban"/>
    <n v="748"/>
    <x v="0"/>
    <n v="19475"/>
    <b v="0"/>
    <b v="1"/>
    <b v="1"/>
  </r>
  <r>
    <n v="54"/>
    <x v="1"/>
    <d v="1900-01-07T00:00:00"/>
    <x v="0"/>
    <s v="Lifestlye"/>
    <s v="United Kingdom"/>
    <s v="Urban"/>
    <n v="749"/>
    <x v="2"/>
    <n v="19037"/>
    <b v="1"/>
    <b v="0"/>
    <b v="1"/>
  </r>
  <r>
    <n v="27"/>
    <x v="0"/>
    <d v="1900-01-03T00:00:00"/>
    <x v="2"/>
    <s v="Lifestlye"/>
    <s v="Australia"/>
    <s v="Urban"/>
    <n v="750"/>
    <x v="1"/>
    <n v="18712"/>
    <b v="1"/>
    <b v="0"/>
    <b v="0"/>
  </r>
  <r>
    <n v="27"/>
    <x v="1"/>
    <d v="1900-01-01T00:00:00"/>
    <x v="0"/>
    <s v="Travel"/>
    <s v="United States"/>
    <s v="Rural"/>
    <n v="751"/>
    <x v="1"/>
    <n v="14466"/>
    <b v="0"/>
    <b v="1"/>
    <b v="0"/>
  </r>
  <r>
    <n v="36"/>
    <x v="1"/>
    <d v="1900-01-08T00:00:00"/>
    <x v="0"/>
    <s v="Travel"/>
    <s v="United States"/>
    <s v="Urban"/>
    <n v="752"/>
    <x v="1"/>
    <n v="15538"/>
    <b v="0"/>
    <b v="1"/>
    <b v="0"/>
  </r>
  <r>
    <n v="34"/>
    <x v="0"/>
    <d v="1900-01-04T00:00:00"/>
    <x v="1"/>
    <s v="Sports"/>
    <s v="Australia"/>
    <s v="Urban"/>
    <n v="753"/>
    <x v="2"/>
    <n v="17111"/>
    <b v="0"/>
    <b v="0"/>
    <b v="0"/>
  </r>
  <r>
    <n v="38"/>
    <x v="1"/>
    <d v="1900-01-03T00:00:00"/>
    <x v="2"/>
    <s v="Sports"/>
    <s v="United States"/>
    <s v="Urban"/>
    <n v="754"/>
    <x v="1"/>
    <n v="18434"/>
    <b v="1"/>
    <b v="0"/>
    <b v="0"/>
  </r>
  <r>
    <n v="31"/>
    <x v="1"/>
    <d v="1900-01-01T00:00:00"/>
    <x v="2"/>
    <s v="Sports"/>
    <s v="Australia"/>
    <s v="Urban"/>
    <n v="755"/>
    <x v="2"/>
    <n v="12800"/>
    <b v="0"/>
    <b v="0"/>
    <b v="0"/>
  </r>
  <r>
    <n v="26"/>
    <x v="2"/>
    <d v="1899-12-31T00:00:00"/>
    <x v="0"/>
    <s v="Sports"/>
    <s v="United States"/>
    <s v="Sub_Urban"/>
    <n v="756"/>
    <x v="2"/>
    <n v="14607"/>
    <b v="1"/>
    <b v="0"/>
    <b v="1"/>
  </r>
  <r>
    <n v="63"/>
    <x v="1"/>
    <d v="1900-01-06T00:00:00"/>
    <x v="0"/>
    <s v="Lifestlye"/>
    <s v="United Kingdom"/>
    <s v="Urban"/>
    <n v="757"/>
    <x v="2"/>
    <n v="17262"/>
    <b v="1"/>
    <b v="0"/>
    <b v="0"/>
  </r>
  <r>
    <n v="18"/>
    <x v="1"/>
    <d v="1900-01-05T00:00:00"/>
    <x v="0"/>
    <s v="Travel"/>
    <s v="Australia"/>
    <s v="Sub_Urban"/>
    <n v="758"/>
    <x v="1"/>
    <n v="11541"/>
    <b v="0"/>
    <b v="1"/>
    <b v="0"/>
  </r>
  <r>
    <n v="62"/>
    <x v="1"/>
    <d v="1900-01-01T00:00:00"/>
    <x v="1"/>
    <s v="Travel"/>
    <s v="United Kingdom"/>
    <s v="Urban"/>
    <n v="759"/>
    <x v="2"/>
    <n v="12765"/>
    <b v="1"/>
    <b v="0"/>
    <b v="1"/>
  </r>
  <r>
    <n v="30"/>
    <x v="2"/>
    <d v="1900-01-07T00:00:00"/>
    <x v="1"/>
    <s v="Sports"/>
    <s v="United Kingdom"/>
    <s v="Rural"/>
    <n v="760"/>
    <x v="1"/>
    <n v="14491"/>
    <b v="1"/>
    <b v="0"/>
    <b v="0"/>
  </r>
  <r>
    <n v="21"/>
    <x v="0"/>
    <d v="1900-01-03T00:00:00"/>
    <x v="0"/>
    <s v="Sports"/>
    <s v="Australia"/>
    <s v="Sub_Urban"/>
    <n v="761"/>
    <x v="1"/>
    <n v="13083"/>
    <b v="1"/>
    <b v="0"/>
    <b v="1"/>
  </r>
  <r>
    <n v="18"/>
    <x v="2"/>
    <d v="1900-01-07T00:00:00"/>
    <x v="2"/>
    <s v="Lifestlye"/>
    <s v="United Kingdom"/>
    <s v="Sub_Urban"/>
    <n v="762"/>
    <x v="0"/>
    <n v="15356"/>
    <b v="1"/>
    <b v="1"/>
    <b v="0"/>
  </r>
  <r>
    <n v="57"/>
    <x v="2"/>
    <d v="1900-01-06T00:00:00"/>
    <x v="2"/>
    <s v="Lifestlye"/>
    <s v="Australia"/>
    <s v="Sub_Urban"/>
    <n v="763"/>
    <x v="0"/>
    <n v="11857"/>
    <b v="0"/>
    <b v="1"/>
    <b v="0"/>
  </r>
  <r>
    <n v="49"/>
    <x v="0"/>
    <d v="1900-01-04T00:00:00"/>
    <x v="1"/>
    <s v="Sports"/>
    <s v="United Kingdom"/>
    <s v="Sub_Urban"/>
    <n v="764"/>
    <x v="2"/>
    <n v="10769"/>
    <b v="1"/>
    <b v="0"/>
    <b v="1"/>
  </r>
  <r>
    <n v="51"/>
    <x v="2"/>
    <d v="1900-01-07T00:00:00"/>
    <x v="1"/>
    <s v="Travel"/>
    <s v="Australia"/>
    <s v="Rural"/>
    <n v="765"/>
    <x v="2"/>
    <n v="11422"/>
    <b v="0"/>
    <b v="0"/>
    <b v="0"/>
  </r>
  <r>
    <n v="45"/>
    <x v="0"/>
    <d v="1900-01-08T00:00:00"/>
    <x v="0"/>
    <s v="Travel"/>
    <s v="Australia"/>
    <s v="Urban"/>
    <n v="766"/>
    <x v="1"/>
    <n v="18598"/>
    <b v="1"/>
    <b v="1"/>
    <b v="1"/>
  </r>
  <r>
    <n v="48"/>
    <x v="2"/>
    <d v="1900-01-04T00:00:00"/>
    <x v="2"/>
    <s v="Travel"/>
    <s v="United States"/>
    <s v="Sub_Urban"/>
    <n v="767"/>
    <x v="2"/>
    <n v="12972"/>
    <b v="1"/>
    <b v="1"/>
    <b v="0"/>
  </r>
  <r>
    <n v="25"/>
    <x v="0"/>
    <d v="1900-01-04T00:00:00"/>
    <x v="0"/>
    <s v="Sports"/>
    <s v="Australia"/>
    <s v="Rural"/>
    <n v="768"/>
    <x v="2"/>
    <n v="11872"/>
    <b v="0"/>
    <b v="1"/>
    <b v="0"/>
  </r>
  <r>
    <n v="56"/>
    <x v="1"/>
    <d v="1900-01-01T00:00:00"/>
    <x v="1"/>
    <s v="Travel"/>
    <s v="Australia"/>
    <s v="Sub_Urban"/>
    <n v="769"/>
    <x v="1"/>
    <n v="15599"/>
    <b v="1"/>
    <b v="1"/>
    <b v="1"/>
  </r>
  <r>
    <n v="43"/>
    <x v="2"/>
    <d v="1900-01-04T00:00:00"/>
    <x v="2"/>
    <s v="Lifestlye"/>
    <s v="United Kingdom"/>
    <s v="Urban"/>
    <n v="770"/>
    <x v="2"/>
    <n v="12269"/>
    <b v="1"/>
    <b v="0"/>
    <b v="0"/>
  </r>
  <r>
    <n v="51"/>
    <x v="2"/>
    <d v="1900-01-02T00:00:00"/>
    <x v="2"/>
    <s v="Lifestlye"/>
    <s v="Australia"/>
    <s v="Sub_Urban"/>
    <n v="771"/>
    <x v="2"/>
    <n v="15275"/>
    <b v="1"/>
    <b v="1"/>
    <b v="0"/>
  </r>
  <r>
    <n v="20"/>
    <x v="2"/>
    <d v="1900-01-06T00:00:00"/>
    <x v="1"/>
    <s v="Sports"/>
    <s v="United States"/>
    <s v="Rural"/>
    <n v="772"/>
    <x v="1"/>
    <n v="14749"/>
    <b v="1"/>
    <b v="0"/>
    <b v="1"/>
  </r>
  <r>
    <n v="29"/>
    <x v="2"/>
    <d v="1900-01-04T00:00:00"/>
    <x v="0"/>
    <s v="Lifestlye"/>
    <s v="United Kingdom"/>
    <s v="Urban"/>
    <n v="773"/>
    <x v="1"/>
    <n v="16571"/>
    <b v="1"/>
    <b v="0"/>
    <b v="0"/>
  </r>
  <r>
    <n v="18"/>
    <x v="1"/>
    <d v="1900-01-07T00:00:00"/>
    <x v="0"/>
    <s v="Sports"/>
    <s v="United Kingdom"/>
    <s v="Rural"/>
    <n v="774"/>
    <x v="0"/>
    <n v="19373"/>
    <b v="1"/>
    <b v="1"/>
    <b v="1"/>
  </r>
  <r>
    <n v="61"/>
    <x v="2"/>
    <d v="1899-12-31T00:00:00"/>
    <x v="2"/>
    <s v="Travel"/>
    <s v="United States"/>
    <s v="Urban"/>
    <n v="775"/>
    <x v="1"/>
    <n v="15072"/>
    <b v="0"/>
    <b v="1"/>
    <b v="0"/>
  </r>
  <r>
    <n v="22"/>
    <x v="1"/>
    <d v="1900-01-02T00:00:00"/>
    <x v="1"/>
    <s v="Travel"/>
    <s v="United Kingdom"/>
    <s v="Urban"/>
    <n v="776"/>
    <x v="0"/>
    <n v="19631"/>
    <b v="0"/>
    <b v="1"/>
    <b v="1"/>
  </r>
  <r>
    <n v="47"/>
    <x v="1"/>
    <d v="1900-01-02T00:00:00"/>
    <x v="2"/>
    <s v="Travel"/>
    <s v="United Kingdom"/>
    <s v="Urban"/>
    <n v="777"/>
    <x v="2"/>
    <n v="15463"/>
    <b v="0"/>
    <b v="1"/>
    <b v="0"/>
  </r>
  <r>
    <n v="47"/>
    <x v="1"/>
    <d v="1900-01-08T00:00:00"/>
    <x v="1"/>
    <s v="Lifestlye"/>
    <s v="United Kingdom"/>
    <s v="Sub_Urban"/>
    <n v="778"/>
    <x v="1"/>
    <n v="17450"/>
    <b v="1"/>
    <b v="0"/>
    <b v="1"/>
  </r>
  <r>
    <n v="34"/>
    <x v="1"/>
    <d v="1900-01-04T00:00:00"/>
    <x v="0"/>
    <s v="Sports"/>
    <s v="United Kingdom"/>
    <s v="Rural"/>
    <n v="779"/>
    <x v="1"/>
    <n v="18420"/>
    <b v="1"/>
    <b v="0"/>
    <b v="1"/>
  </r>
  <r>
    <n v="64"/>
    <x v="0"/>
    <d v="1900-01-08T00:00:00"/>
    <x v="1"/>
    <s v="Travel"/>
    <s v="United States"/>
    <s v="Rural"/>
    <n v="780"/>
    <x v="1"/>
    <n v="13959"/>
    <b v="1"/>
    <b v="0"/>
    <b v="0"/>
  </r>
  <r>
    <n v="40"/>
    <x v="0"/>
    <d v="1900-01-08T00:00:00"/>
    <x v="0"/>
    <s v="Sports"/>
    <s v="United States"/>
    <s v="Rural"/>
    <n v="781"/>
    <x v="2"/>
    <n v="11313"/>
    <b v="0"/>
    <b v="1"/>
    <b v="0"/>
  </r>
  <r>
    <n v="32"/>
    <x v="2"/>
    <d v="1899-12-31T00:00:00"/>
    <x v="1"/>
    <s v="Travel"/>
    <s v="United Kingdom"/>
    <s v="Urban"/>
    <n v="782"/>
    <x v="0"/>
    <n v="17847"/>
    <b v="1"/>
    <b v="0"/>
    <b v="1"/>
  </r>
  <r>
    <n v="54"/>
    <x v="0"/>
    <d v="1900-01-01T00:00:00"/>
    <x v="2"/>
    <s v="Lifestlye"/>
    <s v="United Kingdom"/>
    <s v="Sub_Urban"/>
    <n v="783"/>
    <x v="2"/>
    <n v="11070"/>
    <b v="0"/>
    <b v="1"/>
    <b v="0"/>
  </r>
  <r>
    <n v="38"/>
    <x v="0"/>
    <d v="1900-01-04T00:00:00"/>
    <x v="0"/>
    <s v="Lifestlye"/>
    <s v="United States"/>
    <s v="Urban"/>
    <n v="784"/>
    <x v="2"/>
    <n v="19166"/>
    <b v="1"/>
    <b v="0"/>
    <b v="1"/>
  </r>
  <r>
    <n v="31"/>
    <x v="2"/>
    <d v="1900-01-03T00:00:00"/>
    <x v="2"/>
    <s v="Sports"/>
    <s v="United States"/>
    <s v="Rural"/>
    <n v="785"/>
    <x v="1"/>
    <n v="19930"/>
    <b v="1"/>
    <b v="1"/>
    <b v="0"/>
  </r>
  <r>
    <n v="19"/>
    <x v="2"/>
    <d v="1900-01-08T00:00:00"/>
    <x v="2"/>
    <s v="Lifestlye"/>
    <s v="United States"/>
    <s v="Sub_Urban"/>
    <n v="786"/>
    <x v="0"/>
    <n v="13285"/>
    <b v="1"/>
    <b v="0"/>
    <b v="0"/>
  </r>
  <r>
    <n v="28"/>
    <x v="2"/>
    <d v="1900-01-06T00:00:00"/>
    <x v="0"/>
    <s v="Lifestlye"/>
    <s v="United Kingdom"/>
    <s v="Sub_Urban"/>
    <n v="787"/>
    <x v="2"/>
    <n v="18949"/>
    <b v="0"/>
    <b v="0"/>
    <b v="1"/>
  </r>
  <r>
    <n v="56"/>
    <x v="0"/>
    <d v="1900-01-05T00:00:00"/>
    <x v="0"/>
    <s v="Sports"/>
    <s v="United Kingdom"/>
    <s v="Sub_Urban"/>
    <n v="788"/>
    <x v="1"/>
    <n v="13095"/>
    <b v="1"/>
    <b v="1"/>
    <b v="1"/>
  </r>
  <r>
    <n v="55"/>
    <x v="0"/>
    <d v="1900-01-06T00:00:00"/>
    <x v="2"/>
    <s v="Travel"/>
    <s v="Australia"/>
    <s v="Rural"/>
    <n v="789"/>
    <x v="2"/>
    <n v="10320"/>
    <b v="0"/>
    <b v="0"/>
    <b v="0"/>
  </r>
  <r>
    <n v="51"/>
    <x v="2"/>
    <d v="1899-12-31T00:00:00"/>
    <x v="2"/>
    <s v="Lifestlye"/>
    <s v="United States"/>
    <s v="Sub_Urban"/>
    <n v="790"/>
    <x v="2"/>
    <n v="12321"/>
    <b v="1"/>
    <b v="0"/>
    <b v="0"/>
  </r>
  <r>
    <n v="55"/>
    <x v="1"/>
    <d v="1899-12-31T00:00:00"/>
    <x v="2"/>
    <s v="Sports"/>
    <s v="United Kingdom"/>
    <s v="Sub_Urban"/>
    <n v="791"/>
    <x v="1"/>
    <n v="10555"/>
    <b v="1"/>
    <b v="1"/>
    <b v="0"/>
  </r>
  <r>
    <n v="51"/>
    <x v="2"/>
    <d v="1900-01-07T00:00:00"/>
    <x v="2"/>
    <s v="Lifestlye"/>
    <s v="United States"/>
    <s v="Urban"/>
    <n v="792"/>
    <x v="1"/>
    <n v="14939"/>
    <b v="0"/>
    <b v="1"/>
    <b v="0"/>
  </r>
  <r>
    <n v="35"/>
    <x v="1"/>
    <d v="1900-01-01T00:00:00"/>
    <x v="0"/>
    <s v="Lifestlye"/>
    <s v="United Kingdom"/>
    <s v="Urban"/>
    <n v="793"/>
    <x v="0"/>
    <n v="15432"/>
    <b v="1"/>
    <b v="1"/>
    <b v="0"/>
  </r>
  <r>
    <n v="47"/>
    <x v="1"/>
    <d v="1900-01-08T00:00:00"/>
    <x v="0"/>
    <s v="Lifestlye"/>
    <s v="United States"/>
    <s v="Sub_Urban"/>
    <n v="794"/>
    <x v="2"/>
    <n v="11386"/>
    <b v="1"/>
    <b v="1"/>
    <b v="1"/>
  </r>
  <r>
    <n v="32"/>
    <x v="2"/>
    <d v="1900-01-06T00:00:00"/>
    <x v="2"/>
    <s v="Lifestlye"/>
    <s v="United Kingdom"/>
    <s v="Sub_Urban"/>
    <n v="795"/>
    <x v="1"/>
    <n v="14763"/>
    <b v="1"/>
    <b v="1"/>
    <b v="0"/>
  </r>
  <r>
    <n v="44"/>
    <x v="2"/>
    <d v="1900-01-05T00:00:00"/>
    <x v="1"/>
    <s v="Sports"/>
    <s v="Australia"/>
    <s v="Urban"/>
    <n v="796"/>
    <x v="1"/>
    <n v="16854"/>
    <b v="1"/>
    <b v="0"/>
    <b v="0"/>
  </r>
  <r>
    <n v="51"/>
    <x v="2"/>
    <d v="1899-12-31T00:00:00"/>
    <x v="1"/>
    <s v="Sports"/>
    <s v="Australia"/>
    <s v="Urban"/>
    <n v="797"/>
    <x v="0"/>
    <n v="17637"/>
    <b v="0"/>
    <b v="1"/>
    <b v="1"/>
  </r>
  <r>
    <n v="55"/>
    <x v="0"/>
    <d v="1899-12-31T00:00:00"/>
    <x v="0"/>
    <s v="Sports"/>
    <s v="United States"/>
    <s v="Urban"/>
    <n v="798"/>
    <x v="0"/>
    <n v="14841"/>
    <b v="0"/>
    <b v="0"/>
    <b v="1"/>
  </r>
  <r>
    <n v="50"/>
    <x v="1"/>
    <d v="1900-01-01T00:00:00"/>
    <x v="2"/>
    <s v="Lifestlye"/>
    <s v="United Kingdom"/>
    <s v="Rural"/>
    <n v="799"/>
    <x v="1"/>
    <n v="13867"/>
    <b v="1"/>
    <b v="0"/>
    <b v="1"/>
  </r>
  <r>
    <n v="41"/>
    <x v="0"/>
    <d v="1900-01-05T00:00:00"/>
    <x v="2"/>
    <s v="Lifestlye"/>
    <s v="United Kingdom"/>
    <s v="Rural"/>
    <n v="800"/>
    <x v="0"/>
    <n v="13793"/>
    <b v="1"/>
    <b v="1"/>
    <b v="0"/>
  </r>
  <r>
    <n v="32"/>
    <x v="0"/>
    <d v="1900-01-05T00:00:00"/>
    <x v="0"/>
    <s v="Lifestlye"/>
    <s v="United States"/>
    <s v="Urban"/>
    <n v="801"/>
    <x v="1"/>
    <n v="17373"/>
    <b v="0"/>
    <b v="0"/>
    <b v="1"/>
  </r>
  <r>
    <n v="47"/>
    <x v="2"/>
    <d v="1900-01-01T00:00:00"/>
    <x v="1"/>
    <s v="Sports"/>
    <s v="United Kingdom"/>
    <s v="Sub_Urban"/>
    <n v="802"/>
    <x v="2"/>
    <n v="12513"/>
    <b v="1"/>
    <b v="0"/>
    <b v="1"/>
  </r>
  <r>
    <n v="59"/>
    <x v="0"/>
    <d v="1899-12-31T00:00:00"/>
    <x v="1"/>
    <s v="Lifestlye"/>
    <s v="United States"/>
    <s v="Urban"/>
    <n v="803"/>
    <x v="0"/>
    <n v="13803"/>
    <b v="0"/>
    <b v="1"/>
    <b v="1"/>
  </r>
  <r>
    <n v="34"/>
    <x v="2"/>
    <d v="1900-01-04T00:00:00"/>
    <x v="1"/>
    <s v="Travel"/>
    <s v="United Kingdom"/>
    <s v="Rural"/>
    <n v="804"/>
    <x v="2"/>
    <n v="12327"/>
    <b v="1"/>
    <b v="0"/>
    <b v="1"/>
  </r>
  <r>
    <n v="22"/>
    <x v="1"/>
    <d v="1900-01-04T00:00:00"/>
    <x v="0"/>
    <s v="Lifestlye"/>
    <s v="United States"/>
    <s v="Sub_Urban"/>
    <n v="805"/>
    <x v="2"/>
    <n v="18809"/>
    <b v="0"/>
    <b v="1"/>
    <b v="0"/>
  </r>
  <r>
    <n v="46"/>
    <x v="2"/>
    <d v="1900-01-01T00:00:00"/>
    <x v="1"/>
    <s v="Travel"/>
    <s v="United Kingdom"/>
    <s v="Rural"/>
    <n v="806"/>
    <x v="2"/>
    <n v="12165"/>
    <b v="0"/>
    <b v="1"/>
    <b v="0"/>
  </r>
  <r>
    <n v="21"/>
    <x v="0"/>
    <d v="1900-01-05T00:00:00"/>
    <x v="0"/>
    <s v="Lifestlye"/>
    <s v="United States"/>
    <s v="Sub_Urban"/>
    <n v="807"/>
    <x v="1"/>
    <n v="13308"/>
    <b v="0"/>
    <b v="1"/>
    <b v="0"/>
  </r>
  <r>
    <n v="27"/>
    <x v="0"/>
    <d v="1900-01-08T00:00:00"/>
    <x v="0"/>
    <s v="Sports"/>
    <s v="United Kingdom"/>
    <s v="Rural"/>
    <n v="808"/>
    <x v="2"/>
    <n v="16452"/>
    <b v="0"/>
    <b v="0"/>
    <b v="1"/>
  </r>
  <r>
    <n v="34"/>
    <x v="2"/>
    <d v="1900-01-01T00:00:00"/>
    <x v="2"/>
    <s v="Lifestlye"/>
    <s v="Australia"/>
    <s v="Sub_Urban"/>
    <n v="809"/>
    <x v="2"/>
    <n v="18067"/>
    <b v="1"/>
    <b v="0"/>
    <b v="1"/>
  </r>
  <r>
    <n v="27"/>
    <x v="2"/>
    <d v="1900-01-01T00:00:00"/>
    <x v="1"/>
    <s v="Travel"/>
    <s v="United Kingdom"/>
    <s v="Sub_Urban"/>
    <n v="810"/>
    <x v="2"/>
    <n v="17642"/>
    <b v="1"/>
    <b v="0"/>
    <b v="1"/>
  </r>
  <r>
    <n v="34"/>
    <x v="0"/>
    <d v="1900-01-02T00:00:00"/>
    <x v="0"/>
    <s v="Travel"/>
    <s v="United States"/>
    <s v="Sub_Urban"/>
    <n v="811"/>
    <x v="1"/>
    <n v="16404"/>
    <b v="0"/>
    <b v="0"/>
    <b v="1"/>
  </r>
  <r>
    <n v="37"/>
    <x v="1"/>
    <d v="1900-01-06T00:00:00"/>
    <x v="1"/>
    <s v="Lifestlye"/>
    <s v="Australia"/>
    <s v="Sub_Urban"/>
    <n v="812"/>
    <x v="2"/>
    <n v="10992"/>
    <b v="0"/>
    <b v="1"/>
    <b v="1"/>
  </r>
  <r>
    <n v="41"/>
    <x v="1"/>
    <d v="1900-01-05T00:00:00"/>
    <x v="1"/>
    <s v="Travel"/>
    <s v="United Kingdom"/>
    <s v="Rural"/>
    <n v="813"/>
    <x v="2"/>
    <n v="15424"/>
    <b v="0"/>
    <b v="0"/>
    <b v="1"/>
  </r>
  <r>
    <n v="22"/>
    <x v="2"/>
    <d v="1900-01-07T00:00:00"/>
    <x v="2"/>
    <s v="Travel"/>
    <s v="Australia"/>
    <s v="Rural"/>
    <n v="814"/>
    <x v="0"/>
    <n v="19569"/>
    <b v="0"/>
    <b v="1"/>
    <b v="0"/>
  </r>
  <r>
    <n v="51"/>
    <x v="1"/>
    <d v="1900-01-07T00:00:00"/>
    <x v="1"/>
    <s v="Sports"/>
    <s v="United Kingdom"/>
    <s v="Sub_Urban"/>
    <n v="815"/>
    <x v="1"/>
    <n v="14381"/>
    <b v="1"/>
    <b v="0"/>
    <b v="0"/>
  </r>
  <r>
    <n v="23"/>
    <x v="0"/>
    <d v="1900-01-05T00:00:00"/>
    <x v="2"/>
    <s v="Lifestlye"/>
    <s v="Australia"/>
    <s v="Sub_Urban"/>
    <n v="816"/>
    <x v="2"/>
    <n v="13174"/>
    <b v="0"/>
    <b v="0"/>
    <b v="1"/>
  </r>
  <r>
    <n v="19"/>
    <x v="2"/>
    <d v="1900-01-02T00:00:00"/>
    <x v="0"/>
    <s v="Lifestlye"/>
    <s v="United States"/>
    <s v="Rural"/>
    <n v="817"/>
    <x v="0"/>
    <n v="14782"/>
    <b v="0"/>
    <b v="0"/>
    <b v="0"/>
  </r>
  <r>
    <n v="30"/>
    <x v="0"/>
    <d v="1900-01-02T00:00:00"/>
    <x v="1"/>
    <s v="Lifestlye"/>
    <s v="United Kingdom"/>
    <s v="Sub_Urban"/>
    <n v="818"/>
    <x v="1"/>
    <n v="19497"/>
    <b v="0"/>
    <b v="0"/>
    <b v="1"/>
  </r>
  <r>
    <n v="60"/>
    <x v="0"/>
    <d v="1899-12-31T00:00:00"/>
    <x v="0"/>
    <s v="Travel"/>
    <s v="United Kingdom"/>
    <s v="Sub_Urban"/>
    <n v="819"/>
    <x v="1"/>
    <n v="15560"/>
    <b v="0"/>
    <b v="0"/>
    <b v="1"/>
  </r>
  <r>
    <n v="60"/>
    <x v="1"/>
    <d v="1900-01-06T00:00:00"/>
    <x v="1"/>
    <s v="Lifestlye"/>
    <s v="United States"/>
    <s v="Sub_Urban"/>
    <n v="820"/>
    <x v="1"/>
    <n v="17460"/>
    <b v="0"/>
    <b v="1"/>
    <b v="0"/>
  </r>
  <r>
    <n v="28"/>
    <x v="2"/>
    <d v="1900-01-04T00:00:00"/>
    <x v="0"/>
    <s v="Lifestlye"/>
    <s v="Australia"/>
    <s v="Urban"/>
    <n v="821"/>
    <x v="1"/>
    <n v="13078"/>
    <b v="0"/>
    <b v="0"/>
    <b v="1"/>
  </r>
  <r>
    <n v="64"/>
    <x v="2"/>
    <d v="1900-01-03T00:00:00"/>
    <x v="1"/>
    <s v="Sports"/>
    <s v="United States"/>
    <s v="Sub_Urban"/>
    <n v="822"/>
    <x v="1"/>
    <n v="12983"/>
    <b v="0"/>
    <b v="0"/>
    <b v="0"/>
  </r>
  <r>
    <n v="40"/>
    <x v="1"/>
    <d v="1900-01-03T00:00:00"/>
    <x v="1"/>
    <s v="Sports"/>
    <s v="United States"/>
    <s v="Urban"/>
    <n v="823"/>
    <x v="1"/>
    <n v="17259"/>
    <b v="1"/>
    <b v="0"/>
    <b v="1"/>
  </r>
  <r>
    <n v="33"/>
    <x v="0"/>
    <d v="1900-01-03T00:00:00"/>
    <x v="1"/>
    <s v="Sports"/>
    <s v="Australia"/>
    <s v="Sub_Urban"/>
    <n v="824"/>
    <x v="2"/>
    <n v="16054"/>
    <b v="0"/>
    <b v="0"/>
    <b v="1"/>
  </r>
  <r>
    <n v="48"/>
    <x v="0"/>
    <d v="1900-01-05T00:00:00"/>
    <x v="1"/>
    <s v="Travel"/>
    <s v="United States"/>
    <s v="Rural"/>
    <n v="825"/>
    <x v="2"/>
    <n v="12523"/>
    <b v="0"/>
    <b v="1"/>
    <b v="0"/>
  </r>
  <r>
    <n v="28"/>
    <x v="0"/>
    <d v="1900-01-07T00:00:00"/>
    <x v="1"/>
    <s v="Lifestlye"/>
    <s v="United Kingdom"/>
    <s v="Urban"/>
    <n v="826"/>
    <x v="2"/>
    <n v="19677"/>
    <b v="0"/>
    <b v="0"/>
    <b v="1"/>
  </r>
  <r>
    <n v="33"/>
    <x v="0"/>
    <d v="1900-01-07T00:00:00"/>
    <x v="1"/>
    <s v="Sports"/>
    <s v="United Kingdom"/>
    <s v="Urban"/>
    <n v="827"/>
    <x v="2"/>
    <n v="14581"/>
    <b v="1"/>
    <b v="1"/>
    <b v="1"/>
  </r>
  <r>
    <n v="25"/>
    <x v="2"/>
    <d v="1900-01-04T00:00:00"/>
    <x v="1"/>
    <s v="Sports"/>
    <s v="United Kingdom"/>
    <s v="Sub_Urban"/>
    <n v="828"/>
    <x v="0"/>
    <n v="15609"/>
    <b v="1"/>
    <b v="0"/>
    <b v="1"/>
  </r>
  <r>
    <n v="21"/>
    <x v="2"/>
    <d v="1900-01-05T00:00:00"/>
    <x v="1"/>
    <s v="Sports"/>
    <s v="United States"/>
    <s v="Sub_Urban"/>
    <n v="829"/>
    <x v="2"/>
    <n v="12001"/>
    <b v="1"/>
    <b v="1"/>
    <b v="0"/>
  </r>
  <r>
    <n v="57"/>
    <x v="1"/>
    <d v="1900-01-03T00:00:00"/>
    <x v="1"/>
    <s v="Lifestlye"/>
    <s v="United Kingdom"/>
    <s v="Urban"/>
    <n v="830"/>
    <x v="1"/>
    <n v="11387"/>
    <b v="0"/>
    <b v="1"/>
    <b v="1"/>
  </r>
  <r>
    <n v="21"/>
    <x v="1"/>
    <d v="1900-01-08T00:00:00"/>
    <x v="0"/>
    <s v="Lifestlye"/>
    <s v="United Kingdom"/>
    <s v="Rural"/>
    <n v="831"/>
    <x v="2"/>
    <n v="16552"/>
    <b v="0"/>
    <b v="1"/>
    <b v="1"/>
  </r>
  <r>
    <n v="42"/>
    <x v="2"/>
    <d v="1900-01-07T00:00:00"/>
    <x v="2"/>
    <s v="Lifestlye"/>
    <s v="United Kingdom"/>
    <s v="Rural"/>
    <n v="832"/>
    <x v="2"/>
    <n v="11030"/>
    <b v="0"/>
    <b v="1"/>
    <b v="1"/>
  </r>
  <r>
    <n v="20"/>
    <x v="2"/>
    <d v="1899-12-31T00:00:00"/>
    <x v="1"/>
    <s v="Travel"/>
    <s v="United Kingdom"/>
    <s v="Sub_Urban"/>
    <n v="833"/>
    <x v="1"/>
    <n v="19957"/>
    <b v="1"/>
    <b v="1"/>
    <b v="0"/>
  </r>
  <r>
    <n v="49"/>
    <x v="0"/>
    <d v="1900-01-01T00:00:00"/>
    <x v="2"/>
    <s v="Travel"/>
    <s v="United Kingdom"/>
    <s v="Rural"/>
    <n v="834"/>
    <x v="2"/>
    <n v="11220"/>
    <b v="0"/>
    <b v="0"/>
    <b v="0"/>
  </r>
  <r>
    <n v="20"/>
    <x v="0"/>
    <d v="1900-01-08T00:00:00"/>
    <x v="1"/>
    <s v="Sports"/>
    <s v="United Kingdom"/>
    <s v="Rural"/>
    <n v="835"/>
    <x v="2"/>
    <n v="16035"/>
    <b v="1"/>
    <b v="1"/>
    <b v="0"/>
  </r>
  <r>
    <n v="44"/>
    <x v="1"/>
    <d v="1900-01-07T00:00:00"/>
    <x v="1"/>
    <s v="Lifestlye"/>
    <s v="United States"/>
    <s v="Sub_Urban"/>
    <n v="836"/>
    <x v="2"/>
    <n v="19810"/>
    <b v="1"/>
    <b v="0"/>
    <b v="0"/>
  </r>
  <r>
    <n v="46"/>
    <x v="2"/>
    <d v="1900-01-02T00:00:00"/>
    <x v="0"/>
    <s v="Sports"/>
    <s v="United Kingdom"/>
    <s v="Rural"/>
    <n v="837"/>
    <x v="0"/>
    <n v="19455"/>
    <b v="1"/>
    <b v="1"/>
    <b v="0"/>
  </r>
  <r>
    <n v="49"/>
    <x v="1"/>
    <d v="1900-01-07T00:00:00"/>
    <x v="0"/>
    <s v="Lifestlye"/>
    <s v="United Kingdom"/>
    <s v="Sub_Urban"/>
    <n v="838"/>
    <x v="2"/>
    <n v="16523"/>
    <b v="1"/>
    <b v="1"/>
    <b v="1"/>
  </r>
  <r>
    <n v="36"/>
    <x v="2"/>
    <d v="1899-12-31T00:00:00"/>
    <x v="2"/>
    <s v="Lifestlye"/>
    <s v="Australia"/>
    <s v="Urban"/>
    <n v="839"/>
    <x v="1"/>
    <n v="18074"/>
    <b v="1"/>
    <b v="0"/>
    <b v="0"/>
  </r>
  <r>
    <n v="38"/>
    <x v="0"/>
    <d v="1900-01-03T00:00:00"/>
    <x v="0"/>
    <s v="Lifestlye"/>
    <s v="United States"/>
    <s v="Sub_Urban"/>
    <n v="840"/>
    <x v="1"/>
    <n v="19063"/>
    <b v="0"/>
    <b v="1"/>
    <b v="0"/>
  </r>
  <r>
    <n v="22"/>
    <x v="1"/>
    <d v="1900-01-02T00:00:00"/>
    <x v="0"/>
    <s v="Travel"/>
    <s v="United States"/>
    <s v="Urban"/>
    <n v="841"/>
    <x v="2"/>
    <n v="10834"/>
    <b v="0"/>
    <b v="1"/>
    <b v="1"/>
  </r>
  <r>
    <n v="35"/>
    <x v="1"/>
    <d v="1900-01-05T00:00:00"/>
    <x v="2"/>
    <s v="Travel"/>
    <s v="United States"/>
    <s v="Urban"/>
    <n v="842"/>
    <x v="2"/>
    <n v="19110"/>
    <b v="1"/>
    <b v="1"/>
    <b v="0"/>
  </r>
  <r>
    <n v="45"/>
    <x v="2"/>
    <d v="1900-01-06T00:00:00"/>
    <x v="0"/>
    <s v="Lifestlye"/>
    <s v="United States"/>
    <s v="Rural"/>
    <n v="843"/>
    <x v="2"/>
    <n v="11724"/>
    <b v="0"/>
    <b v="1"/>
    <b v="1"/>
  </r>
  <r>
    <n v="59"/>
    <x v="0"/>
    <d v="1900-01-03T00:00:00"/>
    <x v="1"/>
    <s v="Sports"/>
    <s v="United Kingdom"/>
    <s v="Rural"/>
    <n v="844"/>
    <x v="1"/>
    <n v="16598"/>
    <b v="0"/>
    <b v="0"/>
    <b v="0"/>
  </r>
  <r>
    <n v="39"/>
    <x v="1"/>
    <d v="1900-01-06T00:00:00"/>
    <x v="2"/>
    <s v="Lifestlye"/>
    <s v="United Kingdom"/>
    <s v="Rural"/>
    <n v="845"/>
    <x v="1"/>
    <n v="12413"/>
    <b v="1"/>
    <b v="1"/>
    <b v="1"/>
  </r>
  <r>
    <n v="38"/>
    <x v="0"/>
    <d v="1900-01-08T00:00:00"/>
    <x v="2"/>
    <s v="Lifestlye"/>
    <s v="Australia"/>
    <s v="Sub_Urban"/>
    <n v="846"/>
    <x v="0"/>
    <n v="19505"/>
    <b v="1"/>
    <b v="1"/>
    <b v="1"/>
  </r>
  <r>
    <n v="23"/>
    <x v="1"/>
    <d v="1900-01-01T00:00:00"/>
    <x v="1"/>
    <s v="Sports"/>
    <s v="Australia"/>
    <s v="Rural"/>
    <n v="847"/>
    <x v="0"/>
    <n v="15993"/>
    <b v="0"/>
    <b v="0"/>
    <b v="0"/>
  </r>
  <r>
    <n v="18"/>
    <x v="0"/>
    <d v="1900-01-02T00:00:00"/>
    <x v="0"/>
    <s v="Lifestlye"/>
    <s v="United States"/>
    <s v="Urban"/>
    <n v="848"/>
    <x v="0"/>
    <n v="14498"/>
    <b v="0"/>
    <b v="0"/>
    <b v="0"/>
  </r>
  <r>
    <n v="22"/>
    <x v="2"/>
    <d v="1900-01-04T00:00:00"/>
    <x v="2"/>
    <s v="Sports"/>
    <s v="Australia"/>
    <s v="Rural"/>
    <n v="849"/>
    <x v="1"/>
    <n v="12105"/>
    <b v="0"/>
    <b v="1"/>
    <b v="1"/>
  </r>
  <r>
    <n v="58"/>
    <x v="1"/>
    <d v="1900-01-02T00:00:00"/>
    <x v="2"/>
    <s v="Travel"/>
    <s v="Australia"/>
    <s v="Rural"/>
    <n v="850"/>
    <x v="0"/>
    <n v="12568"/>
    <b v="0"/>
    <b v="1"/>
    <b v="1"/>
  </r>
  <r>
    <n v="29"/>
    <x v="1"/>
    <d v="1900-01-07T00:00:00"/>
    <x v="1"/>
    <s v="Travel"/>
    <s v="United States"/>
    <s v="Sub_Urban"/>
    <n v="851"/>
    <x v="2"/>
    <n v="19330"/>
    <b v="1"/>
    <b v="0"/>
    <b v="1"/>
  </r>
  <r>
    <n v="43"/>
    <x v="0"/>
    <d v="1900-01-07T00:00:00"/>
    <x v="1"/>
    <s v="Sports"/>
    <s v="United States"/>
    <s v="Sub_Urban"/>
    <n v="852"/>
    <x v="2"/>
    <n v="10209"/>
    <b v="0"/>
    <b v="1"/>
    <b v="1"/>
  </r>
  <r>
    <n v="63"/>
    <x v="0"/>
    <d v="1900-01-07T00:00:00"/>
    <x v="0"/>
    <s v="Travel"/>
    <s v="Australia"/>
    <s v="Urban"/>
    <n v="853"/>
    <x v="1"/>
    <n v="19256"/>
    <b v="1"/>
    <b v="0"/>
    <b v="1"/>
  </r>
  <r>
    <n v="51"/>
    <x v="1"/>
    <d v="1900-01-08T00:00:00"/>
    <x v="2"/>
    <s v="Travel"/>
    <s v="United Kingdom"/>
    <s v="Sub_Urban"/>
    <n v="854"/>
    <x v="0"/>
    <n v="14911"/>
    <b v="1"/>
    <b v="1"/>
    <b v="1"/>
  </r>
  <r>
    <n v="31"/>
    <x v="2"/>
    <d v="1900-01-03T00:00:00"/>
    <x v="0"/>
    <s v="Sports"/>
    <s v="Australia"/>
    <s v="Rural"/>
    <n v="855"/>
    <x v="2"/>
    <n v="12220"/>
    <b v="0"/>
    <b v="0"/>
    <b v="1"/>
  </r>
  <r>
    <n v="43"/>
    <x v="0"/>
    <d v="1900-01-04T00:00:00"/>
    <x v="0"/>
    <s v="Travel"/>
    <s v="Australia"/>
    <s v="Sub_Urban"/>
    <n v="856"/>
    <x v="1"/>
    <n v="10233"/>
    <b v="0"/>
    <b v="0"/>
    <b v="0"/>
  </r>
  <r>
    <n v="62"/>
    <x v="0"/>
    <d v="1900-01-04T00:00:00"/>
    <x v="1"/>
    <s v="Lifestlye"/>
    <s v="United Kingdom"/>
    <s v="Urban"/>
    <n v="857"/>
    <x v="0"/>
    <n v="10792"/>
    <b v="0"/>
    <b v="0"/>
    <b v="1"/>
  </r>
  <r>
    <n v="44"/>
    <x v="0"/>
    <d v="1900-01-07T00:00:00"/>
    <x v="2"/>
    <s v="Lifestlye"/>
    <s v="United Kingdom"/>
    <s v="Rural"/>
    <n v="858"/>
    <x v="2"/>
    <n v="13110"/>
    <b v="1"/>
    <b v="1"/>
    <b v="0"/>
  </r>
  <r>
    <n v="26"/>
    <x v="1"/>
    <d v="1900-01-06T00:00:00"/>
    <x v="2"/>
    <s v="Sports"/>
    <s v="United States"/>
    <s v="Urban"/>
    <n v="859"/>
    <x v="0"/>
    <n v="12166"/>
    <b v="1"/>
    <b v="1"/>
    <b v="0"/>
  </r>
  <r>
    <n v="43"/>
    <x v="1"/>
    <d v="1900-01-08T00:00:00"/>
    <x v="2"/>
    <s v="Travel"/>
    <s v="United States"/>
    <s v="Sub_Urban"/>
    <n v="860"/>
    <x v="1"/>
    <n v="18526"/>
    <b v="1"/>
    <b v="1"/>
    <b v="1"/>
  </r>
  <r>
    <n v="64"/>
    <x v="1"/>
    <d v="1900-01-07T00:00:00"/>
    <x v="1"/>
    <s v="Lifestlye"/>
    <s v="Australia"/>
    <s v="Sub_Urban"/>
    <n v="861"/>
    <x v="0"/>
    <n v="19551"/>
    <b v="1"/>
    <b v="1"/>
    <b v="1"/>
  </r>
  <r>
    <n v="39"/>
    <x v="1"/>
    <d v="1900-01-01T00:00:00"/>
    <x v="1"/>
    <s v="Lifestlye"/>
    <s v="United Kingdom"/>
    <s v="Urban"/>
    <n v="862"/>
    <x v="1"/>
    <n v="15193"/>
    <b v="0"/>
    <b v="0"/>
    <b v="0"/>
  </r>
  <r>
    <n v="64"/>
    <x v="2"/>
    <d v="1900-01-03T00:00:00"/>
    <x v="1"/>
    <s v="Travel"/>
    <s v="United States"/>
    <s v="Rural"/>
    <n v="863"/>
    <x v="0"/>
    <n v="11214"/>
    <b v="1"/>
    <b v="0"/>
    <b v="1"/>
  </r>
  <r>
    <n v="47"/>
    <x v="2"/>
    <d v="1900-01-05T00:00:00"/>
    <x v="1"/>
    <s v="Travel"/>
    <s v="Australia"/>
    <s v="Sub_Urban"/>
    <n v="864"/>
    <x v="2"/>
    <n v="14419"/>
    <b v="1"/>
    <b v="0"/>
    <b v="1"/>
  </r>
  <r>
    <n v="60"/>
    <x v="1"/>
    <d v="1900-01-01T00:00:00"/>
    <x v="1"/>
    <s v="Lifestlye"/>
    <s v="United Kingdom"/>
    <s v="Sub_Urban"/>
    <n v="865"/>
    <x v="1"/>
    <n v="17314"/>
    <b v="0"/>
    <b v="1"/>
    <b v="0"/>
  </r>
  <r>
    <n v="34"/>
    <x v="2"/>
    <d v="1900-01-06T00:00:00"/>
    <x v="2"/>
    <s v="Lifestlye"/>
    <s v="Australia"/>
    <s v="Rural"/>
    <n v="866"/>
    <x v="1"/>
    <n v="18475"/>
    <b v="1"/>
    <b v="1"/>
    <b v="0"/>
  </r>
  <r>
    <n v="43"/>
    <x v="0"/>
    <d v="1900-01-02T00:00:00"/>
    <x v="0"/>
    <s v="Sports"/>
    <s v="United States"/>
    <s v="Sub_Urban"/>
    <n v="867"/>
    <x v="1"/>
    <n v="10212"/>
    <b v="1"/>
    <b v="1"/>
    <b v="0"/>
  </r>
  <r>
    <n v="53"/>
    <x v="0"/>
    <d v="1900-01-02T00:00:00"/>
    <x v="2"/>
    <s v="Sports"/>
    <s v="United States"/>
    <s v="Urban"/>
    <n v="868"/>
    <x v="0"/>
    <n v="11658"/>
    <b v="0"/>
    <b v="0"/>
    <b v="1"/>
  </r>
  <r>
    <n v="18"/>
    <x v="0"/>
    <d v="1900-01-01T00:00:00"/>
    <x v="0"/>
    <s v="Lifestlye"/>
    <s v="United Kingdom"/>
    <s v="Sub_Urban"/>
    <n v="869"/>
    <x v="0"/>
    <n v="15024"/>
    <b v="1"/>
    <b v="1"/>
    <b v="1"/>
  </r>
  <r>
    <n v="25"/>
    <x v="1"/>
    <d v="1900-01-07T00:00:00"/>
    <x v="1"/>
    <s v="Sports"/>
    <s v="Australia"/>
    <s v="Sub_Urban"/>
    <n v="870"/>
    <x v="2"/>
    <n v="19609"/>
    <b v="1"/>
    <b v="1"/>
    <b v="0"/>
  </r>
  <r>
    <n v="52"/>
    <x v="0"/>
    <d v="1900-01-05T00:00:00"/>
    <x v="0"/>
    <s v="Lifestlye"/>
    <s v="United Kingdom"/>
    <s v="Rural"/>
    <n v="871"/>
    <x v="1"/>
    <n v="15917"/>
    <b v="1"/>
    <b v="0"/>
    <b v="1"/>
  </r>
  <r>
    <n v="32"/>
    <x v="2"/>
    <d v="1899-12-31T00:00:00"/>
    <x v="2"/>
    <s v="Lifestlye"/>
    <s v="United States"/>
    <s v="Urban"/>
    <n v="872"/>
    <x v="1"/>
    <n v="15141"/>
    <b v="1"/>
    <b v="0"/>
    <b v="0"/>
  </r>
  <r>
    <n v="64"/>
    <x v="1"/>
    <d v="1899-12-31T00:00:00"/>
    <x v="2"/>
    <s v="Sports"/>
    <s v="United States"/>
    <s v="Rural"/>
    <n v="873"/>
    <x v="0"/>
    <n v="11794"/>
    <b v="0"/>
    <b v="1"/>
    <b v="1"/>
  </r>
  <r>
    <n v="39"/>
    <x v="2"/>
    <d v="1900-01-06T00:00:00"/>
    <x v="0"/>
    <s v="Sports"/>
    <s v="Australia"/>
    <s v="Sub_Urban"/>
    <n v="874"/>
    <x v="0"/>
    <n v="15988"/>
    <b v="1"/>
    <b v="0"/>
    <b v="0"/>
  </r>
  <r>
    <n v="31"/>
    <x v="0"/>
    <d v="1900-01-07T00:00:00"/>
    <x v="1"/>
    <s v="Travel"/>
    <s v="Australia"/>
    <s v="Sub_Urban"/>
    <n v="875"/>
    <x v="2"/>
    <n v="18296"/>
    <b v="0"/>
    <b v="1"/>
    <b v="1"/>
  </r>
  <r>
    <n v="43"/>
    <x v="0"/>
    <d v="1900-01-04T00:00:00"/>
    <x v="1"/>
    <s v="Travel"/>
    <s v="Australia"/>
    <s v="Rural"/>
    <n v="876"/>
    <x v="2"/>
    <n v="15578"/>
    <b v="1"/>
    <b v="0"/>
    <b v="0"/>
  </r>
  <r>
    <n v="45"/>
    <x v="0"/>
    <d v="1900-01-04T00:00:00"/>
    <x v="2"/>
    <s v="Travel"/>
    <s v="United Kingdom"/>
    <s v="Rural"/>
    <n v="877"/>
    <x v="0"/>
    <n v="15551"/>
    <b v="0"/>
    <b v="0"/>
    <b v="1"/>
  </r>
  <r>
    <n v="40"/>
    <x v="1"/>
    <d v="1900-01-03T00:00:00"/>
    <x v="0"/>
    <s v="Lifestlye"/>
    <s v="Australia"/>
    <s v="Rural"/>
    <n v="878"/>
    <x v="1"/>
    <n v="13845"/>
    <b v="0"/>
    <b v="0"/>
    <b v="1"/>
  </r>
  <r>
    <n v="31"/>
    <x v="2"/>
    <d v="1900-01-05T00:00:00"/>
    <x v="1"/>
    <s v="Sports"/>
    <s v="Australia"/>
    <s v="Urban"/>
    <n v="879"/>
    <x v="2"/>
    <n v="16906"/>
    <b v="0"/>
    <b v="1"/>
    <b v="0"/>
  </r>
  <r>
    <n v="41"/>
    <x v="1"/>
    <d v="1900-01-05T00:00:00"/>
    <x v="1"/>
    <s v="Lifestlye"/>
    <s v="United States"/>
    <s v="Sub_Urban"/>
    <n v="880"/>
    <x v="0"/>
    <n v="10378"/>
    <b v="1"/>
    <b v="1"/>
    <b v="1"/>
  </r>
  <r>
    <n v="19"/>
    <x v="1"/>
    <d v="1900-01-02T00:00:00"/>
    <x v="2"/>
    <s v="Sports"/>
    <s v="United States"/>
    <s v="Rural"/>
    <n v="881"/>
    <x v="0"/>
    <n v="13293"/>
    <b v="1"/>
    <b v="1"/>
    <b v="1"/>
  </r>
  <r>
    <n v="62"/>
    <x v="0"/>
    <d v="1900-01-08T00:00:00"/>
    <x v="1"/>
    <s v="Lifestlye"/>
    <s v="Australia"/>
    <s v="Sub_Urban"/>
    <n v="882"/>
    <x v="1"/>
    <n v="13329"/>
    <b v="1"/>
    <b v="0"/>
    <b v="0"/>
  </r>
  <r>
    <n v="43"/>
    <x v="1"/>
    <d v="1900-01-06T00:00:00"/>
    <x v="0"/>
    <s v="Travel"/>
    <s v="Australia"/>
    <s v="Urban"/>
    <n v="883"/>
    <x v="0"/>
    <n v="14808"/>
    <b v="0"/>
    <b v="0"/>
    <b v="1"/>
  </r>
  <r>
    <n v="31"/>
    <x v="1"/>
    <d v="1899-12-31T00:00:00"/>
    <x v="2"/>
    <s v="Travel"/>
    <s v="United States"/>
    <s v="Urban"/>
    <n v="884"/>
    <x v="0"/>
    <n v="17937"/>
    <b v="1"/>
    <b v="0"/>
    <b v="1"/>
  </r>
  <r>
    <n v="24"/>
    <x v="0"/>
    <d v="1900-01-06T00:00:00"/>
    <x v="2"/>
    <s v="Travel"/>
    <s v="Australia"/>
    <s v="Urban"/>
    <n v="885"/>
    <x v="2"/>
    <n v="10224"/>
    <b v="1"/>
    <b v="0"/>
    <b v="1"/>
  </r>
  <r>
    <n v="20"/>
    <x v="1"/>
    <d v="1900-01-04T00:00:00"/>
    <x v="0"/>
    <s v="Lifestlye"/>
    <s v="United Kingdom"/>
    <s v="Urban"/>
    <n v="886"/>
    <x v="0"/>
    <n v="10737"/>
    <b v="1"/>
    <b v="1"/>
    <b v="0"/>
  </r>
  <r>
    <n v="64"/>
    <x v="0"/>
    <d v="1900-01-04T00:00:00"/>
    <x v="2"/>
    <s v="Sports"/>
    <s v="United Kingdom"/>
    <s v="Sub_Urban"/>
    <n v="887"/>
    <x v="0"/>
    <n v="10235"/>
    <b v="1"/>
    <b v="1"/>
    <b v="0"/>
  </r>
  <r>
    <n v="40"/>
    <x v="0"/>
    <d v="1900-01-01T00:00:00"/>
    <x v="1"/>
    <s v="Sports"/>
    <s v="United Kingdom"/>
    <s v="Urban"/>
    <n v="888"/>
    <x v="2"/>
    <n v="10711"/>
    <b v="0"/>
    <b v="1"/>
    <b v="0"/>
  </r>
  <r>
    <n v="63"/>
    <x v="0"/>
    <d v="1900-01-03T00:00:00"/>
    <x v="1"/>
    <s v="Travel"/>
    <s v="Australia"/>
    <s v="Urban"/>
    <n v="889"/>
    <x v="1"/>
    <n v="15988"/>
    <b v="0"/>
    <b v="0"/>
    <b v="0"/>
  </r>
  <r>
    <n v="60"/>
    <x v="0"/>
    <d v="1900-01-05T00:00:00"/>
    <x v="0"/>
    <s v="Travel"/>
    <s v="United States"/>
    <s v="Rural"/>
    <n v="890"/>
    <x v="1"/>
    <n v="11888"/>
    <b v="1"/>
    <b v="0"/>
    <b v="0"/>
  </r>
  <r>
    <n v="64"/>
    <x v="1"/>
    <d v="1900-01-06T00:00:00"/>
    <x v="1"/>
    <s v="Travel"/>
    <s v="Australia"/>
    <s v="Urban"/>
    <n v="891"/>
    <x v="2"/>
    <n v="17173"/>
    <b v="1"/>
    <b v="1"/>
    <b v="1"/>
  </r>
  <r>
    <n v="62"/>
    <x v="0"/>
    <d v="1900-01-04T00:00:00"/>
    <x v="0"/>
    <s v="Travel"/>
    <s v="Australia"/>
    <s v="Rural"/>
    <n v="892"/>
    <x v="2"/>
    <n v="11259"/>
    <b v="1"/>
    <b v="0"/>
    <b v="1"/>
  </r>
  <r>
    <n v="35"/>
    <x v="0"/>
    <d v="1900-01-08T00:00:00"/>
    <x v="0"/>
    <s v="Sports"/>
    <s v="United States"/>
    <s v="Urban"/>
    <n v="893"/>
    <x v="1"/>
    <n v="15246"/>
    <b v="0"/>
    <b v="1"/>
    <b v="0"/>
  </r>
  <r>
    <n v="55"/>
    <x v="1"/>
    <d v="1900-01-02T00:00:00"/>
    <x v="1"/>
    <s v="Lifestlye"/>
    <s v="United States"/>
    <s v="Urban"/>
    <n v="894"/>
    <x v="1"/>
    <n v="17271"/>
    <b v="1"/>
    <b v="0"/>
    <b v="1"/>
  </r>
  <r>
    <n v="52"/>
    <x v="1"/>
    <d v="1899-12-31T00:00:00"/>
    <x v="0"/>
    <s v="Lifestlye"/>
    <s v="United States"/>
    <s v="Rural"/>
    <n v="895"/>
    <x v="1"/>
    <n v="10748"/>
    <b v="0"/>
    <b v="0"/>
    <b v="1"/>
  </r>
  <r>
    <n v="32"/>
    <x v="2"/>
    <d v="1900-01-03T00:00:00"/>
    <x v="1"/>
    <s v="Lifestlye"/>
    <s v="United Kingdom"/>
    <s v="Urban"/>
    <n v="896"/>
    <x v="1"/>
    <n v="13551"/>
    <b v="0"/>
    <b v="1"/>
    <b v="1"/>
  </r>
  <r>
    <n v="42"/>
    <x v="1"/>
    <d v="1900-01-08T00:00:00"/>
    <x v="2"/>
    <s v="Lifestlye"/>
    <s v="Australia"/>
    <s v="Sub_Urban"/>
    <n v="897"/>
    <x v="1"/>
    <n v="16400"/>
    <b v="1"/>
    <b v="1"/>
    <b v="1"/>
  </r>
  <r>
    <n v="54"/>
    <x v="1"/>
    <d v="1900-01-03T00:00:00"/>
    <x v="2"/>
    <s v="Travel"/>
    <s v="United States"/>
    <s v="Sub_Urban"/>
    <n v="898"/>
    <x v="2"/>
    <n v="16643"/>
    <b v="1"/>
    <b v="0"/>
    <b v="0"/>
  </r>
  <r>
    <n v="45"/>
    <x v="2"/>
    <d v="1900-01-01T00:00:00"/>
    <x v="0"/>
    <s v="Travel"/>
    <s v="Australia"/>
    <s v="Urban"/>
    <n v="899"/>
    <x v="0"/>
    <n v="18701"/>
    <b v="1"/>
    <b v="1"/>
    <b v="0"/>
  </r>
  <r>
    <n v="27"/>
    <x v="1"/>
    <d v="1900-01-04T00:00:00"/>
    <x v="1"/>
    <s v="Travel"/>
    <s v="United Kingdom"/>
    <s v="Sub_Urban"/>
    <n v="900"/>
    <x v="1"/>
    <n v="11823"/>
    <b v="0"/>
    <b v="1"/>
    <b v="1"/>
  </r>
  <r>
    <n v="56"/>
    <x v="1"/>
    <d v="1900-01-02T00:00:00"/>
    <x v="1"/>
    <s v="Lifestlye"/>
    <s v="United Kingdom"/>
    <s v="Rural"/>
    <n v="901"/>
    <x v="1"/>
    <n v="16852"/>
    <b v="0"/>
    <b v="0"/>
    <b v="1"/>
  </r>
  <r>
    <n v="34"/>
    <x v="1"/>
    <d v="1900-01-08T00:00:00"/>
    <x v="2"/>
    <s v="Travel"/>
    <s v="United States"/>
    <s v="Urban"/>
    <n v="902"/>
    <x v="0"/>
    <n v="17777"/>
    <b v="1"/>
    <b v="0"/>
    <b v="0"/>
  </r>
  <r>
    <n v="56"/>
    <x v="1"/>
    <d v="1900-01-03T00:00:00"/>
    <x v="2"/>
    <s v="Travel"/>
    <s v="United States"/>
    <s v="Urban"/>
    <n v="903"/>
    <x v="0"/>
    <n v="14232"/>
    <b v="0"/>
    <b v="0"/>
    <b v="1"/>
  </r>
  <r>
    <n v="39"/>
    <x v="2"/>
    <d v="1900-01-05T00:00:00"/>
    <x v="1"/>
    <s v="Sports"/>
    <s v="Australia"/>
    <s v="Rural"/>
    <n v="904"/>
    <x v="0"/>
    <n v="16519"/>
    <b v="1"/>
    <b v="1"/>
    <b v="1"/>
  </r>
  <r>
    <n v="43"/>
    <x v="1"/>
    <d v="1900-01-01T00:00:00"/>
    <x v="0"/>
    <s v="Sports"/>
    <s v="United States"/>
    <s v="Rural"/>
    <n v="905"/>
    <x v="0"/>
    <n v="11777"/>
    <b v="1"/>
    <b v="0"/>
    <b v="1"/>
  </r>
  <r>
    <n v="61"/>
    <x v="1"/>
    <d v="1900-01-05T00:00:00"/>
    <x v="2"/>
    <s v="Travel"/>
    <s v="Australia"/>
    <s v="Rural"/>
    <n v="906"/>
    <x v="0"/>
    <n v="11222"/>
    <b v="0"/>
    <b v="0"/>
    <b v="0"/>
  </r>
  <r>
    <n v="42"/>
    <x v="2"/>
    <d v="1900-01-02T00:00:00"/>
    <x v="0"/>
    <s v="Sports"/>
    <s v="United States"/>
    <s v="Urban"/>
    <n v="907"/>
    <x v="0"/>
    <n v="17630"/>
    <b v="0"/>
    <b v="0"/>
    <b v="0"/>
  </r>
  <r>
    <n v="34"/>
    <x v="0"/>
    <d v="1900-01-08T00:00:00"/>
    <x v="0"/>
    <s v="Sports"/>
    <s v="Australia"/>
    <s v="Rural"/>
    <n v="908"/>
    <x v="2"/>
    <n v="11777"/>
    <b v="0"/>
    <b v="0"/>
    <b v="1"/>
  </r>
  <r>
    <n v="30"/>
    <x v="2"/>
    <d v="1900-01-01T00:00:00"/>
    <x v="2"/>
    <s v="Travel"/>
    <s v="Australia"/>
    <s v="Rural"/>
    <n v="909"/>
    <x v="0"/>
    <n v="19496"/>
    <b v="0"/>
    <b v="0"/>
    <b v="1"/>
  </r>
  <r>
    <n v="37"/>
    <x v="0"/>
    <d v="1900-01-08T00:00:00"/>
    <x v="0"/>
    <s v="Travel"/>
    <s v="Australia"/>
    <s v="Sub_Urban"/>
    <n v="910"/>
    <x v="0"/>
    <n v="17490"/>
    <b v="1"/>
    <b v="1"/>
    <b v="1"/>
  </r>
  <r>
    <n v="42"/>
    <x v="2"/>
    <d v="1900-01-04T00:00:00"/>
    <x v="0"/>
    <s v="Travel"/>
    <s v="Australia"/>
    <s v="Sub_Urban"/>
    <n v="911"/>
    <x v="2"/>
    <n v="14859"/>
    <b v="1"/>
    <b v="0"/>
    <b v="1"/>
  </r>
  <r>
    <n v="21"/>
    <x v="2"/>
    <d v="1900-01-07T00:00:00"/>
    <x v="1"/>
    <s v="Travel"/>
    <s v="United Kingdom"/>
    <s v="Urban"/>
    <n v="912"/>
    <x v="0"/>
    <n v="18893"/>
    <b v="1"/>
    <b v="0"/>
    <b v="1"/>
  </r>
  <r>
    <n v="27"/>
    <x v="1"/>
    <d v="1900-01-01T00:00:00"/>
    <x v="0"/>
    <s v="Lifestlye"/>
    <s v="Australia"/>
    <s v="Sub_Urban"/>
    <n v="913"/>
    <x v="1"/>
    <n v="18118"/>
    <b v="0"/>
    <b v="1"/>
    <b v="1"/>
  </r>
  <r>
    <n v="20"/>
    <x v="0"/>
    <d v="1900-01-05T00:00:00"/>
    <x v="1"/>
    <s v="Lifestlye"/>
    <s v="United States"/>
    <s v="Sub_Urban"/>
    <n v="914"/>
    <x v="1"/>
    <n v="12989"/>
    <b v="1"/>
    <b v="0"/>
    <b v="0"/>
  </r>
  <r>
    <n v="58"/>
    <x v="1"/>
    <d v="1900-01-02T00:00:00"/>
    <x v="2"/>
    <s v="Travel"/>
    <s v="United Kingdom"/>
    <s v="Rural"/>
    <n v="915"/>
    <x v="0"/>
    <n v="18343"/>
    <b v="0"/>
    <b v="0"/>
    <b v="0"/>
  </r>
  <r>
    <n v="62"/>
    <x v="0"/>
    <d v="1900-01-04T00:00:00"/>
    <x v="2"/>
    <s v="Sports"/>
    <s v="United Kingdom"/>
    <s v="Rural"/>
    <n v="916"/>
    <x v="2"/>
    <n v="11325"/>
    <b v="0"/>
    <b v="1"/>
    <b v="1"/>
  </r>
  <r>
    <n v="35"/>
    <x v="2"/>
    <d v="1900-01-07T00:00:00"/>
    <x v="1"/>
    <s v="Travel"/>
    <s v="Australia"/>
    <s v="Sub_Urban"/>
    <n v="917"/>
    <x v="1"/>
    <n v="19493"/>
    <b v="0"/>
    <b v="0"/>
    <b v="0"/>
  </r>
  <r>
    <n v="64"/>
    <x v="2"/>
    <d v="1899-12-31T00:00:00"/>
    <x v="2"/>
    <s v="Travel"/>
    <s v="United Kingdom"/>
    <s v="Sub_Urban"/>
    <n v="918"/>
    <x v="2"/>
    <n v="19903"/>
    <b v="1"/>
    <b v="1"/>
    <b v="1"/>
  </r>
  <r>
    <n v="53"/>
    <x v="0"/>
    <d v="1900-01-04T00:00:00"/>
    <x v="0"/>
    <s v="Sports"/>
    <s v="Australia"/>
    <s v="Sub_Urban"/>
    <n v="919"/>
    <x v="1"/>
    <n v="15127"/>
    <b v="0"/>
    <b v="0"/>
    <b v="1"/>
  </r>
  <r>
    <n v="64"/>
    <x v="1"/>
    <d v="1900-01-02T00:00:00"/>
    <x v="0"/>
    <s v="Lifestlye"/>
    <s v="United States"/>
    <s v="Urban"/>
    <n v="920"/>
    <x v="0"/>
    <n v="18998"/>
    <b v="0"/>
    <b v="1"/>
    <b v="0"/>
  </r>
  <r>
    <n v="39"/>
    <x v="1"/>
    <d v="1900-01-03T00:00:00"/>
    <x v="0"/>
    <s v="Travel"/>
    <s v="Australia"/>
    <s v="Urban"/>
    <n v="921"/>
    <x v="2"/>
    <n v="12722"/>
    <b v="0"/>
    <b v="1"/>
    <b v="0"/>
  </r>
  <r>
    <n v="51"/>
    <x v="1"/>
    <d v="1900-01-01T00:00:00"/>
    <x v="2"/>
    <s v="Travel"/>
    <s v="United Kingdom"/>
    <s v="Urban"/>
    <n v="922"/>
    <x v="2"/>
    <n v="14656"/>
    <b v="0"/>
    <b v="0"/>
    <b v="1"/>
  </r>
  <r>
    <n v="64"/>
    <x v="1"/>
    <d v="1900-01-08T00:00:00"/>
    <x v="0"/>
    <s v="Lifestlye"/>
    <s v="United States"/>
    <s v="Sub_Urban"/>
    <n v="923"/>
    <x v="2"/>
    <n v="11325"/>
    <b v="0"/>
    <b v="1"/>
    <b v="1"/>
  </r>
  <r>
    <n v="25"/>
    <x v="2"/>
    <d v="1900-01-02T00:00:00"/>
    <x v="2"/>
    <s v="Lifestlye"/>
    <s v="Australia"/>
    <s v="Sub_Urban"/>
    <n v="924"/>
    <x v="1"/>
    <n v="14133"/>
    <b v="0"/>
    <b v="1"/>
    <b v="0"/>
  </r>
  <r>
    <n v="57"/>
    <x v="2"/>
    <d v="1900-01-01T00:00:00"/>
    <x v="0"/>
    <s v="Sports"/>
    <s v="United States"/>
    <s v="Urban"/>
    <n v="925"/>
    <x v="1"/>
    <n v="19351"/>
    <b v="0"/>
    <b v="0"/>
    <b v="0"/>
  </r>
  <r>
    <n v="61"/>
    <x v="2"/>
    <d v="1900-01-08T00:00:00"/>
    <x v="1"/>
    <s v="Lifestlye"/>
    <s v="United States"/>
    <s v="Urban"/>
    <n v="926"/>
    <x v="1"/>
    <n v="12869"/>
    <b v="0"/>
    <b v="0"/>
    <b v="1"/>
  </r>
  <r>
    <n v="36"/>
    <x v="2"/>
    <d v="1900-01-06T00:00:00"/>
    <x v="2"/>
    <s v="Lifestlye"/>
    <s v="United Kingdom"/>
    <s v="Sub_Urban"/>
    <n v="927"/>
    <x v="0"/>
    <n v="11242"/>
    <b v="0"/>
    <b v="1"/>
    <b v="1"/>
  </r>
  <r>
    <n v="59"/>
    <x v="2"/>
    <d v="1900-01-05T00:00:00"/>
    <x v="2"/>
    <s v="Lifestlye"/>
    <s v="United States"/>
    <s v="Rural"/>
    <n v="928"/>
    <x v="1"/>
    <n v="18539"/>
    <b v="0"/>
    <b v="0"/>
    <b v="1"/>
  </r>
  <r>
    <n v="58"/>
    <x v="1"/>
    <d v="1899-12-31T00:00:00"/>
    <x v="0"/>
    <s v="Sports"/>
    <s v="United Kingdom"/>
    <s v="Urban"/>
    <n v="929"/>
    <x v="0"/>
    <n v="11831"/>
    <b v="0"/>
    <b v="1"/>
    <b v="0"/>
  </r>
  <r>
    <n v="54"/>
    <x v="1"/>
    <d v="1900-01-04T00:00:00"/>
    <x v="2"/>
    <s v="Lifestlye"/>
    <s v="United States"/>
    <s v="Sub_Urban"/>
    <n v="930"/>
    <x v="2"/>
    <n v="11569"/>
    <b v="0"/>
    <b v="1"/>
    <b v="1"/>
  </r>
  <r>
    <n v="23"/>
    <x v="1"/>
    <d v="1900-01-02T00:00:00"/>
    <x v="2"/>
    <s v="Lifestlye"/>
    <s v="Australia"/>
    <s v="Sub_Urban"/>
    <n v="931"/>
    <x v="2"/>
    <n v="17246"/>
    <b v="1"/>
    <b v="0"/>
    <b v="0"/>
  </r>
  <r>
    <n v="43"/>
    <x v="1"/>
    <d v="1899-12-31T00:00:00"/>
    <x v="1"/>
    <s v="Sports"/>
    <s v="United States"/>
    <s v="Rural"/>
    <n v="932"/>
    <x v="0"/>
    <n v="11918"/>
    <b v="1"/>
    <b v="0"/>
    <b v="1"/>
  </r>
  <r>
    <n v="51"/>
    <x v="2"/>
    <d v="1900-01-03T00:00:00"/>
    <x v="1"/>
    <s v="Lifestlye"/>
    <s v="Australia"/>
    <s v="Sub_Urban"/>
    <n v="933"/>
    <x v="1"/>
    <n v="16416"/>
    <b v="0"/>
    <b v="1"/>
    <b v="0"/>
  </r>
  <r>
    <n v="62"/>
    <x v="2"/>
    <d v="1900-01-01T00:00:00"/>
    <x v="0"/>
    <s v="Lifestlye"/>
    <s v="Australia"/>
    <s v="Sub_Urban"/>
    <n v="934"/>
    <x v="0"/>
    <n v="13232"/>
    <b v="0"/>
    <b v="0"/>
    <b v="0"/>
  </r>
  <r>
    <n v="23"/>
    <x v="2"/>
    <d v="1900-01-01T00:00:00"/>
    <x v="1"/>
    <s v="Sports"/>
    <s v="United States"/>
    <s v="Urban"/>
    <n v="935"/>
    <x v="2"/>
    <n v="13758"/>
    <b v="0"/>
    <b v="0"/>
    <b v="0"/>
  </r>
  <r>
    <n v="54"/>
    <x v="0"/>
    <d v="1900-01-02T00:00:00"/>
    <x v="0"/>
    <s v="Travel"/>
    <s v="Australia"/>
    <s v="Urban"/>
    <n v="936"/>
    <x v="2"/>
    <n v="15997"/>
    <b v="1"/>
    <b v="1"/>
    <b v="0"/>
  </r>
  <r>
    <n v="50"/>
    <x v="1"/>
    <d v="1900-01-07T00:00:00"/>
    <x v="0"/>
    <s v="Sports"/>
    <s v="United States"/>
    <s v="Rural"/>
    <n v="937"/>
    <x v="0"/>
    <n v="12355"/>
    <b v="1"/>
    <b v="1"/>
    <b v="1"/>
  </r>
  <r>
    <n v="39"/>
    <x v="1"/>
    <d v="1900-01-07T00:00:00"/>
    <x v="0"/>
    <s v="Lifestlye"/>
    <s v="United States"/>
    <s v="Rural"/>
    <n v="938"/>
    <x v="1"/>
    <n v="19589"/>
    <b v="1"/>
    <b v="1"/>
    <b v="0"/>
  </r>
  <r>
    <n v="38"/>
    <x v="2"/>
    <d v="1900-01-06T00:00:00"/>
    <x v="2"/>
    <s v="Lifestlye"/>
    <s v="Australia"/>
    <s v="Sub_Urban"/>
    <n v="939"/>
    <x v="1"/>
    <n v="11824"/>
    <b v="0"/>
    <b v="1"/>
    <b v="0"/>
  </r>
  <r>
    <n v="23"/>
    <x v="1"/>
    <d v="1900-01-05T00:00:00"/>
    <x v="1"/>
    <s v="Lifestlye"/>
    <s v="Australia"/>
    <s v="Urban"/>
    <n v="940"/>
    <x v="0"/>
    <n v="17280"/>
    <b v="0"/>
    <b v="1"/>
    <b v="0"/>
  </r>
  <r>
    <n v="23"/>
    <x v="1"/>
    <d v="1900-01-08T00:00:00"/>
    <x v="0"/>
    <s v="Sports"/>
    <s v="United Kingdom"/>
    <s v="Rural"/>
    <n v="941"/>
    <x v="0"/>
    <n v="14060"/>
    <b v="0"/>
    <b v="1"/>
    <b v="1"/>
  </r>
  <r>
    <n v="21"/>
    <x v="2"/>
    <d v="1900-01-03T00:00:00"/>
    <x v="1"/>
    <s v="Lifestlye"/>
    <s v="Australia"/>
    <s v="Rural"/>
    <n v="942"/>
    <x v="1"/>
    <n v="15324"/>
    <b v="0"/>
    <b v="0"/>
    <b v="1"/>
  </r>
  <r>
    <n v="47"/>
    <x v="0"/>
    <d v="1899-12-31T00:00:00"/>
    <x v="0"/>
    <s v="Lifestlye"/>
    <s v="United Kingdom"/>
    <s v="Rural"/>
    <n v="943"/>
    <x v="2"/>
    <n v="10404"/>
    <b v="1"/>
    <b v="1"/>
    <b v="1"/>
  </r>
  <r>
    <n v="28"/>
    <x v="0"/>
    <d v="1900-01-07T00:00:00"/>
    <x v="1"/>
    <s v="Sports"/>
    <s v="Australia"/>
    <s v="Sub_Urban"/>
    <n v="944"/>
    <x v="0"/>
    <n v="11721"/>
    <b v="0"/>
    <b v="0"/>
    <b v="1"/>
  </r>
  <r>
    <n v="47"/>
    <x v="0"/>
    <d v="1900-01-06T00:00:00"/>
    <x v="1"/>
    <s v="Travel"/>
    <s v="United States"/>
    <s v="Urban"/>
    <n v="945"/>
    <x v="1"/>
    <n v="15316"/>
    <b v="1"/>
    <b v="0"/>
    <b v="1"/>
  </r>
  <r>
    <n v="48"/>
    <x v="2"/>
    <d v="1900-01-06T00:00:00"/>
    <x v="0"/>
    <s v="Travel"/>
    <s v="Australia"/>
    <s v="Rural"/>
    <n v="946"/>
    <x v="1"/>
    <n v="13845"/>
    <b v="1"/>
    <b v="1"/>
    <b v="1"/>
  </r>
  <r>
    <n v="41"/>
    <x v="1"/>
    <d v="1900-01-02T00:00:00"/>
    <x v="2"/>
    <s v="Lifestlye"/>
    <s v="United States"/>
    <s v="Urban"/>
    <n v="947"/>
    <x v="2"/>
    <n v="14210"/>
    <b v="0"/>
    <b v="0"/>
    <b v="0"/>
  </r>
  <r>
    <n v="26"/>
    <x v="2"/>
    <d v="1900-01-03T00:00:00"/>
    <x v="1"/>
    <s v="Sports"/>
    <s v="United States"/>
    <s v="Rural"/>
    <n v="948"/>
    <x v="2"/>
    <n v="10064"/>
    <b v="1"/>
    <b v="1"/>
    <b v="0"/>
  </r>
  <r>
    <n v="20"/>
    <x v="2"/>
    <d v="1900-01-08T00:00:00"/>
    <x v="2"/>
    <s v="Lifestlye"/>
    <s v="United States"/>
    <s v="Rural"/>
    <n v="949"/>
    <x v="2"/>
    <n v="19491"/>
    <b v="1"/>
    <b v="0"/>
    <b v="0"/>
  </r>
  <r>
    <n v="48"/>
    <x v="1"/>
    <d v="1900-01-05T00:00:00"/>
    <x v="2"/>
    <s v="Sports"/>
    <s v="United Kingdom"/>
    <s v="Urban"/>
    <n v="950"/>
    <x v="2"/>
    <n v="16382"/>
    <b v="1"/>
    <b v="1"/>
    <b v="1"/>
  </r>
  <r>
    <n v="57"/>
    <x v="0"/>
    <d v="1900-01-04T00:00:00"/>
    <x v="0"/>
    <s v="Sports"/>
    <s v="Australia"/>
    <s v="Urban"/>
    <n v="951"/>
    <x v="2"/>
    <n v="19607"/>
    <b v="1"/>
    <b v="1"/>
    <b v="0"/>
  </r>
  <r>
    <n v="54"/>
    <x v="0"/>
    <d v="1900-01-02T00:00:00"/>
    <x v="0"/>
    <s v="Travel"/>
    <s v="United States"/>
    <s v="Urban"/>
    <n v="952"/>
    <x v="0"/>
    <n v="10968"/>
    <b v="0"/>
    <b v="1"/>
    <b v="0"/>
  </r>
  <r>
    <n v="53"/>
    <x v="2"/>
    <d v="1900-01-08T00:00:00"/>
    <x v="0"/>
    <s v="Travel"/>
    <s v="United States"/>
    <s v="Sub_Urban"/>
    <n v="953"/>
    <x v="1"/>
    <n v="10368"/>
    <b v="0"/>
    <b v="1"/>
    <b v="1"/>
  </r>
  <r>
    <n v="41"/>
    <x v="0"/>
    <d v="1900-01-04T00:00:00"/>
    <x v="1"/>
    <s v="Sports"/>
    <s v="United Kingdom"/>
    <s v="Rural"/>
    <n v="954"/>
    <x v="0"/>
    <n v="18424"/>
    <b v="1"/>
    <b v="0"/>
    <b v="0"/>
  </r>
  <r>
    <n v="48"/>
    <x v="2"/>
    <d v="1900-01-04T00:00:00"/>
    <x v="0"/>
    <s v="Lifestlye"/>
    <s v="Australia"/>
    <s v="Sub_Urban"/>
    <n v="955"/>
    <x v="0"/>
    <n v="12242"/>
    <b v="0"/>
    <b v="0"/>
    <b v="1"/>
  </r>
  <r>
    <n v="23"/>
    <x v="2"/>
    <d v="1900-01-03T00:00:00"/>
    <x v="0"/>
    <s v="Travel"/>
    <s v="Australia"/>
    <s v="Urban"/>
    <n v="956"/>
    <x v="0"/>
    <n v="15002"/>
    <b v="1"/>
    <b v="0"/>
    <b v="0"/>
  </r>
  <r>
    <n v="19"/>
    <x v="1"/>
    <d v="1900-01-03T00:00:00"/>
    <x v="1"/>
    <s v="Lifestlye"/>
    <s v="United Kingdom"/>
    <s v="Rural"/>
    <n v="957"/>
    <x v="0"/>
    <n v="13083"/>
    <b v="0"/>
    <b v="0"/>
    <b v="1"/>
  </r>
  <r>
    <n v="37"/>
    <x v="1"/>
    <d v="1899-12-31T00:00:00"/>
    <x v="1"/>
    <s v="Travel"/>
    <s v="United Kingdom"/>
    <s v="Sub_Urban"/>
    <n v="958"/>
    <x v="0"/>
    <n v="18073"/>
    <b v="0"/>
    <b v="0"/>
    <b v="1"/>
  </r>
  <r>
    <n v="45"/>
    <x v="1"/>
    <d v="1900-01-06T00:00:00"/>
    <x v="0"/>
    <s v="Travel"/>
    <s v="Australia"/>
    <s v="Rural"/>
    <n v="959"/>
    <x v="2"/>
    <n v="19112"/>
    <b v="0"/>
    <b v="1"/>
    <b v="1"/>
  </r>
  <r>
    <n v="28"/>
    <x v="2"/>
    <d v="1900-01-08T00:00:00"/>
    <x v="0"/>
    <s v="Lifestlye"/>
    <s v="United Kingdom"/>
    <s v="Sub_Urban"/>
    <n v="960"/>
    <x v="2"/>
    <n v="18880"/>
    <b v="0"/>
    <b v="1"/>
    <b v="0"/>
  </r>
  <r>
    <n v="21"/>
    <x v="1"/>
    <d v="1900-01-02T00:00:00"/>
    <x v="0"/>
    <s v="Travel"/>
    <s v="Australia"/>
    <s v="Urban"/>
    <n v="961"/>
    <x v="1"/>
    <n v="11469"/>
    <b v="0"/>
    <b v="1"/>
    <b v="0"/>
  </r>
  <r>
    <n v="32"/>
    <x v="0"/>
    <d v="1900-01-01T00:00:00"/>
    <x v="0"/>
    <s v="Travel"/>
    <s v="Australia"/>
    <s v="Sub_Urban"/>
    <n v="962"/>
    <x v="0"/>
    <n v="14725"/>
    <b v="1"/>
    <b v="1"/>
    <b v="1"/>
  </r>
  <r>
    <n v="23"/>
    <x v="0"/>
    <d v="1900-01-02T00:00:00"/>
    <x v="2"/>
    <s v="Lifestlye"/>
    <s v="United States"/>
    <s v="Rural"/>
    <n v="963"/>
    <x v="1"/>
    <n v="14259"/>
    <b v="0"/>
    <b v="1"/>
    <b v="1"/>
  </r>
  <r>
    <n v="47"/>
    <x v="2"/>
    <d v="1899-12-31T00:00:00"/>
    <x v="2"/>
    <s v="Travel"/>
    <s v="United States"/>
    <s v="Rural"/>
    <n v="964"/>
    <x v="2"/>
    <n v="13622"/>
    <b v="1"/>
    <b v="0"/>
    <b v="0"/>
  </r>
  <r>
    <n v="55"/>
    <x v="2"/>
    <d v="1900-01-05T00:00:00"/>
    <x v="0"/>
    <s v="Travel"/>
    <s v="Australia"/>
    <s v="Rural"/>
    <n v="965"/>
    <x v="2"/>
    <n v="10823"/>
    <b v="1"/>
    <b v="1"/>
    <b v="0"/>
  </r>
  <r>
    <n v="19"/>
    <x v="1"/>
    <d v="1900-01-06T00:00:00"/>
    <x v="2"/>
    <s v="Travel"/>
    <s v="Australia"/>
    <s v="Rural"/>
    <n v="966"/>
    <x v="2"/>
    <n v="13431"/>
    <b v="0"/>
    <b v="1"/>
    <b v="1"/>
  </r>
  <r>
    <n v="32"/>
    <x v="2"/>
    <d v="1900-01-01T00:00:00"/>
    <x v="1"/>
    <s v="Lifestlye"/>
    <s v="Australia"/>
    <s v="Urban"/>
    <n v="967"/>
    <x v="0"/>
    <n v="16528"/>
    <b v="1"/>
    <b v="0"/>
    <b v="0"/>
  </r>
  <r>
    <n v="28"/>
    <x v="2"/>
    <d v="1900-01-07T00:00:00"/>
    <x v="2"/>
    <s v="Sports"/>
    <s v="Australia"/>
    <s v="Sub_Urban"/>
    <n v="968"/>
    <x v="0"/>
    <n v="14151"/>
    <b v="0"/>
    <b v="0"/>
    <b v="0"/>
  </r>
  <r>
    <n v="25"/>
    <x v="0"/>
    <d v="1900-01-05T00:00:00"/>
    <x v="2"/>
    <s v="Lifestlye"/>
    <s v="Australia"/>
    <s v="Urban"/>
    <n v="969"/>
    <x v="2"/>
    <n v="14213"/>
    <b v="1"/>
    <b v="1"/>
    <b v="0"/>
  </r>
  <r>
    <n v="43"/>
    <x v="0"/>
    <d v="1900-01-03T00:00:00"/>
    <x v="0"/>
    <s v="Sports"/>
    <s v="Australia"/>
    <s v="Urban"/>
    <n v="970"/>
    <x v="1"/>
    <n v="17420"/>
    <b v="1"/>
    <b v="1"/>
    <b v="1"/>
  </r>
  <r>
    <n v="62"/>
    <x v="1"/>
    <d v="1900-01-04T00:00:00"/>
    <x v="2"/>
    <s v="Travel"/>
    <s v="United Kingdom"/>
    <s v="Urban"/>
    <n v="971"/>
    <x v="1"/>
    <n v="18989"/>
    <b v="0"/>
    <b v="0"/>
    <b v="1"/>
  </r>
  <r>
    <n v="61"/>
    <x v="2"/>
    <d v="1900-01-07T00:00:00"/>
    <x v="2"/>
    <s v="Sports"/>
    <s v="Australia"/>
    <s v="Rural"/>
    <n v="972"/>
    <x v="2"/>
    <n v="10779"/>
    <b v="0"/>
    <b v="1"/>
    <b v="0"/>
  </r>
  <r>
    <n v="22"/>
    <x v="2"/>
    <d v="1900-01-02T00:00:00"/>
    <x v="2"/>
    <s v="Lifestlye"/>
    <s v="United Kingdom"/>
    <s v="Rural"/>
    <n v="973"/>
    <x v="1"/>
    <n v="12892"/>
    <b v="0"/>
    <b v="1"/>
    <b v="1"/>
  </r>
  <r>
    <n v="23"/>
    <x v="0"/>
    <d v="1900-01-02T00:00:00"/>
    <x v="2"/>
    <s v="Lifestlye"/>
    <s v="United Kingdom"/>
    <s v="Rural"/>
    <n v="974"/>
    <x v="2"/>
    <n v="15534"/>
    <b v="0"/>
    <b v="1"/>
    <b v="0"/>
  </r>
  <r>
    <n v="43"/>
    <x v="2"/>
    <d v="1900-01-03T00:00:00"/>
    <x v="1"/>
    <s v="Travel"/>
    <s v="Australia"/>
    <s v="Sub_Urban"/>
    <n v="975"/>
    <x v="1"/>
    <n v="13306"/>
    <b v="1"/>
    <b v="0"/>
    <b v="0"/>
  </r>
  <r>
    <n v="21"/>
    <x v="0"/>
    <d v="1899-12-31T00:00:00"/>
    <x v="0"/>
    <s v="Sports"/>
    <s v="Australia"/>
    <s v="Rural"/>
    <n v="976"/>
    <x v="2"/>
    <n v="12902"/>
    <b v="0"/>
    <b v="1"/>
    <b v="1"/>
  </r>
  <r>
    <n v="36"/>
    <x v="1"/>
    <d v="1900-01-08T00:00:00"/>
    <x v="0"/>
    <s v="Travel"/>
    <s v="United Kingdom"/>
    <s v="Sub_Urban"/>
    <n v="977"/>
    <x v="1"/>
    <n v="13718"/>
    <b v="1"/>
    <b v="1"/>
    <b v="1"/>
  </r>
  <r>
    <n v="37"/>
    <x v="0"/>
    <d v="1900-01-07T00:00:00"/>
    <x v="1"/>
    <s v="Travel"/>
    <s v="United Kingdom"/>
    <s v="Rural"/>
    <n v="978"/>
    <x v="0"/>
    <n v="10021"/>
    <b v="1"/>
    <b v="0"/>
    <b v="1"/>
  </r>
  <r>
    <n v="50"/>
    <x v="2"/>
    <d v="1900-01-07T00:00:00"/>
    <x v="2"/>
    <s v="Lifestlye"/>
    <s v="Australia"/>
    <s v="Rural"/>
    <n v="979"/>
    <x v="2"/>
    <n v="11500"/>
    <b v="1"/>
    <b v="0"/>
    <b v="0"/>
  </r>
  <r>
    <n v="37"/>
    <x v="1"/>
    <d v="1900-01-05T00:00:00"/>
    <x v="1"/>
    <s v="Sports"/>
    <s v="Australia"/>
    <s v="Urban"/>
    <n v="980"/>
    <x v="2"/>
    <n v="19034"/>
    <b v="1"/>
    <b v="0"/>
    <b v="0"/>
  </r>
  <r>
    <n v="29"/>
    <x v="0"/>
    <d v="1900-01-06T00:00:00"/>
    <x v="2"/>
    <s v="Sports"/>
    <s v="United Kingdom"/>
    <s v="Urban"/>
    <n v="981"/>
    <x v="1"/>
    <n v="19952"/>
    <b v="1"/>
    <b v="1"/>
    <b v="1"/>
  </r>
  <r>
    <n v="64"/>
    <x v="0"/>
    <d v="1900-01-05T00:00:00"/>
    <x v="1"/>
    <s v="Sports"/>
    <s v="United Kingdom"/>
    <s v="Urban"/>
    <n v="982"/>
    <x v="2"/>
    <n v="13641"/>
    <b v="1"/>
    <b v="0"/>
    <b v="1"/>
  </r>
  <r>
    <n v="18"/>
    <x v="1"/>
    <d v="1900-01-08T00:00:00"/>
    <x v="0"/>
    <s v="Sports"/>
    <s v="United Kingdom"/>
    <s v="Sub_Urban"/>
    <n v="983"/>
    <x v="2"/>
    <n v="15212"/>
    <b v="0"/>
    <b v="1"/>
    <b v="1"/>
  </r>
  <r>
    <n v="43"/>
    <x v="1"/>
    <d v="1900-01-02T00:00:00"/>
    <x v="0"/>
    <s v="Travel"/>
    <s v="United States"/>
    <s v="Sub_Urban"/>
    <n v="984"/>
    <x v="2"/>
    <n v="10191"/>
    <b v="1"/>
    <b v="0"/>
    <b v="0"/>
  </r>
  <r>
    <n v="31"/>
    <x v="0"/>
    <d v="1900-01-02T00:00:00"/>
    <x v="0"/>
    <s v="Travel"/>
    <s v="United Kingdom"/>
    <s v="Rural"/>
    <n v="985"/>
    <x v="0"/>
    <n v="18587"/>
    <b v="1"/>
    <b v="1"/>
    <b v="0"/>
  </r>
  <r>
    <n v="55"/>
    <x v="2"/>
    <d v="1900-01-02T00:00:00"/>
    <x v="2"/>
    <s v="Lifestlye"/>
    <s v="United States"/>
    <s v="Sub_Urban"/>
    <n v="986"/>
    <x v="0"/>
    <n v="17174"/>
    <b v="1"/>
    <b v="0"/>
    <b v="0"/>
  </r>
  <r>
    <n v="54"/>
    <x v="0"/>
    <d v="1900-01-02T00:00:00"/>
    <x v="2"/>
    <s v="Travel"/>
    <s v="Australia"/>
    <s v="Rural"/>
    <n v="987"/>
    <x v="1"/>
    <n v="15114"/>
    <b v="0"/>
    <b v="1"/>
    <b v="1"/>
  </r>
  <r>
    <n v="28"/>
    <x v="1"/>
    <d v="1900-01-08T00:00:00"/>
    <x v="1"/>
    <s v="Travel"/>
    <s v="Australia"/>
    <s v="Sub_Urban"/>
    <n v="988"/>
    <x v="0"/>
    <n v="14662"/>
    <b v="0"/>
    <b v="1"/>
    <b v="1"/>
  </r>
  <r>
    <n v="53"/>
    <x v="0"/>
    <d v="1900-01-03T00:00:00"/>
    <x v="1"/>
    <s v="Lifestlye"/>
    <s v="United Kingdom"/>
    <s v="Sub_Urban"/>
    <n v="989"/>
    <x v="1"/>
    <n v="14326"/>
    <b v="1"/>
    <b v="0"/>
    <b v="0"/>
  </r>
  <r>
    <n v="30"/>
    <x v="1"/>
    <d v="1900-01-06T00:00:00"/>
    <x v="0"/>
    <s v="Lifestlye"/>
    <s v="Australia"/>
    <s v="Sub_Urban"/>
    <n v="990"/>
    <x v="0"/>
    <n v="19065"/>
    <b v="0"/>
    <b v="0"/>
    <b v="1"/>
  </r>
  <r>
    <n v="60"/>
    <x v="1"/>
    <d v="1900-01-08T00:00:00"/>
    <x v="2"/>
    <s v="Lifestlye"/>
    <s v="Australia"/>
    <s v="Urban"/>
    <n v="991"/>
    <x v="1"/>
    <n v="14335"/>
    <b v="1"/>
    <b v="1"/>
    <b v="1"/>
  </r>
  <r>
    <n v="20"/>
    <x v="2"/>
    <d v="1900-01-06T00:00:00"/>
    <x v="1"/>
    <s v="Travel"/>
    <s v="Australia"/>
    <s v="Sub_Urban"/>
    <n v="992"/>
    <x v="0"/>
    <n v="18281"/>
    <b v="0"/>
    <b v="0"/>
    <b v="1"/>
  </r>
  <r>
    <n v="50"/>
    <x v="1"/>
    <d v="1900-01-08T00:00:00"/>
    <x v="2"/>
    <s v="Travel"/>
    <s v="Australia"/>
    <s v="Urban"/>
    <n v="993"/>
    <x v="0"/>
    <n v="18648"/>
    <b v="1"/>
    <b v="1"/>
    <b v="1"/>
  </r>
  <r>
    <n v="23"/>
    <x v="1"/>
    <d v="1900-01-02T00:00:00"/>
    <x v="2"/>
    <s v="Lifestlye"/>
    <s v="United States"/>
    <s v="Urban"/>
    <n v="994"/>
    <x v="1"/>
    <n v="19196"/>
    <b v="0"/>
    <b v="0"/>
    <b v="0"/>
  </r>
  <r>
    <n v="27"/>
    <x v="2"/>
    <d v="1900-01-03T00:00:00"/>
    <x v="0"/>
    <s v="Lifestlye"/>
    <s v="United States"/>
    <s v="Sub_Urban"/>
    <n v="995"/>
    <x v="2"/>
    <n v="15494"/>
    <b v="0"/>
    <b v="0"/>
    <b v="1"/>
  </r>
  <r>
    <n v="22"/>
    <x v="1"/>
    <d v="1900-01-07T00:00:00"/>
    <x v="0"/>
    <s v="Lifestlye"/>
    <s v="United Kingdom"/>
    <s v="Rural"/>
    <n v="996"/>
    <x v="2"/>
    <n v="18536"/>
    <b v="0"/>
    <b v="1"/>
    <b v="0"/>
  </r>
  <r>
    <n v="40"/>
    <x v="2"/>
    <d v="1900-01-05T00:00:00"/>
    <x v="2"/>
    <s v="Travel"/>
    <s v="United Kingdom"/>
    <s v="Rural"/>
    <n v="997"/>
    <x v="0"/>
    <n v="12711"/>
    <b v="1"/>
    <b v="0"/>
    <b v="0"/>
  </r>
  <r>
    <n v="27"/>
    <x v="2"/>
    <d v="1900-01-04T00:00:00"/>
    <x v="2"/>
    <s v="Travel"/>
    <s v="United Kingdom"/>
    <s v="Rural"/>
    <n v="998"/>
    <x v="1"/>
    <n v="17595"/>
    <b v="1"/>
    <b v="0"/>
    <b v="1"/>
  </r>
  <r>
    <n v="61"/>
    <x v="1"/>
    <d v="1900-01-03T00:00:00"/>
    <x v="2"/>
    <s v="Sports"/>
    <s v="Australia"/>
    <s v="Sub_Urban"/>
    <n v="999"/>
    <x v="2"/>
    <n v="16273"/>
    <b v="1"/>
    <b v="1"/>
    <b v="0"/>
  </r>
  <r>
    <n v="19"/>
    <x v="1"/>
    <d v="1900-01-07T00:00:00"/>
    <x v="2"/>
    <s v="Travel"/>
    <s v="Australia"/>
    <s v="Rural"/>
    <n v="1000"/>
    <x v="1"/>
    <n v="16284"/>
    <b v="0"/>
    <b v="1"/>
    <b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E78A27-1EB1-4263-BF91-3F5A0FE9F943}" name="PivotTable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3" firstHeaderRow="1" firstDataRow="1" firstDataCol="1"/>
  <pivotFields count="13">
    <pivotField showAll="0"/>
    <pivotField axis="axisRow" showAll="0">
      <items count="4">
        <item x="1"/>
        <item x="0"/>
        <item x="2"/>
        <item t="default"/>
      </items>
    </pivotField>
    <pivotField numFmtId="164" showAll="0"/>
    <pivotField axis="axisRow" showAll="0">
      <items count="4">
        <item x="1"/>
        <item x="0"/>
        <item x="2"/>
        <item t="default"/>
      </items>
    </pivotField>
    <pivotField showAll="0"/>
    <pivotField showAll="0"/>
    <pivotField showAll="0"/>
    <pivotField showAll="0"/>
    <pivotField axis="axisRow" showAll="0">
      <items count="4">
        <item x="2"/>
        <item x="0"/>
        <item x="1"/>
        <item t="default"/>
      </items>
    </pivotField>
    <pivotField dataField="1" showAll="0"/>
    <pivotField showAll="0"/>
    <pivotField showAll="0"/>
    <pivotField showAll="0"/>
  </pivotFields>
  <rowFields count="3">
    <field x="8"/>
    <field x="3"/>
    <field x="1"/>
  </rowFields>
  <rowItems count="40">
    <i>
      <x/>
    </i>
    <i r="1">
      <x/>
    </i>
    <i r="2">
      <x/>
    </i>
    <i r="2">
      <x v="1"/>
    </i>
    <i r="2">
      <x v="2"/>
    </i>
    <i r="1">
      <x v="1"/>
    </i>
    <i r="2">
      <x/>
    </i>
    <i r="2">
      <x v="1"/>
    </i>
    <i r="2">
      <x v="2"/>
    </i>
    <i r="1">
      <x v="2"/>
    </i>
    <i r="2">
      <x/>
    </i>
    <i r="2">
      <x v="1"/>
    </i>
    <i r="2">
      <x v="2"/>
    </i>
    <i>
      <x v="1"/>
    </i>
    <i r="1">
      <x/>
    </i>
    <i r="2">
      <x/>
    </i>
    <i r="2">
      <x v="1"/>
    </i>
    <i r="2">
      <x v="2"/>
    </i>
    <i r="1">
      <x v="1"/>
    </i>
    <i r="2">
      <x/>
    </i>
    <i r="2">
      <x v="1"/>
    </i>
    <i r="2">
      <x v="2"/>
    </i>
    <i r="1">
      <x v="2"/>
    </i>
    <i r="2">
      <x/>
    </i>
    <i r="2">
      <x v="1"/>
    </i>
    <i r="2">
      <x v="2"/>
    </i>
    <i>
      <x v="2"/>
    </i>
    <i r="1">
      <x/>
    </i>
    <i r="2">
      <x/>
    </i>
    <i r="2">
      <x v="1"/>
    </i>
    <i r="2">
      <x v="2"/>
    </i>
    <i r="1">
      <x v="1"/>
    </i>
    <i r="2">
      <x/>
    </i>
    <i r="2">
      <x v="1"/>
    </i>
    <i r="2">
      <x v="2"/>
    </i>
    <i r="1">
      <x v="2"/>
    </i>
    <i r="2">
      <x/>
    </i>
    <i r="2">
      <x v="1"/>
    </i>
    <i r="2">
      <x v="2"/>
    </i>
    <i t="grand">
      <x/>
    </i>
  </rowItems>
  <colItems count="1">
    <i/>
  </colItems>
  <dataFields count="1">
    <dataField name="Sum of incom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umn4" xr10:uid="{18844DDC-7C94-435A-AD0E-D919EED40D48}" sourceName="Column4">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umn4" xr10:uid="{9366ECE6-99B2-41B8-BCC3-6F6B948D5CEE}" cache="Slicer_Column4" caption="Column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367616-E161-4002-A111-BBDB7A71937C}" name="UserTable" displayName="UserTable" ref="A2:M1002" totalsRowShown="0">
  <autoFilter ref="A2:M1002" xr:uid="{6D367616-E161-4002-A111-BBDB7A71937C}">
    <filterColumn colId="1">
      <filters>
        <filter val="female"/>
      </filters>
    </filterColumn>
    <filterColumn colId="3">
      <filters>
        <filter val="Facebook"/>
      </filters>
    </filterColumn>
  </autoFilter>
  <sortState xmlns:xlrd2="http://schemas.microsoft.com/office/spreadsheetml/2017/richdata2" ref="A4:M990">
    <sortCondition descending="1" ref="H2:H1002"/>
  </sortState>
  <tableColumns count="13">
    <tableColumn id="1" xr3:uid="{E491E1D7-0C9C-4EDA-AFC5-4992F1642F6E}" name="Column1"/>
    <tableColumn id="2" xr3:uid="{B3E762F8-5F7F-4493-A5AB-3A0FB172DB43}" name="Column2"/>
    <tableColumn id="3" xr3:uid="{3FFB9DAF-73C1-4215-BBDD-3CCE95837BD5}" name="Column3" dataDxfId="17"/>
    <tableColumn id="4" xr3:uid="{8BEAB749-F2A0-4093-A0C5-F3FE4B1C936A}" name="Column4"/>
    <tableColumn id="5" xr3:uid="{B4CD4166-2713-44FD-9CCF-168C92881603}" name="Column5"/>
    <tableColumn id="6" xr3:uid="{F14D9FEC-A93A-4174-95EE-6F92920A44E8}" name="Column6"/>
    <tableColumn id="7" xr3:uid="{49A26027-512A-441C-8436-A9887D16B6B4}" name="Column7"/>
    <tableColumn id="8" xr3:uid="{8AB3A239-20A8-47DD-8345-81F6536C2C12}" name="Column8"/>
    <tableColumn id="9" xr3:uid="{7CC7CC15-8F73-435E-9598-1806A146A1A5}" name="Column9" dataDxfId="16"/>
    <tableColumn id="10" xr3:uid="{76137E21-1194-4D1B-A280-ACC852CAB438}" name="Column10" dataDxfId="15">
      <calculatedColumnFormula>IF(I3&gt;16000, "High", IF(I3&gt;=12000, IF(I3&lt;=15000, "Medium", "High"), "Low"))</calculatedColumnFormula>
    </tableColumn>
    <tableColumn id="11" xr3:uid="{153AD52B-9E99-4ACE-9CBA-C0A2B9DAB701}" name="Column11"/>
    <tableColumn id="12" xr3:uid="{753DF767-CFDC-4FBD-8E07-0B0846003BFD}" name="Column12"/>
    <tableColumn id="13" xr3:uid="{0907FFE4-8311-4D04-B62E-D277F0D8E59B}" name="Column1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FCF80-EB60-428C-8B1E-083BEA816480}">
  <dimension ref="A1:O1001"/>
  <sheetViews>
    <sheetView topLeftCell="A974" workbookViewId="0">
      <selection activeCell="O2" sqref="O2:O1001"/>
    </sheetView>
  </sheetViews>
  <sheetFormatPr defaultRowHeight="14.4" x14ac:dyDescent="0.3"/>
  <cols>
    <col min="3" max="3" width="8.88671875" style="1"/>
    <col min="9" max="9" width="8.88671875" style="2"/>
    <col min="13" max="13" width="15" customWidth="1"/>
    <col min="14" max="14" width="39.77734375" customWidth="1"/>
  </cols>
  <sheetData>
    <row r="1" spans="1:15" x14ac:dyDescent="0.3">
      <c r="A1" t="s">
        <v>0</v>
      </c>
      <c r="B1" t="s">
        <v>1</v>
      </c>
      <c r="C1" s="1" t="s">
        <v>2</v>
      </c>
      <c r="D1" t="s">
        <v>3</v>
      </c>
      <c r="E1" t="s">
        <v>4</v>
      </c>
      <c r="F1" t="s">
        <v>5</v>
      </c>
      <c r="G1" t="s">
        <v>6</v>
      </c>
      <c r="H1" t="s">
        <v>7</v>
      </c>
      <c r="I1" s="2" t="s">
        <v>8</v>
      </c>
      <c r="J1" t="s">
        <v>9</v>
      </c>
      <c r="K1" t="s">
        <v>10</v>
      </c>
      <c r="L1" t="s">
        <v>11</v>
      </c>
      <c r="M1" t="str">
        <f>UPPER(D1)</f>
        <v>PLATFORM</v>
      </c>
      <c r="N1" t="str">
        <f>_xlfn.CONCAT(G1,"-",M1)</f>
        <v>demographics-PLATFORM</v>
      </c>
      <c r="O1" t="s">
        <v>8</v>
      </c>
    </row>
    <row r="2" spans="1:15" x14ac:dyDescent="0.3">
      <c r="A2">
        <v>56</v>
      </c>
      <c r="B2" t="s">
        <v>12</v>
      </c>
      <c r="C2" s="1">
        <v>3</v>
      </c>
      <c r="D2" t="s">
        <v>13</v>
      </c>
      <c r="E2" t="s">
        <v>14</v>
      </c>
      <c r="F2" t="s">
        <v>15</v>
      </c>
      <c r="G2" t="s">
        <v>16</v>
      </c>
      <c r="H2" t="s">
        <v>17</v>
      </c>
      <c r="I2" s="2">
        <v>19774</v>
      </c>
      <c r="J2" t="b">
        <v>1</v>
      </c>
      <c r="K2" t="b">
        <v>0</v>
      </c>
      <c r="L2" t="b">
        <v>0</v>
      </c>
      <c r="M2" t="str">
        <f t="shared" ref="M2:M65" si="0">UPPER(D2)</f>
        <v>INSTAGRAM</v>
      </c>
      <c r="N2" t="str">
        <f t="shared" ref="N2:N65" si="1">_xlfn.CONCAT(G2,"-",M2)</f>
        <v>Urban-INSTAGRAM</v>
      </c>
      <c r="O2">
        <v>19774</v>
      </c>
    </row>
    <row r="3" spans="1:15" x14ac:dyDescent="0.3">
      <c r="A3">
        <v>46</v>
      </c>
      <c r="B3" t="s">
        <v>18</v>
      </c>
      <c r="C3" s="1">
        <v>2</v>
      </c>
      <c r="D3" t="s">
        <v>19</v>
      </c>
      <c r="E3" t="s">
        <v>20</v>
      </c>
      <c r="F3" t="s">
        <v>15</v>
      </c>
      <c r="G3" t="s">
        <v>16</v>
      </c>
      <c r="H3" t="s">
        <v>21</v>
      </c>
      <c r="I3" s="2">
        <v>10564</v>
      </c>
      <c r="J3" t="b">
        <v>1</v>
      </c>
      <c r="K3" t="b">
        <v>1</v>
      </c>
      <c r="L3" t="b">
        <v>1</v>
      </c>
      <c r="M3" t="str">
        <f t="shared" si="0"/>
        <v>FACEBOOK</v>
      </c>
      <c r="N3" t="str">
        <f t="shared" si="1"/>
        <v>Urban-FACEBOOK</v>
      </c>
      <c r="O3">
        <v>10564</v>
      </c>
    </row>
    <row r="4" spans="1:15" x14ac:dyDescent="0.3">
      <c r="A4">
        <v>32</v>
      </c>
      <c r="B4" t="s">
        <v>12</v>
      </c>
      <c r="C4" s="1">
        <v>8</v>
      </c>
      <c r="D4" t="s">
        <v>13</v>
      </c>
      <c r="E4" t="s">
        <v>14</v>
      </c>
      <c r="F4" t="s">
        <v>22</v>
      </c>
      <c r="G4" t="s">
        <v>23</v>
      </c>
      <c r="H4" t="s">
        <v>24</v>
      </c>
      <c r="I4" s="2">
        <v>13258</v>
      </c>
      <c r="J4" t="b">
        <v>0</v>
      </c>
      <c r="K4" t="b">
        <v>0</v>
      </c>
      <c r="L4" t="b">
        <v>0</v>
      </c>
      <c r="M4" t="str">
        <f t="shared" si="0"/>
        <v>INSTAGRAM</v>
      </c>
      <c r="N4" t="str">
        <f t="shared" si="1"/>
        <v>Sub_Urban-INSTAGRAM</v>
      </c>
      <c r="O4">
        <v>13258</v>
      </c>
    </row>
    <row r="5" spans="1:15" x14ac:dyDescent="0.3">
      <c r="A5">
        <v>60</v>
      </c>
      <c r="B5" t="s">
        <v>25</v>
      </c>
      <c r="C5" s="1">
        <v>5</v>
      </c>
      <c r="D5" t="s">
        <v>13</v>
      </c>
      <c r="E5" t="s">
        <v>20</v>
      </c>
      <c r="F5" t="s">
        <v>15</v>
      </c>
      <c r="G5" t="s">
        <v>16</v>
      </c>
      <c r="H5" t="s">
        <v>21</v>
      </c>
      <c r="I5" s="2">
        <v>12500</v>
      </c>
      <c r="J5" t="b">
        <v>0</v>
      </c>
      <c r="K5" t="b">
        <v>1</v>
      </c>
      <c r="L5" t="b">
        <v>0</v>
      </c>
      <c r="M5" t="str">
        <f t="shared" si="0"/>
        <v>INSTAGRAM</v>
      </c>
      <c r="N5" t="str">
        <f t="shared" si="1"/>
        <v>Urban-INSTAGRAM</v>
      </c>
      <c r="O5">
        <v>12500</v>
      </c>
    </row>
    <row r="6" spans="1:15" x14ac:dyDescent="0.3">
      <c r="A6">
        <v>25</v>
      </c>
      <c r="B6" t="s">
        <v>12</v>
      </c>
      <c r="C6" s="1">
        <v>1</v>
      </c>
      <c r="D6" t="s">
        <v>13</v>
      </c>
      <c r="E6" t="s">
        <v>26</v>
      </c>
      <c r="F6" t="s">
        <v>22</v>
      </c>
      <c r="G6" t="s">
        <v>16</v>
      </c>
      <c r="H6" t="s">
        <v>17</v>
      </c>
      <c r="I6" s="2">
        <v>14566</v>
      </c>
      <c r="J6" t="b">
        <v>0</v>
      </c>
      <c r="K6" t="b">
        <v>1</v>
      </c>
      <c r="L6" t="b">
        <v>1</v>
      </c>
      <c r="M6" t="str">
        <f t="shared" si="0"/>
        <v>INSTAGRAM</v>
      </c>
      <c r="N6" t="str">
        <f t="shared" si="1"/>
        <v>Urban-INSTAGRAM</v>
      </c>
      <c r="O6">
        <v>14566</v>
      </c>
    </row>
    <row r="7" spans="1:15" x14ac:dyDescent="0.3">
      <c r="A7">
        <v>38</v>
      </c>
      <c r="B7" t="s">
        <v>12</v>
      </c>
      <c r="C7" s="1">
        <v>3</v>
      </c>
      <c r="D7" t="s">
        <v>19</v>
      </c>
      <c r="E7" t="s">
        <v>20</v>
      </c>
      <c r="F7" t="s">
        <v>27</v>
      </c>
      <c r="G7" t="s">
        <v>16</v>
      </c>
      <c r="H7" t="s">
        <v>24</v>
      </c>
      <c r="I7" s="2">
        <v>19179</v>
      </c>
      <c r="J7" t="b">
        <v>1</v>
      </c>
      <c r="K7" t="b">
        <v>1</v>
      </c>
      <c r="L7" t="b">
        <v>1</v>
      </c>
      <c r="M7" t="str">
        <f t="shared" si="0"/>
        <v>FACEBOOK</v>
      </c>
      <c r="N7" t="str">
        <f t="shared" si="1"/>
        <v>Urban-FACEBOOK</v>
      </c>
      <c r="O7">
        <v>19179</v>
      </c>
    </row>
    <row r="8" spans="1:15" x14ac:dyDescent="0.3">
      <c r="A8">
        <v>56</v>
      </c>
      <c r="B8" t="s">
        <v>12</v>
      </c>
      <c r="C8" s="1">
        <v>8</v>
      </c>
      <c r="D8" t="s">
        <v>28</v>
      </c>
      <c r="E8" t="s">
        <v>14</v>
      </c>
      <c r="F8" t="s">
        <v>27</v>
      </c>
      <c r="G8" t="s">
        <v>16</v>
      </c>
      <c r="H8" t="s">
        <v>21</v>
      </c>
      <c r="I8" s="2">
        <v>16881</v>
      </c>
      <c r="J8" t="b">
        <v>1</v>
      </c>
      <c r="K8" t="b">
        <v>1</v>
      </c>
      <c r="L8" t="b">
        <v>1</v>
      </c>
      <c r="M8" t="str">
        <f t="shared" si="0"/>
        <v>YOUTUBE</v>
      </c>
      <c r="N8" t="str">
        <f t="shared" si="1"/>
        <v>Urban-YOUTUBE</v>
      </c>
      <c r="O8">
        <v>16881</v>
      </c>
    </row>
    <row r="9" spans="1:15" x14ac:dyDescent="0.3">
      <c r="A9">
        <v>36</v>
      </c>
      <c r="B9" t="s">
        <v>12</v>
      </c>
      <c r="C9" s="1">
        <v>4</v>
      </c>
      <c r="D9" t="s">
        <v>13</v>
      </c>
      <c r="E9" t="s">
        <v>14</v>
      </c>
      <c r="F9" t="s">
        <v>22</v>
      </c>
      <c r="G9" t="s">
        <v>16</v>
      </c>
      <c r="H9" t="s">
        <v>24</v>
      </c>
      <c r="I9" s="2">
        <v>13636</v>
      </c>
      <c r="J9" t="b">
        <v>1</v>
      </c>
      <c r="K9" t="b">
        <v>0</v>
      </c>
      <c r="L9" t="b">
        <v>1</v>
      </c>
      <c r="M9" t="str">
        <f t="shared" si="0"/>
        <v>INSTAGRAM</v>
      </c>
      <c r="N9" t="str">
        <f t="shared" si="1"/>
        <v>Urban-INSTAGRAM</v>
      </c>
      <c r="O9">
        <v>13636</v>
      </c>
    </row>
    <row r="10" spans="1:15" x14ac:dyDescent="0.3">
      <c r="A10">
        <v>40</v>
      </c>
      <c r="B10" t="s">
        <v>25</v>
      </c>
      <c r="C10" s="1">
        <v>7</v>
      </c>
      <c r="D10" t="s">
        <v>28</v>
      </c>
      <c r="E10" t="s">
        <v>26</v>
      </c>
      <c r="F10" t="s">
        <v>22</v>
      </c>
      <c r="G10" t="s">
        <v>23</v>
      </c>
      <c r="H10" t="s">
        <v>24</v>
      </c>
      <c r="I10" s="2">
        <v>16030</v>
      </c>
      <c r="J10" t="b">
        <v>0</v>
      </c>
      <c r="K10" t="b">
        <v>0</v>
      </c>
      <c r="L10" t="b">
        <v>1</v>
      </c>
      <c r="M10" t="str">
        <f t="shared" si="0"/>
        <v>YOUTUBE</v>
      </c>
      <c r="N10" t="str">
        <f t="shared" si="1"/>
        <v>Sub_Urban-YOUTUBE</v>
      </c>
      <c r="O10">
        <v>16030</v>
      </c>
    </row>
    <row r="11" spans="1:15" x14ac:dyDescent="0.3">
      <c r="A11">
        <v>28</v>
      </c>
      <c r="B11" t="s">
        <v>25</v>
      </c>
      <c r="C11" s="1">
        <v>2</v>
      </c>
      <c r="D11" t="s">
        <v>13</v>
      </c>
      <c r="E11" t="s">
        <v>14</v>
      </c>
      <c r="F11" t="s">
        <v>22</v>
      </c>
      <c r="G11" t="s">
        <v>23</v>
      </c>
      <c r="H11" t="s">
        <v>24</v>
      </c>
      <c r="I11" s="2">
        <v>10223</v>
      </c>
      <c r="J11" t="b">
        <v>1</v>
      </c>
      <c r="K11" t="b">
        <v>0</v>
      </c>
      <c r="L11" t="b">
        <v>1</v>
      </c>
      <c r="M11" t="str">
        <f t="shared" si="0"/>
        <v>INSTAGRAM</v>
      </c>
      <c r="N11" t="str">
        <f t="shared" si="1"/>
        <v>Sub_Urban-INSTAGRAM</v>
      </c>
      <c r="O11">
        <v>10223</v>
      </c>
    </row>
    <row r="12" spans="1:15" x14ac:dyDescent="0.3">
      <c r="A12">
        <v>28</v>
      </c>
      <c r="B12" t="s">
        <v>18</v>
      </c>
      <c r="C12" s="1">
        <v>7</v>
      </c>
      <c r="D12" t="s">
        <v>28</v>
      </c>
      <c r="E12" t="s">
        <v>26</v>
      </c>
      <c r="F12" t="s">
        <v>15</v>
      </c>
      <c r="G12" t="s">
        <v>16</v>
      </c>
      <c r="H12" t="s">
        <v>21</v>
      </c>
      <c r="I12" s="2">
        <v>16297</v>
      </c>
      <c r="J12" t="b">
        <v>1</v>
      </c>
      <c r="K12" t="b">
        <v>1</v>
      </c>
      <c r="L12" t="b">
        <v>0</v>
      </c>
      <c r="M12" t="str">
        <f t="shared" si="0"/>
        <v>YOUTUBE</v>
      </c>
      <c r="N12" t="str">
        <f t="shared" si="1"/>
        <v>Urban-YOUTUBE</v>
      </c>
      <c r="O12">
        <v>16297</v>
      </c>
    </row>
    <row r="13" spans="1:15" x14ac:dyDescent="0.3">
      <c r="A13">
        <v>41</v>
      </c>
      <c r="B13" t="s">
        <v>25</v>
      </c>
      <c r="C13" s="1">
        <v>5</v>
      </c>
      <c r="D13" t="s">
        <v>19</v>
      </c>
      <c r="E13" t="s">
        <v>14</v>
      </c>
      <c r="F13" t="s">
        <v>27</v>
      </c>
      <c r="G13" t="s">
        <v>23</v>
      </c>
      <c r="H13" t="s">
        <v>24</v>
      </c>
      <c r="I13" s="2">
        <v>10350</v>
      </c>
      <c r="J13" t="b">
        <v>0</v>
      </c>
      <c r="K13" t="b">
        <v>0</v>
      </c>
      <c r="L13" t="b">
        <v>0</v>
      </c>
      <c r="M13" t="str">
        <f t="shared" si="0"/>
        <v>FACEBOOK</v>
      </c>
      <c r="N13" t="str">
        <f t="shared" si="1"/>
        <v>Sub_Urban-FACEBOOK</v>
      </c>
      <c r="O13">
        <v>10350</v>
      </c>
    </row>
    <row r="14" spans="1:15" x14ac:dyDescent="0.3">
      <c r="A14">
        <v>53</v>
      </c>
      <c r="B14" t="s">
        <v>25</v>
      </c>
      <c r="C14" s="1">
        <v>5</v>
      </c>
      <c r="D14" t="s">
        <v>19</v>
      </c>
      <c r="E14" t="s">
        <v>14</v>
      </c>
      <c r="F14" t="s">
        <v>22</v>
      </c>
      <c r="G14" t="s">
        <v>29</v>
      </c>
      <c r="H14" t="s">
        <v>21</v>
      </c>
      <c r="I14" s="2">
        <v>17314</v>
      </c>
      <c r="J14" t="b">
        <v>0</v>
      </c>
      <c r="K14" t="b">
        <v>1</v>
      </c>
      <c r="L14" t="b">
        <v>1</v>
      </c>
      <c r="M14" t="str">
        <f t="shared" si="0"/>
        <v>FACEBOOK</v>
      </c>
      <c r="N14" t="str">
        <f t="shared" si="1"/>
        <v>Rural-FACEBOOK</v>
      </c>
      <c r="O14">
        <v>17314</v>
      </c>
    </row>
    <row r="15" spans="1:15" x14ac:dyDescent="0.3">
      <c r="A15">
        <v>57</v>
      </c>
      <c r="B15" t="s">
        <v>18</v>
      </c>
      <c r="C15" s="1">
        <v>6</v>
      </c>
      <c r="D15" t="s">
        <v>13</v>
      </c>
      <c r="E15" t="s">
        <v>26</v>
      </c>
      <c r="F15" t="s">
        <v>15</v>
      </c>
      <c r="G15" t="s">
        <v>16</v>
      </c>
      <c r="H15" t="s">
        <v>17</v>
      </c>
      <c r="I15" s="2">
        <v>11928</v>
      </c>
      <c r="J15" t="b">
        <v>0</v>
      </c>
      <c r="K15" t="b">
        <v>1</v>
      </c>
      <c r="L15" t="b">
        <v>0</v>
      </c>
      <c r="M15" t="str">
        <f t="shared" si="0"/>
        <v>INSTAGRAM</v>
      </c>
      <c r="N15" t="str">
        <f t="shared" si="1"/>
        <v>Urban-INSTAGRAM</v>
      </c>
      <c r="O15">
        <v>11928</v>
      </c>
    </row>
    <row r="16" spans="1:15" x14ac:dyDescent="0.3">
      <c r="A16">
        <v>41</v>
      </c>
      <c r="B16" t="s">
        <v>25</v>
      </c>
      <c r="C16" s="1">
        <v>9</v>
      </c>
      <c r="D16" t="s">
        <v>28</v>
      </c>
      <c r="E16" t="s">
        <v>20</v>
      </c>
      <c r="F16" t="s">
        <v>27</v>
      </c>
      <c r="G16" t="s">
        <v>29</v>
      </c>
      <c r="H16" t="s">
        <v>21</v>
      </c>
      <c r="I16" s="2">
        <v>17743</v>
      </c>
      <c r="J16" t="b">
        <v>1</v>
      </c>
      <c r="K16" t="b">
        <v>1</v>
      </c>
      <c r="L16" t="b">
        <v>0</v>
      </c>
      <c r="M16" t="str">
        <f t="shared" si="0"/>
        <v>YOUTUBE</v>
      </c>
      <c r="N16" t="str">
        <f t="shared" si="1"/>
        <v>Rural-YOUTUBE</v>
      </c>
      <c r="O16">
        <v>17743</v>
      </c>
    </row>
    <row r="17" spans="1:15" x14ac:dyDescent="0.3">
      <c r="A17">
        <v>20</v>
      </c>
      <c r="B17" t="s">
        <v>12</v>
      </c>
      <c r="C17" s="1">
        <v>6</v>
      </c>
      <c r="D17" t="s">
        <v>19</v>
      </c>
      <c r="E17" t="s">
        <v>14</v>
      </c>
      <c r="F17" t="s">
        <v>15</v>
      </c>
      <c r="G17" t="s">
        <v>23</v>
      </c>
      <c r="H17" t="s">
        <v>17</v>
      </c>
      <c r="I17" s="2">
        <v>18540</v>
      </c>
      <c r="J17" t="b">
        <v>1</v>
      </c>
      <c r="K17" t="b">
        <v>1</v>
      </c>
      <c r="L17" t="b">
        <v>0</v>
      </c>
      <c r="M17" t="str">
        <f t="shared" si="0"/>
        <v>FACEBOOK</v>
      </c>
      <c r="N17" t="str">
        <f t="shared" si="1"/>
        <v>Sub_Urban-FACEBOOK</v>
      </c>
      <c r="O17">
        <v>18540</v>
      </c>
    </row>
    <row r="18" spans="1:15" x14ac:dyDescent="0.3">
      <c r="A18">
        <v>39</v>
      </c>
      <c r="B18" t="s">
        <v>12</v>
      </c>
      <c r="C18" s="1">
        <v>8</v>
      </c>
      <c r="D18" t="s">
        <v>13</v>
      </c>
      <c r="E18" t="s">
        <v>20</v>
      </c>
      <c r="F18" t="s">
        <v>27</v>
      </c>
      <c r="G18" t="s">
        <v>23</v>
      </c>
      <c r="H18" t="s">
        <v>21</v>
      </c>
      <c r="I18" s="2">
        <v>14732</v>
      </c>
      <c r="J18" t="b">
        <v>1</v>
      </c>
      <c r="K18" t="b">
        <v>1</v>
      </c>
      <c r="L18" t="b">
        <v>0</v>
      </c>
      <c r="M18" t="str">
        <f t="shared" si="0"/>
        <v>INSTAGRAM</v>
      </c>
      <c r="N18" t="str">
        <f t="shared" si="1"/>
        <v>Sub_Urban-INSTAGRAM</v>
      </c>
      <c r="O18">
        <v>14732</v>
      </c>
    </row>
    <row r="19" spans="1:15" x14ac:dyDescent="0.3">
      <c r="A19">
        <v>19</v>
      </c>
      <c r="B19" t="s">
        <v>18</v>
      </c>
      <c r="C19" s="1">
        <v>7</v>
      </c>
      <c r="D19" t="s">
        <v>13</v>
      </c>
      <c r="E19" t="s">
        <v>14</v>
      </c>
      <c r="F19" t="s">
        <v>15</v>
      </c>
      <c r="G19" t="s">
        <v>29</v>
      </c>
      <c r="H19" t="s">
        <v>24</v>
      </c>
      <c r="I19" s="2">
        <v>11017</v>
      </c>
      <c r="J19" t="b">
        <v>0</v>
      </c>
      <c r="K19" t="b">
        <v>1</v>
      </c>
      <c r="L19" t="b">
        <v>1</v>
      </c>
      <c r="M19" t="str">
        <f t="shared" si="0"/>
        <v>INSTAGRAM</v>
      </c>
      <c r="N19" t="str">
        <f t="shared" si="1"/>
        <v>Rural-INSTAGRAM</v>
      </c>
      <c r="O19">
        <v>11017</v>
      </c>
    </row>
    <row r="20" spans="1:15" x14ac:dyDescent="0.3">
      <c r="A20">
        <v>41</v>
      </c>
      <c r="B20" t="s">
        <v>18</v>
      </c>
      <c r="C20" s="1">
        <v>9</v>
      </c>
      <c r="D20" t="s">
        <v>19</v>
      </c>
      <c r="E20" t="s">
        <v>14</v>
      </c>
      <c r="F20" t="s">
        <v>27</v>
      </c>
      <c r="G20" t="s">
        <v>23</v>
      </c>
      <c r="H20" t="s">
        <v>21</v>
      </c>
      <c r="I20" s="2">
        <v>12226</v>
      </c>
      <c r="J20" t="b">
        <v>0</v>
      </c>
      <c r="K20" t="b">
        <v>0</v>
      </c>
      <c r="L20" t="b">
        <v>0</v>
      </c>
      <c r="M20" t="str">
        <f t="shared" si="0"/>
        <v>FACEBOOK</v>
      </c>
      <c r="N20" t="str">
        <f t="shared" si="1"/>
        <v>Sub_Urban-FACEBOOK</v>
      </c>
      <c r="O20">
        <v>12226</v>
      </c>
    </row>
    <row r="21" spans="1:15" x14ac:dyDescent="0.3">
      <c r="A21">
        <v>61</v>
      </c>
      <c r="B21" t="s">
        <v>18</v>
      </c>
      <c r="C21" s="1">
        <v>4</v>
      </c>
      <c r="D21" t="s">
        <v>19</v>
      </c>
      <c r="E21" t="s">
        <v>14</v>
      </c>
      <c r="F21" t="s">
        <v>27</v>
      </c>
      <c r="G21" t="s">
        <v>16</v>
      </c>
      <c r="H21" t="s">
        <v>24</v>
      </c>
      <c r="I21" s="2">
        <v>17206</v>
      </c>
      <c r="J21" t="b">
        <v>0</v>
      </c>
      <c r="K21" t="b">
        <v>0</v>
      </c>
      <c r="L21" t="b">
        <v>0</v>
      </c>
      <c r="M21" t="str">
        <f t="shared" si="0"/>
        <v>FACEBOOK</v>
      </c>
      <c r="N21" t="str">
        <f t="shared" si="1"/>
        <v>Urban-FACEBOOK</v>
      </c>
      <c r="O21">
        <v>17206</v>
      </c>
    </row>
    <row r="22" spans="1:15" x14ac:dyDescent="0.3">
      <c r="A22">
        <v>47</v>
      </c>
      <c r="B22" t="s">
        <v>12</v>
      </c>
      <c r="C22" s="1">
        <v>2</v>
      </c>
      <c r="D22" t="s">
        <v>13</v>
      </c>
      <c r="E22" t="s">
        <v>14</v>
      </c>
      <c r="F22" t="s">
        <v>15</v>
      </c>
      <c r="G22" t="s">
        <v>29</v>
      </c>
      <c r="H22" t="s">
        <v>17</v>
      </c>
      <c r="I22" s="2">
        <v>17170</v>
      </c>
      <c r="J22" t="b">
        <v>0</v>
      </c>
      <c r="K22" t="b">
        <v>0</v>
      </c>
      <c r="L22" t="b">
        <v>1</v>
      </c>
      <c r="M22" t="str">
        <f t="shared" si="0"/>
        <v>INSTAGRAM</v>
      </c>
      <c r="N22" t="str">
        <f t="shared" si="1"/>
        <v>Rural-INSTAGRAM</v>
      </c>
      <c r="O22">
        <v>17170</v>
      </c>
    </row>
    <row r="23" spans="1:15" x14ac:dyDescent="0.3">
      <c r="A23">
        <v>55</v>
      </c>
      <c r="B23" t="s">
        <v>25</v>
      </c>
      <c r="C23" s="1">
        <v>7</v>
      </c>
      <c r="D23" t="s">
        <v>28</v>
      </c>
      <c r="E23" t="s">
        <v>20</v>
      </c>
      <c r="F23" t="s">
        <v>22</v>
      </c>
      <c r="G23" t="s">
        <v>16</v>
      </c>
      <c r="H23" t="s">
        <v>21</v>
      </c>
      <c r="I23" s="2">
        <v>16207</v>
      </c>
      <c r="J23" t="b">
        <v>1</v>
      </c>
      <c r="K23" t="b">
        <v>0</v>
      </c>
      <c r="L23" t="b">
        <v>1</v>
      </c>
      <c r="M23" t="str">
        <f t="shared" si="0"/>
        <v>YOUTUBE</v>
      </c>
      <c r="N23" t="str">
        <f t="shared" si="1"/>
        <v>Urban-YOUTUBE</v>
      </c>
      <c r="O23">
        <v>16207</v>
      </c>
    </row>
    <row r="24" spans="1:15" x14ac:dyDescent="0.3">
      <c r="A24">
        <v>19</v>
      </c>
      <c r="B24" t="s">
        <v>12</v>
      </c>
      <c r="C24" s="1">
        <v>6</v>
      </c>
      <c r="D24" t="s">
        <v>28</v>
      </c>
      <c r="E24" t="s">
        <v>20</v>
      </c>
      <c r="F24" t="s">
        <v>27</v>
      </c>
      <c r="G24" t="s">
        <v>29</v>
      </c>
      <c r="H24" t="s">
        <v>24</v>
      </c>
      <c r="I24" s="2">
        <v>12419</v>
      </c>
      <c r="J24" t="b">
        <v>1</v>
      </c>
      <c r="K24" t="b">
        <v>1</v>
      </c>
      <c r="L24" t="b">
        <v>1</v>
      </c>
      <c r="M24" t="str">
        <f t="shared" si="0"/>
        <v>YOUTUBE</v>
      </c>
      <c r="N24" t="str">
        <f t="shared" si="1"/>
        <v>Rural-YOUTUBE</v>
      </c>
      <c r="O24">
        <v>12419</v>
      </c>
    </row>
    <row r="25" spans="1:15" x14ac:dyDescent="0.3">
      <c r="A25">
        <v>38</v>
      </c>
      <c r="B25" t="s">
        <v>18</v>
      </c>
      <c r="C25" s="1">
        <v>1</v>
      </c>
      <c r="D25" t="s">
        <v>28</v>
      </c>
      <c r="E25" t="s">
        <v>14</v>
      </c>
      <c r="F25" t="s">
        <v>22</v>
      </c>
      <c r="G25" t="s">
        <v>23</v>
      </c>
      <c r="H25" t="s">
        <v>17</v>
      </c>
      <c r="I25" s="2">
        <v>16240</v>
      </c>
      <c r="J25" t="b">
        <v>1</v>
      </c>
      <c r="K25" t="b">
        <v>1</v>
      </c>
      <c r="L25" t="b">
        <v>1</v>
      </c>
      <c r="M25" t="str">
        <f t="shared" si="0"/>
        <v>YOUTUBE</v>
      </c>
      <c r="N25" t="str">
        <f t="shared" si="1"/>
        <v>Sub_Urban-YOUTUBE</v>
      </c>
      <c r="O25">
        <v>16240</v>
      </c>
    </row>
    <row r="26" spans="1:15" x14ac:dyDescent="0.3">
      <c r="A26">
        <v>50</v>
      </c>
      <c r="B26" t="s">
        <v>25</v>
      </c>
      <c r="C26" s="1">
        <v>9</v>
      </c>
      <c r="D26" t="s">
        <v>13</v>
      </c>
      <c r="E26" t="s">
        <v>14</v>
      </c>
      <c r="F26" t="s">
        <v>15</v>
      </c>
      <c r="G26" t="s">
        <v>29</v>
      </c>
      <c r="H26" t="s">
        <v>17</v>
      </c>
      <c r="I26" s="2">
        <v>11893</v>
      </c>
      <c r="J26" t="b">
        <v>1</v>
      </c>
      <c r="K26" t="b">
        <v>0</v>
      </c>
      <c r="L26" t="b">
        <v>0</v>
      </c>
      <c r="M26" t="str">
        <f t="shared" si="0"/>
        <v>INSTAGRAM</v>
      </c>
      <c r="N26" t="str">
        <f t="shared" si="1"/>
        <v>Rural-INSTAGRAM</v>
      </c>
      <c r="O26">
        <v>11893</v>
      </c>
    </row>
    <row r="27" spans="1:15" x14ac:dyDescent="0.3">
      <c r="A27">
        <v>29</v>
      </c>
      <c r="B27" t="s">
        <v>25</v>
      </c>
      <c r="C27" s="1">
        <v>9</v>
      </c>
      <c r="D27" t="s">
        <v>19</v>
      </c>
      <c r="E27" t="s">
        <v>20</v>
      </c>
      <c r="F27" t="s">
        <v>22</v>
      </c>
      <c r="G27" t="s">
        <v>29</v>
      </c>
      <c r="H27" t="s">
        <v>21</v>
      </c>
      <c r="I27" s="2">
        <v>15322</v>
      </c>
      <c r="J27" t="b">
        <v>1</v>
      </c>
      <c r="K27" t="b">
        <v>0</v>
      </c>
      <c r="L27" t="b">
        <v>1</v>
      </c>
      <c r="M27" t="str">
        <f t="shared" si="0"/>
        <v>FACEBOOK</v>
      </c>
      <c r="N27" t="str">
        <f t="shared" si="1"/>
        <v>Rural-FACEBOOK</v>
      </c>
      <c r="O27">
        <v>15322</v>
      </c>
    </row>
    <row r="28" spans="1:15" x14ac:dyDescent="0.3">
      <c r="A28">
        <v>39</v>
      </c>
      <c r="B28" t="s">
        <v>12</v>
      </c>
      <c r="C28" s="1">
        <v>2</v>
      </c>
      <c r="D28" t="s">
        <v>13</v>
      </c>
      <c r="E28" t="s">
        <v>26</v>
      </c>
      <c r="F28" t="s">
        <v>22</v>
      </c>
      <c r="G28" t="s">
        <v>16</v>
      </c>
      <c r="H28" t="s">
        <v>17</v>
      </c>
      <c r="I28" s="2">
        <v>17718</v>
      </c>
      <c r="J28" t="b">
        <v>1</v>
      </c>
      <c r="K28" t="b">
        <v>0</v>
      </c>
      <c r="L28" t="b">
        <v>0</v>
      </c>
      <c r="M28" t="str">
        <f t="shared" si="0"/>
        <v>INSTAGRAM</v>
      </c>
      <c r="N28" t="str">
        <f t="shared" si="1"/>
        <v>Urban-INSTAGRAM</v>
      </c>
      <c r="O28">
        <v>17718</v>
      </c>
    </row>
    <row r="29" spans="1:15" x14ac:dyDescent="0.3">
      <c r="A29">
        <v>61</v>
      </c>
      <c r="B29" t="s">
        <v>18</v>
      </c>
      <c r="C29" s="1">
        <v>3</v>
      </c>
      <c r="D29" t="s">
        <v>19</v>
      </c>
      <c r="E29" t="s">
        <v>26</v>
      </c>
      <c r="F29" t="s">
        <v>22</v>
      </c>
      <c r="G29" t="s">
        <v>23</v>
      </c>
      <c r="H29" t="s">
        <v>24</v>
      </c>
      <c r="I29" s="2">
        <v>16878</v>
      </c>
      <c r="J29" t="b">
        <v>1</v>
      </c>
      <c r="K29" t="b">
        <v>0</v>
      </c>
      <c r="L29" t="b">
        <v>0</v>
      </c>
      <c r="M29" t="str">
        <f t="shared" si="0"/>
        <v>FACEBOOK</v>
      </c>
      <c r="N29" t="str">
        <f t="shared" si="1"/>
        <v>Sub_Urban-FACEBOOK</v>
      </c>
      <c r="O29">
        <v>16878</v>
      </c>
    </row>
    <row r="30" spans="1:15" x14ac:dyDescent="0.3">
      <c r="A30">
        <v>42</v>
      </c>
      <c r="B30" t="s">
        <v>12</v>
      </c>
      <c r="C30" s="1">
        <v>5</v>
      </c>
      <c r="D30" t="s">
        <v>28</v>
      </c>
      <c r="E30" t="s">
        <v>20</v>
      </c>
      <c r="F30" t="s">
        <v>22</v>
      </c>
      <c r="G30" t="s">
        <v>16</v>
      </c>
      <c r="H30" t="s">
        <v>17</v>
      </c>
      <c r="I30" s="2">
        <v>11125</v>
      </c>
      <c r="J30" t="b">
        <v>1</v>
      </c>
      <c r="K30" t="b">
        <v>0</v>
      </c>
      <c r="L30" t="b">
        <v>1</v>
      </c>
      <c r="M30" t="str">
        <f t="shared" si="0"/>
        <v>YOUTUBE</v>
      </c>
      <c r="N30" t="str">
        <f t="shared" si="1"/>
        <v>Urban-YOUTUBE</v>
      </c>
      <c r="O30">
        <v>11125</v>
      </c>
    </row>
    <row r="31" spans="1:15" x14ac:dyDescent="0.3">
      <c r="A31">
        <v>44</v>
      </c>
      <c r="B31" t="s">
        <v>25</v>
      </c>
      <c r="C31" s="1">
        <v>5</v>
      </c>
      <c r="D31" t="s">
        <v>28</v>
      </c>
      <c r="E31" t="s">
        <v>14</v>
      </c>
      <c r="F31" t="s">
        <v>22</v>
      </c>
      <c r="G31" t="s">
        <v>23</v>
      </c>
      <c r="H31" t="s">
        <v>17</v>
      </c>
      <c r="I31" s="2">
        <v>13117</v>
      </c>
      <c r="J31" t="b">
        <v>0</v>
      </c>
      <c r="K31" t="b">
        <v>0</v>
      </c>
      <c r="L31" t="b">
        <v>1</v>
      </c>
      <c r="M31" t="str">
        <f t="shared" si="0"/>
        <v>YOUTUBE</v>
      </c>
      <c r="N31" t="str">
        <f t="shared" si="1"/>
        <v>Sub_Urban-YOUTUBE</v>
      </c>
      <c r="O31">
        <v>13117</v>
      </c>
    </row>
    <row r="32" spans="1:15" x14ac:dyDescent="0.3">
      <c r="A32">
        <v>59</v>
      </c>
      <c r="B32" t="s">
        <v>12</v>
      </c>
      <c r="C32" s="1">
        <v>1</v>
      </c>
      <c r="D32" t="s">
        <v>19</v>
      </c>
      <c r="E32" t="s">
        <v>14</v>
      </c>
      <c r="F32" t="s">
        <v>27</v>
      </c>
      <c r="G32" t="s">
        <v>16</v>
      </c>
      <c r="H32" t="s">
        <v>24</v>
      </c>
      <c r="I32" s="2">
        <v>14161</v>
      </c>
      <c r="J32" t="b">
        <v>0</v>
      </c>
      <c r="K32" t="b">
        <v>0</v>
      </c>
      <c r="L32" t="b">
        <v>1</v>
      </c>
      <c r="M32" t="str">
        <f t="shared" si="0"/>
        <v>FACEBOOK</v>
      </c>
      <c r="N32" t="str">
        <f t="shared" si="1"/>
        <v>Urban-FACEBOOK</v>
      </c>
      <c r="O32">
        <v>14161</v>
      </c>
    </row>
    <row r="33" spans="1:15" x14ac:dyDescent="0.3">
      <c r="A33">
        <v>45</v>
      </c>
      <c r="B33" t="s">
        <v>12</v>
      </c>
      <c r="C33" s="1">
        <v>8</v>
      </c>
      <c r="D33" t="s">
        <v>19</v>
      </c>
      <c r="E33" t="s">
        <v>26</v>
      </c>
      <c r="F33" t="s">
        <v>27</v>
      </c>
      <c r="G33" t="s">
        <v>29</v>
      </c>
      <c r="H33" t="s">
        <v>17</v>
      </c>
      <c r="I33" s="2">
        <v>14042</v>
      </c>
      <c r="J33" t="b">
        <v>1</v>
      </c>
      <c r="K33" t="b">
        <v>0</v>
      </c>
      <c r="L33" t="b">
        <v>1</v>
      </c>
      <c r="M33" t="str">
        <f t="shared" si="0"/>
        <v>FACEBOOK</v>
      </c>
      <c r="N33" t="str">
        <f t="shared" si="1"/>
        <v>Rural-FACEBOOK</v>
      </c>
      <c r="O33">
        <v>14042</v>
      </c>
    </row>
    <row r="34" spans="1:15" x14ac:dyDescent="0.3">
      <c r="A34">
        <v>33</v>
      </c>
      <c r="B34" t="s">
        <v>18</v>
      </c>
      <c r="C34" s="1">
        <v>8</v>
      </c>
      <c r="D34" t="s">
        <v>13</v>
      </c>
      <c r="E34" t="s">
        <v>26</v>
      </c>
      <c r="F34" t="s">
        <v>27</v>
      </c>
      <c r="G34" t="s">
        <v>16</v>
      </c>
      <c r="H34" t="s">
        <v>17</v>
      </c>
      <c r="I34" s="2">
        <v>14433</v>
      </c>
      <c r="J34" t="b">
        <v>0</v>
      </c>
      <c r="K34" t="b">
        <v>1</v>
      </c>
      <c r="L34" t="b">
        <v>1</v>
      </c>
      <c r="M34" t="str">
        <f t="shared" si="0"/>
        <v>INSTAGRAM</v>
      </c>
      <c r="N34" t="str">
        <f t="shared" si="1"/>
        <v>Urban-INSTAGRAM</v>
      </c>
      <c r="O34">
        <v>14433</v>
      </c>
    </row>
    <row r="35" spans="1:15" x14ac:dyDescent="0.3">
      <c r="A35">
        <v>32</v>
      </c>
      <c r="B35" t="s">
        <v>18</v>
      </c>
      <c r="C35" s="1">
        <v>4</v>
      </c>
      <c r="D35" t="s">
        <v>28</v>
      </c>
      <c r="E35" t="s">
        <v>20</v>
      </c>
      <c r="F35" t="s">
        <v>15</v>
      </c>
      <c r="G35" t="s">
        <v>23</v>
      </c>
      <c r="H35" t="s">
        <v>17</v>
      </c>
      <c r="I35" s="2">
        <v>18638</v>
      </c>
      <c r="J35" t="b">
        <v>1</v>
      </c>
      <c r="K35" t="b">
        <v>1</v>
      </c>
      <c r="L35" t="b">
        <v>1</v>
      </c>
      <c r="M35" t="str">
        <f t="shared" si="0"/>
        <v>YOUTUBE</v>
      </c>
      <c r="N35" t="str">
        <f t="shared" si="1"/>
        <v>Sub_Urban-YOUTUBE</v>
      </c>
      <c r="O35">
        <v>18638</v>
      </c>
    </row>
    <row r="36" spans="1:15" x14ac:dyDescent="0.3">
      <c r="A36">
        <v>64</v>
      </c>
      <c r="B36" t="s">
        <v>25</v>
      </c>
      <c r="C36" s="1">
        <v>7</v>
      </c>
      <c r="D36" t="s">
        <v>13</v>
      </c>
      <c r="E36" t="s">
        <v>26</v>
      </c>
      <c r="F36" t="s">
        <v>22</v>
      </c>
      <c r="G36" t="s">
        <v>23</v>
      </c>
      <c r="H36" t="s">
        <v>17</v>
      </c>
      <c r="I36" s="2">
        <v>12658</v>
      </c>
      <c r="J36" t="b">
        <v>1</v>
      </c>
      <c r="K36" t="b">
        <v>1</v>
      </c>
      <c r="L36" t="b">
        <v>0</v>
      </c>
      <c r="M36" t="str">
        <f t="shared" si="0"/>
        <v>INSTAGRAM</v>
      </c>
      <c r="N36" t="str">
        <f t="shared" si="1"/>
        <v>Sub_Urban-INSTAGRAM</v>
      </c>
      <c r="O36">
        <v>12658</v>
      </c>
    </row>
    <row r="37" spans="1:15" x14ac:dyDescent="0.3">
      <c r="A37">
        <v>61</v>
      </c>
      <c r="B37" t="s">
        <v>12</v>
      </c>
      <c r="C37" s="1">
        <v>3</v>
      </c>
      <c r="D37" t="s">
        <v>13</v>
      </c>
      <c r="E37" t="s">
        <v>20</v>
      </c>
      <c r="F37" t="s">
        <v>27</v>
      </c>
      <c r="G37" t="s">
        <v>29</v>
      </c>
      <c r="H37" t="s">
        <v>24</v>
      </c>
      <c r="I37" s="2">
        <v>13483</v>
      </c>
      <c r="J37" t="b">
        <v>0</v>
      </c>
      <c r="K37" t="b">
        <v>1</v>
      </c>
      <c r="L37" t="b">
        <v>0</v>
      </c>
      <c r="M37" t="str">
        <f t="shared" si="0"/>
        <v>INSTAGRAM</v>
      </c>
      <c r="N37" t="str">
        <f t="shared" si="1"/>
        <v>Rural-INSTAGRAM</v>
      </c>
      <c r="O37">
        <v>13483</v>
      </c>
    </row>
    <row r="38" spans="1:15" x14ac:dyDescent="0.3">
      <c r="A38">
        <v>20</v>
      </c>
      <c r="B38" t="s">
        <v>12</v>
      </c>
      <c r="C38" s="1">
        <v>6</v>
      </c>
      <c r="D38" t="s">
        <v>13</v>
      </c>
      <c r="E38" t="s">
        <v>26</v>
      </c>
      <c r="F38" t="s">
        <v>15</v>
      </c>
      <c r="G38" t="s">
        <v>23</v>
      </c>
      <c r="H38" t="s">
        <v>17</v>
      </c>
      <c r="I38" s="2">
        <v>12944</v>
      </c>
      <c r="J38" t="b">
        <v>1</v>
      </c>
      <c r="K38" t="b">
        <v>0</v>
      </c>
      <c r="L38" t="b">
        <v>0</v>
      </c>
      <c r="M38" t="str">
        <f t="shared" si="0"/>
        <v>INSTAGRAM</v>
      </c>
      <c r="N38" t="str">
        <f t="shared" si="1"/>
        <v>Sub_Urban-INSTAGRAM</v>
      </c>
      <c r="O38">
        <v>12944</v>
      </c>
    </row>
    <row r="39" spans="1:15" x14ac:dyDescent="0.3">
      <c r="A39">
        <v>54</v>
      </c>
      <c r="B39" t="s">
        <v>12</v>
      </c>
      <c r="C39" s="1">
        <v>9</v>
      </c>
      <c r="D39" t="s">
        <v>28</v>
      </c>
      <c r="E39" t="s">
        <v>26</v>
      </c>
      <c r="F39" t="s">
        <v>27</v>
      </c>
      <c r="G39" t="s">
        <v>16</v>
      </c>
      <c r="H39" t="s">
        <v>24</v>
      </c>
      <c r="I39" s="2">
        <v>17210</v>
      </c>
      <c r="J39" t="b">
        <v>1</v>
      </c>
      <c r="K39" t="b">
        <v>1</v>
      </c>
      <c r="L39" t="b">
        <v>0</v>
      </c>
      <c r="M39" t="str">
        <f t="shared" si="0"/>
        <v>YOUTUBE</v>
      </c>
      <c r="N39" t="str">
        <f t="shared" si="1"/>
        <v>Urban-YOUTUBE</v>
      </c>
      <c r="O39">
        <v>17210</v>
      </c>
    </row>
    <row r="40" spans="1:15" x14ac:dyDescent="0.3">
      <c r="A40">
        <v>24</v>
      </c>
      <c r="B40" t="s">
        <v>25</v>
      </c>
      <c r="C40" s="1">
        <v>1</v>
      </c>
      <c r="D40" t="s">
        <v>13</v>
      </c>
      <c r="E40" t="s">
        <v>26</v>
      </c>
      <c r="F40" t="s">
        <v>27</v>
      </c>
      <c r="G40" t="s">
        <v>29</v>
      </c>
      <c r="H40" t="s">
        <v>17</v>
      </c>
      <c r="I40" s="2">
        <v>17653</v>
      </c>
      <c r="J40" t="b">
        <v>1</v>
      </c>
      <c r="K40" t="b">
        <v>0</v>
      </c>
      <c r="L40" t="b">
        <v>1</v>
      </c>
      <c r="M40" t="str">
        <f t="shared" si="0"/>
        <v>INSTAGRAM</v>
      </c>
      <c r="N40" t="str">
        <f t="shared" si="1"/>
        <v>Rural-INSTAGRAM</v>
      </c>
      <c r="O40">
        <v>17653</v>
      </c>
    </row>
    <row r="41" spans="1:15" x14ac:dyDescent="0.3">
      <c r="A41">
        <v>38</v>
      </c>
      <c r="B41" t="s">
        <v>25</v>
      </c>
      <c r="C41" s="1">
        <v>5</v>
      </c>
      <c r="D41" t="s">
        <v>13</v>
      </c>
      <c r="E41" t="s">
        <v>14</v>
      </c>
      <c r="F41" t="s">
        <v>22</v>
      </c>
      <c r="G41" t="s">
        <v>23</v>
      </c>
      <c r="H41" t="s">
        <v>17</v>
      </c>
      <c r="I41" s="2">
        <v>18787</v>
      </c>
      <c r="J41" t="b">
        <v>1</v>
      </c>
      <c r="K41" t="b">
        <v>1</v>
      </c>
      <c r="L41" t="b">
        <v>1</v>
      </c>
      <c r="M41" t="str">
        <f t="shared" si="0"/>
        <v>INSTAGRAM</v>
      </c>
      <c r="N41" t="str">
        <f t="shared" si="1"/>
        <v>Sub_Urban-INSTAGRAM</v>
      </c>
      <c r="O41">
        <v>18787</v>
      </c>
    </row>
    <row r="42" spans="1:15" x14ac:dyDescent="0.3">
      <c r="A42">
        <v>26</v>
      </c>
      <c r="B42" t="s">
        <v>18</v>
      </c>
      <c r="C42" s="1">
        <v>4</v>
      </c>
      <c r="D42" t="s">
        <v>13</v>
      </c>
      <c r="E42" t="s">
        <v>14</v>
      </c>
      <c r="F42" t="s">
        <v>15</v>
      </c>
      <c r="G42" t="s">
        <v>23</v>
      </c>
      <c r="H42" t="s">
        <v>17</v>
      </c>
      <c r="I42" s="2">
        <v>11986</v>
      </c>
      <c r="J42" t="b">
        <v>1</v>
      </c>
      <c r="K42" t="b">
        <v>0</v>
      </c>
      <c r="L42" t="b">
        <v>0</v>
      </c>
      <c r="M42" t="str">
        <f t="shared" si="0"/>
        <v>INSTAGRAM</v>
      </c>
      <c r="N42" t="str">
        <f t="shared" si="1"/>
        <v>Sub_Urban-INSTAGRAM</v>
      </c>
      <c r="O42">
        <v>11986</v>
      </c>
    </row>
    <row r="43" spans="1:15" x14ac:dyDescent="0.3">
      <c r="A43">
        <v>56</v>
      </c>
      <c r="B43" t="s">
        <v>18</v>
      </c>
      <c r="C43" s="1">
        <v>8</v>
      </c>
      <c r="D43" t="s">
        <v>13</v>
      </c>
      <c r="E43" t="s">
        <v>14</v>
      </c>
      <c r="F43" t="s">
        <v>22</v>
      </c>
      <c r="G43" t="s">
        <v>16</v>
      </c>
      <c r="H43" t="s">
        <v>17</v>
      </c>
      <c r="I43" s="2">
        <v>11074</v>
      </c>
      <c r="J43" t="b">
        <v>1</v>
      </c>
      <c r="K43" t="b">
        <v>0</v>
      </c>
      <c r="L43" t="b">
        <v>0</v>
      </c>
      <c r="M43" t="str">
        <f t="shared" si="0"/>
        <v>INSTAGRAM</v>
      </c>
      <c r="N43" t="str">
        <f t="shared" si="1"/>
        <v>Urban-INSTAGRAM</v>
      </c>
      <c r="O43">
        <v>11074</v>
      </c>
    </row>
    <row r="44" spans="1:15" x14ac:dyDescent="0.3">
      <c r="A44">
        <v>35</v>
      </c>
      <c r="B44" t="s">
        <v>18</v>
      </c>
      <c r="C44" s="1">
        <v>1</v>
      </c>
      <c r="D44" t="s">
        <v>13</v>
      </c>
      <c r="E44" t="s">
        <v>26</v>
      </c>
      <c r="F44" t="s">
        <v>22</v>
      </c>
      <c r="G44" t="s">
        <v>16</v>
      </c>
      <c r="H44" t="s">
        <v>24</v>
      </c>
      <c r="I44" s="2">
        <v>14305</v>
      </c>
      <c r="J44" t="b">
        <v>1</v>
      </c>
      <c r="K44" t="b">
        <v>1</v>
      </c>
      <c r="L44" t="b">
        <v>0</v>
      </c>
      <c r="M44" t="str">
        <f t="shared" si="0"/>
        <v>INSTAGRAM</v>
      </c>
      <c r="N44" t="str">
        <f t="shared" si="1"/>
        <v>Urban-INSTAGRAM</v>
      </c>
      <c r="O44">
        <v>14305</v>
      </c>
    </row>
    <row r="45" spans="1:15" x14ac:dyDescent="0.3">
      <c r="A45">
        <v>21</v>
      </c>
      <c r="B45" t="s">
        <v>12</v>
      </c>
      <c r="C45" s="1">
        <v>9</v>
      </c>
      <c r="D45" t="s">
        <v>13</v>
      </c>
      <c r="E45" t="s">
        <v>20</v>
      </c>
      <c r="F45" t="s">
        <v>27</v>
      </c>
      <c r="G45" t="s">
        <v>29</v>
      </c>
      <c r="H45" t="s">
        <v>24</v>
      </c>
      <c r="I45" s="2">
        <v>13007</v>
      </c>
      <c r="J45" t="b">
        <v>0</v>
      </c>
      <c r="K45" t="b">
        <v>1</v>
      </c>
      <c r="L45" t="b">
        <v>1</v>
      </c>
      <c r="M45" t="str">
        <f t="shared" si="0"/>
        <v>INSTAGRAM</v>
      </c>
      <c r="N45" t="str">
        <f t="shared" si="1"/>
        <v>Rural-INSTAGRAM</v>
      </c>
      <c r="O45">
        <v>13007</v>
      </c>
    </row>
    <row r="46" spans="1:15" x14ac:dyDescent="0.3">
      <c r="A46">
        <v>42</v>
      </c>
      <c r="B46" t="s">
        <v>12</v>
      </c>
      <c r="C46" s="1">
        <v>6</v>
      </c>
      <c r="D46" t="s">
        <v>28</v>
      </c>
      <c r="E46" t="s">
        <v>20</v>
      </c>
      <c r="F46" t="s">
        <v>22</v>
      </c>
      <c r="G46" t="s">
        <v>23</v>
      </c>
      <c r="H46" t="s">
        <v>24</v>
      </c>
      <c r="I46" s="2">
        <v>10969</v>
      </c>
      <c r="J46" t="b">
        <v>0</v>
      </c>
      <c r="K46" t="b">
        <v>0</v>
      </c>
      <c r="L46" t="b">
        <v>1</v>
      </c>
      <c r="M46" t="str">
        <f t="shared" si="0"/>
        <v>YOUTUBE</v>
      </c>
      <c r="N46" t="str">
        <f t="shared" si="1"/>
        <v>Sub_Urban-YOUTUBE</v>
      </c>
      <c r="O46">
        <v>10969</v>
      </c>
    </row>
    <row r="47" spans="1:15" x14ac:dyDescent="0.3">
      <c r="A47">
        <v>31</v>
      </c>
      <c r="B47" t="s">
        <v>18</v>
      </c>
      <c r="C47" s="1">
        <v>4</v>
      </c>
      <c r="D47" t="s">
        <v>13</v>
      </c>
      <c r="E47" t="s">
        <v>20</v>
      </c>
      <c r="F47" t="s">
        <v>15</v>
      </c>
      <c r="G47" t="s">
        <v>16</v>
      </c>
      <c r="H47" t="s">
        <v>21</v>
      </c>
      <c r="I47" s="2">
        <v>18772</v>
      </c>
      <c r="J47" t="b">
        <v>1</v>
      </c>
      <c r="K47" t="b">
        <v>0</v>
      </c>
      <c r="L47" t="b">
        <v>1</v>
      </c>
      <c r="M47" t="str">
        <f t="shared" si="0"/>
        <v>INSTAGRAM</v>
      </c>
      <c r="N47" t="str">
        <f t="shared" si="1"/>
        <v>Urban-INSTAGRAM</v>
      </c>
      <c r="O47">
        <v>18772</v>
      </c>
    </row>
    <row r="48" spans="1:15" x14ac:dyDescent="0.3">
      <c r="A48">
        <v>26</v>
      </c>
      <c r="B48" t="s">
        <v>12</v>
      </c>
      <c r="C48" s="1">
        <v>9</v>
      </c>
      <c r="D48" t="s">
        <v>19</v>
      </c>
      <c r="E48" t="s">
        <v>20</v>
      </c>
      <c r="F48" t="s">
        <v>22</v>
      </c>
      <c r="G48" t="s">
        <v>29</v>
      </c>
      <c r="H48" t="s">
        <v>17</v>
      </c>
      <c r="I48" s="2">
        <v>12824</v>
      </c>
      <c r="J48" t="b">
        <v>0</v>
      </c>
      <c r="K48" t="b">
        <v>0</v>
      </c>
      <c r="L48" t="b">
        <v>0</v>
      </c>
      <c r="M48" t="str">
        <f t="shared" si="0"/>
        <v>FACEBOOK</v>
      </c>
      <c r="N48" t="str">
        <f t="shared" si="1"/>
        <v>Rural-FACEBOOK</v>
      </c>
      <c r="O48">
        <v>12824</v>
      </c>
    </row>
    <row r="49" spans="1:15" x14ac:dyDescent="0.3">
      <c r="A49">
        <v>43</v>
      </c>
      <c r="B49" t="s">
        <v>18</v>
      </c>
      <c r="C49" s="1">
        <v>5</v>
      </c>
      <c r="D49" t="s">
        <v>13</v>
      </c>
      <c r="E49" t="s">
        <v>14</v>
      </c>
      <c r="F49" t="s">
        <v>22</v>
      </c>
      <c r="G49" t="s">
        <v>23</v>
      </c>
      <c r="H49" t="s">
        <v>17</v>
      </c>
      <c r="I49" s="2">
        <v>11211</v>
      </c>
      <c r="J49" t="b">
        <v>1</v>
      </c>
      <c r="K49" t="b">
        <v>1</v>
      </c>
      <c r="L49" t="b">
        <v>0</v>
      </c>
      <c r="M49" t="str">
        <f t="shared" si="0"/>
        <v>INSTAGRAM</v>
      </c>
      <c r="N49" t="str">
        <f t="shared" si="1"/>
        <v>Sub_Urban-INSTAGRAM</v>
      </c>
      <c r="O49">
        <v>11211</v>
      </c>
    </row>
    <row r="50" spans="1:15" x14ac:dyDescent="0.3">
      <c r="A50">
        <v>19</v>
      </c>
      <c r="B50" t="s">
        <v>25</v>
      </c>
      <c r="C50" s="1">
        <v>5</v>
      </c>
      <c r="D50" t="s">
        <v>13</v>
      </c>
      <c r="E50" t="s">
        <v>14</v>
      </c>
      <c r="F50" t="s">
        <v>22</v>
      </c>
      <c r="G50" t="s">
        <v>23</v>
      </c>
      <c r="H50" t="s">
        <v>24</v>
      </c>
      <c r="I50" s="2">
        <v>10229</v>
      </c>
      <c r="J50" t="b">
        <v>1</v>
      </c>
      <c r="K50" t="b">
        <v>1</v>
      </c>
      <c r="L50" t="b">
        <v>1</v>
      </c>
      <c r="M50" t="str">
        <f t="shared" si="0"/>
        <v>INSTAGRAM</v>
      </c>
      <c r="N50" t="str">
        <f t="shared" si="1"/>
        <v>Sub_Urban-INSTAGRAM</v>
      </c>
      <c r="O50">
        <v>10229</v>
      </c>
    </row>
    <row r="51" spans="1:15" x14ac:dyDescent="0.3">
      <c r="A51">
        <v>37</v>
      </c>
      <c r="B51" t="s">
        <v>18</v>
      </c>
      <c r="C51" s="1">
        <v>5</v>
      </c>
      <c r="D51" t="s">
        <v>28</v>
      </c>
      <c r="E51" t="s">
        <v>26</v>
      </c>
      <c r="F51" t="s">
        <v>27</v>
      </c>
      <c r="G51" t="s">
        <v>29</v>
      </c>
      <c r="H51" t="s">
        <v>21</v>
      </c>
      <c r="I51" s="2">
        <v>14284</v>
      </c>
      <c r="J51" t="b">
        <v>1</v>
      </c>
      <c r="K51" t="b">
        <v>0</v>
      </c>
      <c r="L51" t="b">
        <v>1</v>
      </c>
      <c r="M51" t="str">
        <f t="shared" si="0"/>
        <v>YOUTUBE</v>
      </c>
      <c r="N51" t="str">
        <f t="shared" si="1"/>
        <v>Rural-YOUTUBE</v>
      </c>
      <c r="O51">
        <v>14284</v>
      </c>
    </row>
    <row r="52" spans="1:15" x14ac:dyDescent="0.3">
      <c r="A52">
        <v>45</v>
      </c>
      <c r="B52" t="s">
        <v>25</v>
      </c>
      <c r="C52" s="1">
        <v>1</v>
      </c>
      <c r="D52" t="s">
        <v>28</v>
      </c>
      <c r="E52" t="s">
        <v>26</v>
      </c>
      <c r="F52" t="s">
        <v>15</v>
      </c>
      <c r="G52" t="s">
        <v>29</v>
      </c>
      <c r="H52" t="s">
        <v>17</v>
      </c>
      <c r="I52" s="2">
        <v>13185</v>
      </c>
      <c r="J52" t="b">
        <v>1</v>
      </c>
      <c r="K52" t="b">
        <v>1</v>
      </c>
      <c r="L52" t="b">
        <v>0</v>
      </c>
      <c r="M52" t="str">
        <f t="shared" si="0"/>
        <v>YOUTUBE</v>
      </c>
      <c r="N52" t="str">
        <f t="shared" si="1"/>
        <v>Rural-YOUTUBE</v>
      </c>
      <c r="O52">
        <v>13185</v>
      </c>
    </row>
    <row r="53" spans="1:15" x14ac:dyDescent="0.3">
      <c r="A53">
        <v>64</v>
      </c>
      <c r="B53" t="s">
        <v>12</v>
      </c>
      <c r="C53" s="1">
        <v>1</v>
      </c>
      <c r="D53" t="s">
        <v>19</v>
      </c>
      <c r="E53" t="s">
        <v>20</v>
      </c>
      <c r="F53" t="s">
        <v>27</v>
      </c>
      <c r="G53" t="s">
        <v>16</v>
      </c>
      <c r="H53" t="s">
        <v>24</v>
      </c>
      <c r="I53" s="2">
        <v>10501</v>
      </c>
      <c r="J53" t="b">
        <v>0</v>
      </c>
      <c r="K53" t="b">
        <v>0</v>
      </c>
      <c r="L53" t="b">
        <v>0</v>
      </c>
      <c r="M53" t="str">
        <f t="shared" si="0"/>
        <v>FACEBOOK</v>
      </c>
      <c r="N53" t="str">
        <f t="shared" si="1"/>
        <v>Urban-FACEBOOK</v>
      </c>
      <c r="O53">
        <v>10501</v>
      </c>
    </row>
    <row r="54" spans="1:15" x14ac:dyDescent="0.3">
      <c r="A54">
        <v>24</v>
      </c>
      <c r="B54" t="s">
        <v>18</v>
      </c>
      <c r="C54" s="1">
        <v>8</v>
      </c>
      <c r="D54" t="s">
        <v>19</v>
      </c>
      <c r="E54" t="s">
        <v>14</v>
      </c>
      <c r="F54" t="s">
        <v>27</v>
      </c>
      <c r="G54" t="s">
        <v>23</v>
      </c>
      <c r="H54" t="s">
        <v>17</v>
      </c>
      <c r="I54" s="2">
        <v>10048</v>
      </c>
      <c r="J54" t="b">
        <v>0</v>
      </c>
      <c r="K54" t="b">
        <v>1</v>
      </c>
      <c r="L54" t="b">
        <v>1</v>
      </c>
      <c r="M54" t="str">
        <f t="shared" si="0"/>
        <v>FACEBOOK</v>
      </c>
      <c r="N54" t="str">
        <f t="shared" si="1"/>
        <v>Sub_Urban-FACEBOOK</v>
      </c>
      <c r="O54">
        <v>10048</v>
      </c>
    </row>
    <row r="55" spans="1:15" x14ac:dyDescent="0.3">
      <c r="A55">
        <v>61</v>
      </c>
      <c r="B55" t="s">
        <v>12</v>
      </c>
      <c r="C55" s="1">
        <v>8</v>
      </c>
      <c r="D55" t="s">
        <v>28</v>
      </c>
      <c r="E55" t="s">
        <v>20</v>
      </c>
      <c r="F55" t="s">
        <v>27</v>
      </c>
      <c r="G55" t="s">
        <v>23</v>
      </c>
      <c r="H55" t="s">
        <v>17</v>
      </c>
      <c r="I55" s="2">
        <v>13566</v>
      </c>
      <c r="J55" t="b">
        <v>0</v>
      </c>
      <c r="K55" t="b">
        <v>1</v>
      </c>
      <c r="L55" t="b">
        <v>0</v>
      </c>
      <c r="M55" t="str">
        <f t="shared" si="0"/>
        <v>YOUTUBE</v>
      </c>
      <c r="N55" t="str">
        <f t="shared" si="1"/>
        <v>Sub_Urban-YOUTUBE</v>
      </c>
      <c r="O55">
        <v>13566</v>
      </c>
    </row>
    <row r="56" spans="1:15" x14ac:dyDescent="0.3">
      <c r="A56">
        <v>25</v>
      </c>
      <c r="B56" t="s">
        <v>25</v>
      </c>
      <c r="C56" s="1">
        <v>6</v>
      </c>
      <c r="D56" t="s">
        <v>28</v>
      </c>
      <c r="E56" t="s">
        <v>26</v>
      </c>
      <c r="F56" t="s">
        <v>27</v>
      </c>
      <c r="G56" t="s">
        <v>23</v>
      </c>
      <c r="H56" t="s">
        <v>24</v>
      </c>
      <c r="I56" s="2">
        <v>13055</v>
      </c>
      <c r="J56" t="b">
        <v>0</v>
      </c>
      <c r="K56" t="b">
        <v>1</v>
      </c>
      <c r="L56" t="b">
        <v>1</v>
      </c>
      <c r="M56" t="str">
        <f t="shared" si="0"/>
        <v>YOUTUBE</v>
      </c>
      <c r="N56" t="str">
        <f t="shared" si="1"/>
        <v>Sub_Urban-YOUTUBE</v>
      </c>
      <c r="O56">
        <v>13055</v>
      </c>
    </row>
    <row r="57" spans="1:15" x14ac:dyDescent="0.3">
      <c r="A57">
        <v>64</v>
      </c>
      <c r="B57" t="s">
        <v>25</v>
      </c>
      <c r="C57" s="1">
        <v>4</v>
      </c>
      <c r="D57" t="s">
        <v>13</v>
      </c>
      <c r="E57" t="s">
        <v>26</v>
      </c>
      <c r="F57" t="s">
        <v>27</v>
      </c>
      <c r="G57" t="s">
        <v>29</v>
      </c>
      <c r="H57" t="s">
        <v>24</v>
      </c>
      <c r="I57" s="2">
        <v>18880</v>
      </c>
      <c r="J57" t="b">
        <v>1</v>
      </c>
      <c r="K57" t="b">
        <v>1</v>
      </c>
      <c r="L57" t="b">
        <v>1</v>
      </c>
      <c r="M57" t="str">
        <f t="shared" si="0"/>
        <v>INSTAGRAM</v>
      </c>
      <c r="N57" t="str">
        <f t="shared" si="1"/>
        <v>Rural-INSTAGRAM</v>
      </c>
      <c r="O57">
        <v>18880</v>
      </c>
    </row>
    <row r="58" spans="1:15" x14ac:dyDescent="0.3">
      <c r="A58">
        <v>52</v>
      </c>
      <c r="B58" t="s">
        <v>25</v>
      </c>
      <c r="C58" s="1">
        <v>2</v>
      </c>
      <c r="D58" t="s">
        <v>28</v>
      </c>
      <c r="E58" t="s">
        <v>20</v>
      </c>
      <c r="F58" t="s">
        <v>15</v>
      </c>
      <c r="G58" t="s">
        <v>16</v>
      </c>
      <c r="H58" t="s">
        <v>17</v>
      </c>
      <c r="I58" s="2">
        <v>10386</v>
      </c>
      <c r="J58" t="b">
        <v>0</v>
      </c>
      <c r="K58" t="b">
        <v>1</v>
      </c>
      <c r="L58" t="b">
        <v>0</v>
      </c>
      <c r="M58" t="str">
        <f t="shared" si="0"/>
        <v>YOUTUBE</v>
      </c>
      <c r="N58" t="str">
        <f t="shared" si="1"/>
        <v>Urban-YOUTUBE</v>
      </c>
      <c r="O58">
        <v>10386</v>
      </c>
    </row>
    <row r="59" spans="1:15" x14ac:dyDescent="0.3">
      <c r="A59">
        <v>31</v>
      </c>
      <c r="B59" t="s">
        <v>12</v>
      </c>
      <c r="C59" s="1">
        <v>2</v>
      </c>
      <c r="D59" t="s">
        <v>19</v>
      </c>
      <c r="E59" t="s">
        <v>26</v>
      </c>
      <c r="F59" t="s">
        <v>22</v>
      </c>
      <c r="G59" t="s">
        <v>23</v>
      </c>
      <c r="H59" t="s">
        <v>17</v>
      </c>
      <c r="I59" s="2">
        <v>10969</v>
      </c>
      <c r="J59" t="b">
        <v>1</v>
      </c>
      <c r="K59" t="b">
        <v>0</v>
      </c>
      <c r="L59" t="b">
        <v>0</v>
      </c>
      <c r="M59" t="str">
        <f t="shared" si="0"/>
        <v>FACEBOOK</v>
      </c>
      <c r="N59" t="str">
        <f t="shared" si="1"/>
        <v>Sub_Urban-FACEBOOK</v>
      </c>
      <c r="O59">
        <v>10969</v>
      </c>
    </row>
    <row r="60" spans="1:15" x14ac:dyDescent="0.3">
      <c r="A60">
        <v>34</v>
      </c>
      <c r="B60" t="s">
        <v>12</v>
      </c>
      <c r="C60" s="1">
        <v>9</v>
      </c>
      <c r="D60" t="s">
        <v>13</v>
      </c>
      <c r="E60" t="s">
        <v>20</v>
      </c>
      <c r="F60" t="s">
        <v>27</v>
      </c>
      <c r="G60" t="s">
        <v>29</v>
      </c>
      <c r="H60" t="s">
        <v>24</v>
      </c>
      <c r="I60" s="2">
        <v>19197</v>
      </c>
      <c r="J60" t="b">
        <v>1</v>
      </c>
      <c r="K60" t="b">
        <v>0</v>
      </c>
      <c r="L60" t="b">
        <v>0</v>
      </c>
      <c r="M60" t="str">
        <f t="shared" si="0"/>
        <v>INSTAGRAM</v>
      </c>
      <c r="N60" t="str">
        <f t="shared" si="1"/>
        <v>Rural-INSTAGRAM</v>
      </c>
      <c r="O60">
        <v>19197</v>
      </c>
    </row>
    <row r="61" spans="1:15" x14ac:dyDescent="0.3">
      <c r="A61">
        <v>53</v>
      </c>
      <c r="B61" t="s">
        <v>12</v>
      </c>
      <c r="C61" s="1">
        <v>5</v>
      </c>
      <c r="D61" t="s">
        <v>19</v>
      </c>
      <c r="E61" t="s">
        <v>14</v>
      </c>
      <c r="F61" t="s">
        <v>27</v>
      </c>
      <c r="G61" t="s">
        <v>23</v>
      </c>
      <c r="H61" t="s">
        <v>17</v>
      </c>
      <c r="I61" s="2">
        <v>15820</v>
      </c>
      <c r="J61" t="b">
        <v>0</v>
      </c>
      <c r="K61" t="b">
        <v>1</v>
      </c>
      <c r="L61" t="b">
        <v>1</v>
      </c>
      <c r="M61" t="str">
        <f t="shared" si="0"/>
        <v>FACEBOOK</v>
      </c>
      <c r="N61" t="str">
        <f t="shared" si="1"/>
        <v>Sub_Urban-FACEBOOK</v>
      </c>
      <c r="O61">
        <v>15820</v>
      </c>
    </row>
    <row r="62" spans="1:15" x14ac:dyDescent="0.3">
      <c r="A62">
        <v>57</v>
      </c>
      <c r="B62" t="s">
        <v>12</v>
      </c>
      <c r="C62" s="1">
        <v>4</v>
      </c>
      <c r="D62" t="s">
        <v>13</v>
      </c>
      <c r="E62" t="s">
        <v>20</v>
      </c>
      <c r="F62" t="s">
        <v>15</v>
      </c>
      <c r="G62" t="s">
        <v>16</v>
      </c>
      <c r="H62" t="s">
        <v>17</v>
      </c>
      <c r="I62" s="2">
        <v>13052</v>
      </c>
      <c r="J62" t="b">
        <v>1</v>
      </c>
      <c r="K62" t="b">
        <v>0</v>
      </c>
      <c r="L62" t="b">
        <v>0</v>
      </c>
      <c r="M62" t="str">
        <f t="shared" si="0"/>
        <v>INSTAGRAM</v>
      </c>
      <c r="N62" t="str">
        <f t="shared" si="1"/>
        <v>Urban-INSTAGRAM</v>
      </c>
      <c r="O62">
        <v>13052</v>
      </c>
    </row>
    <row r="63" spans="1:15" x14ac:dyDescent="0.3">
      <c r="A63">
        <v>21</v>
      </c>
      <c r="B63" t="s">
        <v>25</v>
      </c>
      <c r="C63" s="1">
        <v>1</v>
      </c>
      <c r="D63" t="s">
        <v>28</v>
      </c>
      <c r="E63" t="s">
        <v>14</v>
      </c>
      <c r="F63" t="s">
        <v>15</v>
      </c>
      <c r="G63" t="s">
        <v>23</v>
      </c>
      <c r="H63" t="s">
        <v>24</v>
      </c>
      <c r="I63" s="2">
        <v>17397</v>
      </c>
      <c r="J63" t="b">
        <v>0</v>
      </c>
      <c r="K63" t="b">
        <v>0</v>
      </c>
      <c r="L63" t="b">
        <v>0</v>
      </c>
      <c r="M63" t="str">
        <f t="shared" si="0"/>
        <v>YOUTUBE</v>
      </c>
      <c r="N63" t="str">
        <f t="shared" si="1"/>
        <v>Sub_Urban-YOUTUBE</v>
      </c>
      <c r="O63">
        <v>17397</v>
      </c>
    </row>
    <row r="64" spans="1:15" x14ac:dyDescent="0.3">
      <c r="A64">
        <v>19</v>
      </c>
      <c r="B64" t="s">
        <v>25</v>
      </c>
      <c r="C64" s="1">
        <v>7</v>
      </c>
      <c r="D64" t="s">
        <v>19</v>
      </c>
      <c r="E64" t="s">
        <v>14</v>
      </c>
      <c r="F64" t="s">
        <v>22</v>
      </c>
      <c r="G64" t="s">
        <v>16</v>
      </c>
      <c r="H64" t="s">
        <v>17</v>
      </c>
      <c r="I64" s="2">
        <v>12302</v>
      </c>
      <c r="J64" t="b">
        <v>0</v>
      </c>
      <c r="K64" t="b">
        <v>1</v>
      </c>
      <c r="L64" t="b">
        <v>1</v>
      </c>
      <c r="M64" t="str">
        <f t="shared" si="0"/>
        <v>FACEBOOK</v>
      </c>
      <c r="N64" t="str">
        <f t="shared" si="1"/>
        <v>Urban-FACEBOOK</v>
      </c>
      <c r="O64">
        <v>12302</v>
      </c>
    </row>
    <row r="65" spans="1:15" x14ac:dyDescent="0.3">
      <c r="A65">
        <v>23</v>
      </c>
      <c r="B65" t="s">
        <v>18</v>
      </c>
      <c r="C65" s="1">
        <v>3</v>
      </c>
      <c r="D65" t="s">
        <v>13</v>
      </c>
      <c r="E65" t="s">
        <v>26</v>
      </c>
      <c r="F65" t="s">
        <v>15</v>
      </c>
      <c r="G65" t="s">
        <v>16</v>
      </c>
      <c r="H65" t="s">
        <v>17</v>
      </c>
      <c r="I65" s="2">
        <v>12283</v>
      </c>
      <c r="J65" t="b">
        <v>0</v>
      </c>
      <c r="K65" t="b">
        <v>0</v>
      </c>
      <c r="L65" t="b">
        <v>1</v>
      </c>
      <c r="M65" t="str">
        <f t="shared" si="0"/>
        <v>INSTAGRAM</v>
      </c>
      <c r="N65" t="str">
        <f t="shared" si="1"/>
        <v>Urban-INSTAGRAM</v>
      </c>
      <c r="O65">
        <v>12283</v>
      </c>
    </row>
    <row r="66" spans="1:15" x14ac:dyDescent="0.3">
      <c r="A66">
        <v>59</v>
      </c>
      <c r="B66" t="s">
        <v>18</v>
      </c>
      <c r="C66" s="1">
        <v>6</v>
      </c>
      <c r="D66" t="s">
        <v>13</v>
      </c>
      <c r="E66" t="s">
        <v>26</v>
      </c>
      <c r="F66" t="s">
        <v>22</v>
      </c>
      <c r="G66" t="s">
        <v>23</v>
      </c>
      <c r="H66" t="s">
        <v>21</v>
      </c>
      <c r="I66" s="2">
        <v>19799</v>
      </c>
      <c r="J66" t="b">
        <v>0</v>
      </c>
      <c r="K66" t="b">
        <v>1</v>
      </c>
      <c r="L66" t="b">
        <v>0</v>
      </c>
      <c r="M66" t="str">
        <f t="shared" ref="M66:M129" si="2">UPPER(D66)</f>
        <v>INSTAGRAM</v>
      </c>
      <c r="N66" t="str">
        <f t="shared" ref="N66:N129" si="3">_xlfn.CONCAT(G66,"-",M66)</f>
        <v>Sub_Urban-INSTAGRAM</v>
      </c>
      <c r="O66">
        <v>19799</v>
      </c>
    </row>
    <row r="67" spans="1:15" x14ac:dyDescent="0.3">
      <c r="A67">
        <v>21</v>
      </c>
      <c r="B67" t="s">
        <v>12</v>
      </c>
      <c r="C67" s="1">
        <v>5</v>
      </c>
      <c r="D67" t="s">
        <v>28</v>
      </c>
      <c r="E67" t="s">
        <v>26</v>
      </c>
      <c r="F67" t="s">
        <v>27</v>
      </c>
      <c r="G67" t="s">
        <v>23</v>
      </c>
      <c r="H67" t="s">
        <v>24</v>
      </c>
      <c r="I67" s="2">
        <v>14366</v>
      </c>
      <c r="J67" t="b">
        <v>0</v>
      </c>
      <c r="K67" t="b">
        <v>0</v>
      </c>
      <c r="L67" t="b">
        <v>1</v>
      </c>
      <c r="M67" t="str">
        <f t="shared" si="2"/>
        <v>YOUTUBE</v>
      </c>
      <c r="N67" t="str">
        <f t="shared" si="3"/>
        <v>Sub_Urban-YOUTUBE</v>
      </c>
      <c r="O67">
        <v>14366</v>
      </c>
    </row>
    <row r="68" spans="1:15" x14ac:dyDescent="0.3">
      <c r="A68">
        <v>46</v>
      </c>
      <c r="B68" t="s">
        <v>25</v>
      </c>
      <c r="C68" s="1">
        <v>5</v>
      </c>
      <c r="D68" t="s">
        <v>28</v>
      </c>
      <c r="E68" t="s">
        <v>20</v>
      </c>
      <c r="F68" t="s">
        <v>27</v>
      </c>
      <c r="G68" t="s">
        <v>16</v>
      </c>
      <c r="H68" t="s">
        <v>21</v>
      </c>
      <c r="I68" s="2">
        <v>10122</v>
      </c>
      <c r="J68" t="b">
        <v>1</v>
      </c>
      <c r="K68" t="b">
        <v>0</v>
      </c>
      <c r="L68" t="b">
        <v>1</v>
      </c>
      <c r="M68" t="str">
        <f t="shared" si="2"/>
        <v>YOUTUBE</v>
      </c>
      <c r="N68" t="str">
        <f t="shared" si="3"/>
        <v>Urban-YOUTUBE</v>
      </c>
      <c r="O68">
        <v>10122</v>
      </c>
    </row>
    <row r="69" spans="1:15" x14ac:dyDescent="0.3">
      <c r="A69">
        <v>35</v>
      </c>
      <c r="B69" t="s">
        <v>25</v>
      </c>
      <c r="C69" s="1">
        <v>5</v>
      </c>
      <c r="D69" t="s">
        <v>28</v>
      </c>
      <c r="E69" t="s">
        <v>20</v>
      </c>
      <c r="F69" t="s">
        <v>22</v>
      </c>
      <c r="G69" t="s">
        <v>29</v>
      </c>
      <c r="H69" t="s">
        <v>21</v>
      </c>
      <c r="I69" s="2">
        <v>16799</v>
      </c>
      <c r="J69" t="b">
        <v>0</v>
      </c>
      <c r="K69" t="b">
        <v>0</v>
      </c>
      <c r="L69" t="b">
        <v>1</v>
      </c>
      <c r="M69" t="str">
        <f t="shared" si="2"/>
        <v>YOUTUBE</v>
      </c>
      <c r="N69" t="str">
        <f t="shared" si="3"/>
        <v>Rural-YOUTUBE</v>
      </c>
      <c r="O69">
        <v>16799</v>
      </c>
    </row>
    <row r="70" spans="1:15" x14ac:dyDescent="0.3">
      <c r="A70">
        <v>43</v>
      </c>
      <c r="B70" t="s">
        <v>25</v>
      </c>
      <c r="C70" s="1">
        <v>1</v>
      </c>
      <c r="D70" t="s">
        <v>19</v>
      </c>
      <c r="E70" t="s">
        <v>26</v>
      </c>
      <c r="F70" t="s">
        <v>15</v>
      </c>
      <c r="G70" t="s">
        <v>16</v>
      </c>
      <c r="H70" t="s">
        <v>21</v>
      </c>
      <c r="I70" s="2">
        <v>19472</v>
      </c>
      <c r="J70" t="b">
        <v>0</v>
      </c>
      <c r="K70" t="b">
        <v>0</v>
      </c>
      <c r="L70" t="b">
        <v>0</v>
      </c>
      <c r="M70" t="str">
        <f t="shared" si="2"/>
        <v>FACEBOOK</v>
      </c>
      <c r="N70" t="str">
        <f t="shared" si="3"/>
        <v>Urban-FACEBOOK</v>
      </c>
      <c r="O70">
        <v>19472</v>
      </c>
    </row>
    <row r="71" spans="1:15" x14ac:dyDescent="0.3">
      <c r="A71">
        <v>61</v>
      </c>
      <c r="B71" t="s">
        <v>18</v>
      </c>
      <c r="C71" s="1">
        <v>1</v>
      </c>
      <c r="D71" t="s">
        <v>13</v>
      </c>
      <c r="E71" t="s">
        <v>20</v>
      </c>
      <c r="F71" t="s">
        <v>22</v>
      </c>
      <c r="G71" t="s">
        <v>23</v>
      </c>
      <c r="H71" t="s">
        <v>17</v>
      </c>
      <c r="I71" s="2">
        <v>13727</v>
      </c>
      <c r="J71" t="b">
        <v>1</v>
      </c>
      <c r="K71" t="b">
        <v>0</v>
      </c>
      <c r="L71" t="b">
        <v>0</v>
      </c>
      <c r="M71" t="str">
        <f t="shared" si="2"/>
        <v>INSTAGRAM</v>
      </c>
      <c r="N71" t="str">
        <f t="shared" si="3"/>
        <v>Sub_Urban-INSTAGRAM</v>
      </c>
      <c r="O71">
        <v>13727</v>
      </c>
    </row>
    <row r="72" spans="1:15" x14ac:dyDescent="0.3">
      <c r="A72">
        <v>51</v>
      </c>
      <c r="B72" t="s">
        <v>18</v>
      </c>
      <c r="C72" s="1">
        <v>3</v>
      </c>
      <c r="D72" t="s">
        <v>28</v>
      </c>
      <c r="E72" t="s">
        <v>26</v>
      </c>
      <c r="F72" t="s">
        <v>15</v>
      </c>
      <c r="G72" t="s">
        <v>23</v>
      </c>
      <c r="H72" t="s">
        <v>17</v>
      </c>
      <c r="I72" s="2">
        <v>18450</v>
      </c>
      <c r="J72" t="b">
        <v>0</v>
      </c>
      <c r="K72" t="b">
        <v>0</v>
      </c>
      <c r="L72" t="b">
        <v>1</v>
      </c>
      <c r="M72" t="str">
        <f t="shared" si="2"/>
        <v>YOUTUBE</v>
      </c>
      <c r="N72" t="str">
        <f t="shared" si="3"/>
        <v>Sub_Urban-YOUTUBE</v>
      </c>
      <c r="O72">
        <v>18450</v>
      </c>
    </row>
    <row r="73" spans="1:15" x14ac:dyDescent="0.3">
      <c r="A73">
        <v>27</v>
      </c>
      <c r="B73" t="s">
        <v>25</v>
      </c>
      <c r="C73" s="1">
        <v>4</v>
      </c>
      <c r="D73" t="s">
        <v>19</v>
      </c>
      <c r="E73" t="s">
        <v>20</v>
      </c>
      <c r="F73" t="s">
        <v>27</v>
      </c>
      <c r="G73" t="s">
        <v>29</v>
      </c>
      <c r="H73" t="s">
        <v>21</v>
      </c>
      <c r="I73" s="2">
        <v>19139</v>
      </c>
      <c r="J73" t="b">
        <v>0</v>
      </c>
      <c r="K73" t="b">
        <v>0</v>
      </c>
      <c r="L73" t="b">
        <v>1</v>
      </c>
      <c r="M73" t="str">
        <f t="shared" si="2"/>
        <v>FACEBOOK</v>
      </c>
      <c r="N73" t="str">
        <f t="shared" si="3"/>
        <v>Rural-FACEBOOK</v>
      </c>
      <c r="O73">
        <v>19139</v>
      </c>
    </row>
    <row r="74" spans="1:15" x14ac:dyDescent="0.3">
      <c r="A74">
        <v>53</v>
      </c>
      <c r="B74" t="s">
        <v>25</v>
      </c>
      <c r="C74" s="1">
        <v>5</v>
      </c>
      <c r="D74" t="s">
        <v>19</v>
      </c>
      <c r="E74" t="s">
        <v>14</v>
      </c>
      <c r="F74" t="s">
        <v>15</v>
      </c>
      <c r="G74" t="s">
        <v>16</v>
      </c>
      <c r="H74" t="s">
        <v>21</v>
      </c>
      <c r="I74" s="2">
        <v>14958</v>
      </c>
      <c r="J74" t="b">
        <v>1</v>
      </c>
      <c r="K74" t="b">
        <v>1</v>
      </c>
      <c r="L74" t="b">
        <v>1</v>
      </c>
      <c r="M74" t="str">
        <f t="shared" si="2"/>
        <v>FACEBOOK</v>
      </c>
      <c r="N74" t="str">
        <f t="shared" si="3"/>
        <v>Urban-FACEBOOK</v>
      </c>
      <c r="O74">
        <v>14958</v>
      </c>
    </row>
    <row r="75" spans="1:15" x14ac:dyDescent="0.3">
      <c r="A75">
        <v>31</v>
      </c>
      <c r="B75" t="s">
        <v>25</v>
      </c>
      <c r="C75" s="1">
        <v>2</v>
      </c>
      <c r="D75" t="s">
        <v>19</v>
      </c>
      <c r="E75" t="s">
        <v>14</v>
      </c>
      <c r="F75" t="s">
        <v>22</v>
      </c>
      <c r="G75" t="s">
        <v>16</v>
      </c>
      <c r="H75" t="s">
        <v>21</v>
      </c>
      <c r="I75" s="2">
        <v>10524</v>
      </c>
      <c r="J75" t="b">
        <v>1</v>
      </c>
      <c r="K75" t="b">
        <v>1</v>
      </c>
      <c r="L75" t="b">
        <v>0</v>
      </c>
      <c r="M75" t="str">
        <f t="shared" si="2"/>
        <v>FACEBOOK</v>
      </c>
      <c r="N75" t="str">
        <f t="shared" si="3"/>
        <v>Urban-FACEBOOK</v>
      </c>
      <c r="O75">
        <v>10524</v>
      </c>
    </row>
    <row r="76" spans="1:15" x14ac:dyDescent="0.3">
      <c r="A76">
        <v>48</v>
      </c>
      <c r="B76" t="s">
        <v>18</v>
      </c>
      <c r="C76" s="1">
        <v>8</v>
      </c>
      <c r="D76" t="s">
        <v>28</v>
      </c>
      <c r="E76" t="s">
        <v>26</v>
      </c>
      <c r="F76" t="s">
        <v>22</v>
      </c>
      <c r="G76" t="s">
        <v>16</v>
      </c>
      <c r="H76" t="s">
        <v>17</v>
      </c>
      <c r="I76" s="2">
        <v>19079</v>
      </c>
      <c r="J76" t="b">
        <v>0</v>
      </c>
      <c r="K76" t="b">
        <v>1</v>
      </c>
      <c r="L76" t="b">
        <v>1</v>
      </c>
      <c r="M76" t="str">
        <f t="shared" si="2"/>
        <v>YOUTUBE</v>
      </c>
      <c r="N76" t="str">
        <f t="shared" si="3"/>
        <v>Urban-YOUTUBE</v>
      </c>
      <c r="O76">
        <v>19079</v>
      </c>
    </row>
    <row r="77" spans="1:15" x14ac:dyDescent="0.3">
      <c r="A77">
        <v>32</v>
      </c>
      <c r="B77" t="s">
        <v>25</v>
      </c>
      <c r="C77" s="1">
        <v>2</v>
      </c>
      <c r="D77" t="s">
        <v>28</v>
      </c>
      <c r="E77" t="s">
        <v>20</v>
      </c>
      <c r="F77" t="s">
        <v>27</v>
      </c>
      <c r="G77" t="s">
        <v>23</v>
      </c>
      <c r="H77" t="s">
        <v>21</v>
      </c>
      <c r="I77" s="2">
        <v>18399</v>
      </c>
      <c r="J77" t="b">
        <v>1</v>
      </c>
      <c r="K77" t="b">
        <v>1</v>
      </c>
      <c r="L77" t="b">
        <v>1</v>
      </c>
      <c r="M77" t="str">
        <f t="shared" si="2"/>
        <v>YOUTUBE</v>
      </c>
      <c r="N77" t="str">
        <f t="shared" si="3"/>
        <v>Sub_Urban-YOUTUBE</v>
      </c>
      <c r="O77">
        <v>18399</v>
      </c>
    </row>
    <row r="78" spans="1:15" x14ac:dyDescent="0.3">
      <c r="A78">
        <v>25</v>
      </c>
      <c r="B78" t="s">
        <v>25</v>
      </c>
      <c r="C78" s="1">
        <v>9</v>
      </c>
      <c r="D78" t="s">
        <v>13</v>
      </c>
      <c r="E78" t="s">
        <v>20</v>
      </c>
      <c r="F78" t="s">
        <v>15</v>
      </c>
      <c r="G78" t="s">
        <v>16</v>
      </c>
      <c r="H78" t="s">
        <v>21</v>
      </c>
      <c r="I78" s="2">
        <v>10148</v>
      </c>
      <c r="J78" t="b">
        <v>0</v>
      </c>
      <c r="K78" t="b">
        <v>0</v>
      </c>
      <c r="L78" t="b">
        <v>0</v>
      </c>
      <c r="M78" t="str">
        <f t="shared" si="2"/>
        <v>INSTAGRAM</v>
      </c>
      <c r="N78" t="str">
        <f t="shared" si="3"/>
        <v>Urban-INSTAGRAM</v>
      </c>
      <c r="O78">
        <v>10148</v>
      </c>
    </row>
    <row r="79" spans="1:15" x14ac:dyDescent="0.3">
      <c r="A79">
        <v>31</v>
      </c>
      <c r="B79" t="s">
        <v>12</v>
      </c>
      <c r="C79" s="1">
        <v>2</v>
      </c>
      <c r="D79" t="s">
        <v>13</v>
      </c>
      <c r="E79" t="s">
        <v>14</v>
      </c>
      <c r="F79" t="s">
        <v>15</v>
      </c>
      <c r="G79" t="s">
        <v>29</v>
      </c>
      <c r="H79" t="s">
        <v>24</v>
      </c>
      <c r="I79" s="2">
        <v>18001</v>
      </c>
      <c r="J79" t="b">
        <v>1</v>
      </c>
      <c r="K79" t="b">
        <v>0</v>
      </c>
      <c r="L79" t="b">
        <v>1</v>
      </c>
      <c r="M79" t="str">
        <f t="shared" si="2"/>
        <v>INSTAGRAM</v>
      </c>
      <c r="N79" t="str">
        <f t="shared" si="3"/>
        <v>Rural-INSTAGRAM</v>
      </c>
      <c r="O79">
        <v>18001</v>
      </c>
    </row>
    <row r="80" spans="1:15" x14ac:dyDescent="0.3">
      <c r="A80">
        <v>40</v>
      </c>
      <c r="B80" t="s">
        <v>12</v>
      </c>
      <c r="C80" s="1">
        <v>9</v>
      </c>
      <c r="D80" t="s">
        <v>28</v>
      </c>
      <c r="E80" t="s">
        <v>14</v>
      </c>
      <c r="F80" t="s">
        <v>15</v>
      </c>
      <c r="G80" t="s">
        <v>23</v>
      </c>
      <c r="H80" t="s">
        <v>24</v>
      </c>
      <c r="I80" s="2">
        <v>10437</v>
      </c>
      <c r="J80" t="b">
        <v>0</v>
      </c>
      <c r="K80" t="b">
        <v>0</v>
      </c>
      <c r="L80" t="b">
        <v>0</v>
      </c>
      <c r="M80" t="str">
        <f t="shared" si="2"/>
        <v>YOUTUBE</v>
      </c>
      <c r="N80" t="str">
        <f t="shared" si="3"/>
        <v>Sub_Urban-YOUTUBE</v>
      </c>
      <c r="O80">
        <v>10437</v>
      </c>
    </row>
    <row r="81" spans="1:15" x14ac:dyDescent="0.3">
      <c r="A81">
        <v>57</v>
      </c>
      <c r="B81" t="s">
        <v>18</v>
      </c>
      <c r="C81" s="1">
        <v>7</v>
      </c>
      <c r="D81" t="s">
        <v>19</v>
      </c>
      <c r="E81" t="s">
        <v>26</v>
      </c>
      <c r="F81" t="s">
        <v>27</v>
      </c>
      <c r="G81" t="s">
        <v>23</v>
      </c>
      <c r="H81" t="s">
        <v>17</v>
      </c>
      <c r="I81" s="2">
        <v>13749</v>
      </c>
      <c r="J81" t="b">
        <v>0</v>
      </c>
      <c r="K81" t="b">
        <v>1</v>
      </c>
      <c r="L81" t="b">
        <v>0</v>
      </c>
      <c r="M81" t="str">
        <f t="shared" si="2"/>
        <v>FACEBOOK</v>
      </c>
      <c r="N81" t="str">
        <f t="shared" si="3"/>
        <v>Sub_Urban-FACEBOOK</v>
      </c>
      <c r="O81">
        <v>13749</v>
      </c>
    </row>
    <row r="82" spans="1:15" x14ac:dyDescent="0.3">
      <c r="A82">
        <v>38</v>
      </c>
      <c r="B82" t="s">
        <v>25</v>
      </c>
      <c r="C82" s="1">
        <v>8</v>
      </c>
      <c r="D82" t="s">
        <v>19</v>
      </c>
      <c r="E82" t="s">
        <v>14</v>
      </c>
      <c r="F82" t="s">
        <v>15</v>
      </c>
      <c r="G82" t="s">
        <v>16</v>
      </c>
      <c r="H82" t="s">
        <v>24</v>
      </c>
      <c r="I82" s="2">
        <v>18186</v>
      </c>
      <c r="J82" t="b">
        <v>0</v>
      </c>
      <c r="K82" t="b">
        <v>1</v>
      </c>
      <c r="L82" t="b">
        <v>0</v>
      </c>
      <c r="M82" t="str">
        <f t="shared" si="2"/>
        <v>FACEBOOK</v>
      </c>
      <c r="N82" t="str">
        <f t="shared" si="3"/>
        <v>Urban-FACEBOOK</v>
      </c>
      <c r="O82">
        <v>18186</v>
      </c>
    </row>
    <row r="83" spans="1:15" x14ac:dyDescent="0.3">
      <c r="A83">
        <v>33</v>
      </c>
      <c r="B83" t="s">
        <v>25</v>
      </c>
      <c r="C83" s="1">
        <v>2</v>
      </c>
      <c r="D83" t="s">
        <v>19</v>
      </c>
      <c r="E83" t="s">
        <v>26</v>
      </c>
      <c r="F83" t="s">
        <v>22</v>
      </c>
      <c r="G83" t="s">
        <v>29</v>
      </c>
      <c r="H83" t="s">
        <v>24</v>
      </c>
      <c r="I83" s="2">
        <v>14453</v>
      </c>
      <c r="J83" t="b">
        <v>1</v>
      </c>
      <c r="K83" t="b">
        <v>1</v>
      </c>
      <c r="L83" t="b">
        <v>1</v>
      </c>
      <c r="M83" t="str">
        <f t="shared" si="2"/>
        <v>FACEBOOK</v>
      </c>
      <c r="N83" t="str">
        <f t="shared" si="3"/>
        <v>Rural-FACEBOOK</v>
      </c>
      <c r="O83">
        <v>14453</v>
      </c>
    </row>
    <row r="84" spans="1:15" x14ac:dyDescent="0.3">
      <c r="A84">
        <v>62</v>
      </c>
      <c r="B84" t="s">
        <v>12</v>
      </c>
      <c r="C84" s="1">
        <v>7</v>
      </c>
      <c r="D84" t="s">
        <v>13</v>
      </c>
      <c r="E84" t="s">
        <v>14</v>
      </c>
      <c r="F84" t="s">
        <v>15</v>
      </c>
      <c r="G84" t="s">
        <v>23</v>
      </c>
      <c r="H84" t="s">
        <v>24</v>
      </c>
      <c r="I84" s="2">
        <v>15336</v>
      </c>
      <c r="J84" t="b">
        <v>0</v>
      </c>
      <c r="K84" t="b">
        <v>0</v>
      </c>
      <c r="L84" t="b">
        <v>1</v>
      </c>
      <c r="M84" t="str">
        <f t="shared" si="2"/>
        <v>INSTAGRAM</v>
      </c>
      <c r="N84" t="str">
        <f t="shared" si="3"/>
        <v>Sub_Urban-INSTAGRAM</v>
      </c>
      <c r="O84">
        <v>15336</v>
      </c>
    </row>
    <row r="85" spans="1:15" x14ac:dyDescent="0.3">
      <c r="A85">
        <v>35</v>
      </c>
      <c r="B85" t="s">
        <v>18</v>
      </c>
      <c r="C85" s="1">
        <v>6</v>
      </c>
      <c r="D85" t="s">
        <v>19</v>
      </c>
      <c r="E85" t="s">
        <v>14</v>
      </c>
      <c r="F85" t="s">
        <v>27</v>
      </c>
      <c r="G85" t="s">
        <v>23</v>
      </c>
      <c r="H85" t="s">
        <v>17</v>
      </c>
      <c r="I85" s="2">
        <v>14551</v>
      </c>
      <c r="J85" t="b">
        <v>1</v>
      </c>
      <c r="K85" t="b">
        <v>1</v>
      </c>
      <c r="L85" t="b">
        <v>0</v>
      </c>
      <c r="M85" t="str">
        <f t="shared" si="2"/>
        <v>FACEBOOK</v>
      </c>
      <c r="N85" t="str">
        <f t="shared" si="3"/>
        <v>Sub_Urban-FACEBOOK</v>
      </c>
      <c r="O85">
        <v>14551</v>
      </c>
    </row>
    <row r="86" spans="1:15" x14ac:dyDescent="0.3">
      <c r="A86">
        <v>64</v>
      </c>
      <c r="B86" t="s">
        <v>12</v>
      </c>
      <c r="C86" s="1">
        <v>4</v>
      </c>
      <c r="D86" t="s">
        <v>13</v>
      </c>
      <c r="E86" t="s">
        <v>20</v>
      </c>
      <c r="F86" t="s">
        <v>15</v>
      </c>
      <c r="G86" t="s">
        <v>16</v>
      </c>
      <c r="H86" t="s">
        <v>24</v>
      </c>
      <c r="I86" s="2">
        <v>12823</v>
      </c>
      <c r="J86" t="b">
        <v>0</v>
      </c>
      <c r="K86" t="b">
        <v>0</v>
      </c>
      <c r="L86" t="b">
        <v>1</v>
      </c>
      <c r="M86" t="str">
        <f t="shared" si="2"/>
        <v>INSTAGRAM</v>
      </c>
      <c r="N86" t="str">
        <f t="shared" si="3"/>
        <v>Urban-INSTAGRAM</v>
      </c>
      <c r="O86">
        <v>12823</v>
      </c>
    </row>
    <row r="87" spans="1:15" x14ac:dyDescent="0.3">
      <c r="A87">
        <v>41</v>
      </c>
      <c r="B87" t="s">
        <v>12</v>
      </c>
      <c r="C87" s="1">
        <v>7</v>
      </c>
      <c r="D87" t="s">
        <v>13</v>
      </c>
      <c r="E87" t="s">
        <v>14</v>
      </c>
      <c r="F87" t="s">
        <v>15</v>
      </c>
      <c r="G87" t="s">
        <v>16</v>
      </c>
      <c r="H87" t="s">
        <v>17</v>
      </c>
      <c r="I87" s="2">
        <v>15728</v>
      </c>
      <c r="J87" t="b">
        <v>0</v>
      </c>
      <c r="K87" t="b">
        <v>1</v>
      </c>
      <c r="L87" t="b">
        <v>0</v>
      </c>
      <c r="M87" t="str">
        <f t="shared" si="2"/>
        <v>INSTAGRAM</v>
      </c>
      <c r="N87" t="str">
        <f t="shared" si="3"/>
        <v>Urban-INSTAGRAM</v>
      </c>
      <c r="O87">
        <v>15728</v>
      </c>
    </row>
    <row r="88" spans="1:15" x14ac:dyDescent="0.3">
      <c r="A88">
        <v>43</v>
      </c>
      <c r="B88" t="s">
        <v>12</v>
      </c>
      <c r="C88" s="1">
        <v>4</v>
      </c>
      <c r="D88" t="s">
        <v>19</v>
      </c>
      <c r="E88" t="s">
        <v>14</v>
      </c>
      <c r="F88" t="s">
        <v>22</v>
      </c>
      <c r="G88" t="s">
        <v>29</v>
      </c>
      <c r="H88" t="s">
        <v>21</v>
      </c>
      <c r="I88" s="2">
        <v>18677</v>
      </c>
      <c r="J88" t="b">
        <v>0</v>
      </c>
      <c r="K88" t="b">
        <v>0</v>
      </c>
      <c r="L88" t="b">
        <v>1</v>
      </c>
      <c r="M88" t="str">
        <f t="shared" si="2"/>
        <v>FACEBOOK</v>
      </c>
      <c r="N88" t="str">
        <f t="shared" si="3"/>
        <v>Rural-FACEBOOK</v>
      </c>
      <c r="O88">
        <v>18677</v>
      </c>
    </row>
    <row r="89" spans="1:15" x14ac:dyDescent="0.3">
      <c r="A89">
        <v>42</v>
      </c>
      <c r="B89" t="s">
        <v>12</v>
      </c>
      <c r="C89" s="1">
        <v>2</v>
      </c>
      <c r="D89" t="s">
        <v>19</v>
      </c>
      <c r="E89" t="s">
        <v>26</v>
      </c>
      <c r="F89" t="s">
        <v>15</v>
      </c>
      <c r="G89" t="s">
        <v>16</v>
      </c>
      <c r="H89" t="s">
        <v>24</v>
      </c>
      <c r="I89" s="2">
        <v>18391</v>
      </c>
      <c r="J89" t="b">
        <v>0</v>
      </c>
      <c r="K89" t="b">
        <v>1</v>
      </c>
      <c r="L89" t="b">
        <v>0</v>
      </c>
      <c r="M89" t="str">
        <f t="shared" si="2"/>
        <v>FACEBOOK</v>
      </c>
      <c r="N89" t="str">
        <f t="shared" si="3"/>
        <v>Urban-FACEBOOK</v>
      </c>
      <c r="O89">
        <v>18391</v>
      </c>
    </row>
    <row r="90" spans="1:15" x14ac:dyDescent="0.3">
      <c r="A90">
        <v>62</v>
      </c>
      <c r="B90" t="s">
        <v>25</v>
      </c>
      <c r="C90" s="1">
        <v>7</v>
      </c>
      <c r="D90" t="s">
        <v>28</v>
      </c>
      <c r="E90" t="s">
        <v>14</v>
      </c>
      <c r="F90" t="s">
        <v>22</v>
      </c>
      <c r="G90" t="s">
        <v>29</v>
      </c>
      <c r="H90" t="s">
        <v>17</v>
      </c>
      <c r="I90" s="2">
        <v>11982</v>
      </c>
      <c r="J90" t="b">
        <v>0</v>
      </c>
      <c r="K90" t="b">
        <v>0</v>
      </c>
      <c r="L90" t="b">
        <v>0</v>
      </c>
      <c r="M90" t="str">
        <f t="shared" si="2"/>
        <v>YOUTUBE</v>
      </c>
      <c r="N90" t="str">
        <f t="shared" si="3"/>
        <v>Rural-YOUTUBE</v>
      </c>
      <c r="O90">
        <v>11982</v>
      </c>
    </row>
    <row r="91" spans="1:15" x14ac:dyDescent="0.3">
      <c r="A91">
        <v>58</v>
      </c>
      <c r="B91" t="s">
        <v>25</v>
      </c>
      <c r="C91" s="1">
        <v>8</v>
      </c>
      <c r="D91" t="s">
        <v>28</v>
      </c>
      <c r="E91" t="s">
        <v>26</v>
      </c>
      <c r="F91" t="s">
        <v>22</v>
      </c>
      <c r="G91" t="s">
        <v>23</v>
      </c>
      <c r="H91" t="s">
        <v>24</v>
      </c>
      <c r="I91" s="2">
        <v>16996</v>
      </c>
      <c r="J91" t="b">
        <v>1</v>
      </c>
      <c r="K91" t="b">
        <v>1</v>
      </c>
      <c r="L91" t="b">
        <v>1</v>
      </c>
      <c r="M91" t="str">
        <f t="shared" si="2"/>
        <v>YOUTUBE</v>
      </c>
      <c r="N91" t="str">
        <f t="shared" si="3"/>
        <v>Sub_Urban-YOUTUBE</v>
      </c>
      <c r="O91">
        <v>16996</v>
      </c>
    </row>
    <row r="92" spans="1:15" x14ac:dyDescent="0.3">
      <c r="A92">
        <v>46</v>
      </c>
      <c r="B92" t="s">
        <v>12</v>
      </c>
      <c r="C92" s="1">
        <v>2</v>
      </c>
      <c r="D92" t="s">
        <v>19</v>
      </c>
      <c r="E92" t="s">
        <v>14</v>
      </c>
      <c r="F92" t="s">
        <v>27</v>
      </c>
      <c r="G92" t="s">
        <v>29</v>
      </c>
      <c r="H92" t="s">
        <v>21</v>
      </c>
      <c r="I92" s="2">
        <v>19663</v>
      </c>
      <c r="J92" t="b">
        <v>1</v>
      </c>
      <c r="K92" t="b">
        <v>1</v>
      </c>
      <c r="L92" t="b">
        <v>1</v>
      </c>
      <c r="M92" t="str">
        <f t="shared" si="2"/>
        <v>FACEBOOK</v>
      </c>
      <c r="N92" t="str">
        <f t="shared" si="3"/>
        <v>Rural-FACEBOOK</v>
      </c>
      <c r="O92">
        <v>19663</v>
      </c>
    </row>
    <row r="93" spans="1:15" x14ac:dyDescent="0.3">
      <c r="A93">
        <v>32</v>
      </c>
      <c r="B93" t="s">
        <v>18</v>
      </c>
      <c r="C93" s="1">
        <v>5</v>
      </c>
      <c r="D93" t="s">
        <v>13</v>
      </c>
      <c r="E93" t="s">
        <v>14</v>
      </c>
      <c r="F93" t="s">
        <v>22</v>
      </c>
      <c r="G93" t="s">
        <v>29</v>
      </c>
      <c r="H93" t="s">
        <v>17</v>
      </c>
      <c r="I93" s="2">
        <v>12311</v>
      </c>
      <c r="J93" t="b">
        <v>1</v>
      </c>
      <c r="K93" t="b">
        <v>0</v>
      </c>
      <c r="L93" t="b">
        <v>1</v>
      </c>
      <c r="M93" t="str">
        <f t="shared" si="2"/>
        <v>INSTAGRAM</v>
      </c>
      <c r="N93" t="str">
        <f t="shared" si="3"/>
        <v>Rural-INSTAGRAM</v>
      </c>
      <c r="O93">
        <v>12311</v>
      </c>
    </row>
    <row r="94" spans="1:15" x14ac:dyDescent="0.3">
      <c r="A94">
        <v>62</v>
      </c>
      <c r="B94" t="s">
        <v>18</v>
      </c>
      <c r="C94" s="1">
        <v>1</v>
      </c>
      <c r="D94" t="s">
        <v>13</v>
      </c>
      <c r="E94" t="s">
        <v>26</v>
      </c>
      <c r="F94" t="s">
        <v>22</v>
      </c>
      <c r="G94" t="s">
        <v>29</v>
      </c>
      <c r="H94" t="s">
        <v>17</v>
      </c>
      <c r="I94" s="2">
        <v>17225</v>
      </c>
      <c r="J94" t="b">
        <v>0</v>
      </c>
      <c r="K94" t="b">
        <v>0</v>
      </c>
      <c r="L94" t="b">
        <v>1</v>
      </c>
      <c r="M94" t="str">
        <f t="shared" si="2"/>
        <v>INSTAGRAM</v>
      </c>
      <c r="N94" t="str">
        <f t="shared" si="3"/>
        <v>Rural-INSTAGRAM</v>
      </c>
      <c r="O94">
        <v>17225</v>
      </c>
    </row>
    <row r="95" spans="1:15" x14ac:dyDescent="0.3">
      <c r="A95">
        <v>18</v>
      </c>
      <c r="B95" t="s">
        <v>18</v>
      </c>
      <c r="C95" s="1">
        <v>7</v>
      </c>
      <c r="D95" t="s">
        <v>13</v>
      </c>
      <c r="E95" t="s">
        <v>20</v>
      </c>
      <c r="F95" t="s">
        <v>27</v>
      </c>
      <c r="G95" t="s">
        <v>23</v>
      </c>
      <c r="H95" t="s">
        <v>17</v>
      </c>
      <c r="I95" s="2">
        <v>19713</v>
      </c>
      <c r="J95" t="b">
        <v>0</v>
      </c>
      <c r="K95" t="b">
        <v>1</v>
      </c>
      <c r="L95" t="b">
        <v>0</v>
      </c>
      <c r="M95" t="str">
        <f t="shared" si="2"/>
        <v>INSTAGRAM</v>
      </c>
      <c r="N95" t="str">
        <f t="shared" si="3"/>
        <v>Sub_Urban-INSTAGRAM</v>
      </c>
      <c r="O95">
        <v>19713</v>
      </c>
    </row>
    <row r="96" spans="1:15" x14ac:dyDescent="0.3">
      <c r="A96">
        <v>42</v>
      </c>
      <c r="B96" t="s">
        <v>18</v>
      </c>
      <c r="C96" s="1">
        <v>8</v>
      </c>
      <c r="D96" t="s">
        <v>13</v>
      </c>
      <c r="E96" t="s">
        <v>26</v>
      </c>
      <c r="F96" t="s">
        <v>22</v>
      </c>
      <c r="G96" t="s">
        <v>16</v>
      </c>
      <c r="H96" t="s">
        <v>21</v>
      </c>
      <c r="I96" s="2">
        <v>10604</v>
      </c>
      <c r="J96" t="b">
        <v>1</v>
      </c>
      <c r="K96" t="b">
        <v>0</v>
      </c>
      <c r="L96" t="b">
        <v>0</v>
      </c>
      <c r="M96" t="str">
        <f t="shared" si="2"/>
        <v>INSTAGRAM</v>
      </c>
      <c r="N96" t="str">
        <f t="shared" si="3"/>
        <v>Urban-INSTAGRAM</v>
      </c>
      <c r="O96">
        <v>10604</v>
      </c>
    </row>
    <row r="97" spans="1:15" x14ac:dyDescent="0.3">
      <c r="A97">
        <v>24</v>
      </c>
      <c r="B97" t="s">
        <v>12</v>
      </c>
      <c r="C97" s="1">
        <v>6</v>
      </c>
      <c r="D97" t="s">
        <v>13</v>
      </c>
      <c r="E97" t="s">
        <v>26</v>
      </c>
      <c r="F97" t="s">
        <v>27</v>
      </c>
      <c r="G97" t="s">
        <v>23</v>
      </c>
      <c r="H97" t="s">
        <v>21</v>
      </c>
      <c r="I97" s="2">
        <v>18175</v>
      </c>
      <c r="J97" t="b">
        <v>0</v>
      </c>
      <c r="K97" t="b">
        <v>1</v>
      </c>
      <c r="L97" t="b">
        <v>1</v>
      </c>
      <c r="M97" t="str">
        <f t="shared" si="2"/>
        <v>INSTAGRAM</v>
      </c>
      <c r="N97" t="str">
        <f t="shared" si="3"/>
        <v>Sub_Urban-INSTAGRAM</v>
      </c>
      <c r="O97">
        <v>18175</v>
      </c>
    </row>
    <row r="98" spans="1:15" x14ac:dyDescent="0.3">
      <c r="A98">
        <v>26</v>
      </c>
      <c r="B98" t="s">
        <v>25</v>
      </c>
      <c r="C98" s="1">
        <v>5</v>
      </c>
      <c r="D98" t="s">
        <v>28</v>
      </c>
      <c r="E98" t="s">
        <v>26</v>
      </c>
      <c r="F98" t="s">
        <v>15</v>
      </c>
      <c r="G98" t="s">
        <v>16</v>
      </c>
      <c r="H98" t="s">
        <v>21</v>
      </c>
      <c r="I98" s="2">
        <v>15785</v>
      </c>
      <c r="J98" t="b">
        <v>0</v>
      </c>
      <c r="K98" t="b">
        <v>0</v>
      </c>
      <c r="L98" t="b">
        <v>1</v>
      </c>
      <c r="M98" t="str">
        <f t="shared" si="2"/>
        <v>YOUTUBE</v>
      </c>
      <c r="N98" t="str">
        <f t="shared" si="3"/>
        <v>Urban-YOUTUBE</v>
      </c>
      <c r="O98">
        <v>15785</v>
      </c>
    </row>
    <row r="99" spans="1:15" x14ac:dyDescent="0.3">
      <c r="A99">
        <v>41</v>
      </c>
      <c r="B99" t="s">
        <v>18</v>
      </c>
      <c r="C99" s="1">
        <v>6</v>
      </c>
      <c r="D99" t="s">
        <v>19</v>
      </c>
      <c r="E99" t="s">
        <v>20</v>
      </c>
      <c r="F99" t="s">
        <v>27</v>
      </c>
      <c r="G99" t="s">
        <v>29</v>
      </c>
      <c r="H99" t="s">
        <v>17</v>
      </c>
      <c r="I99" s="2">
        <v>19609</v>
      </c>
      <c r="J99" t="b">
        <v>0</v>
      </c>
      <c r="K99" t="b">
        <v>1</v>
      </c>
      <c r="L99" t="b">
        <v>0</v>
      </c>
      <c r="M99" t="str">
        <f t="shared" si="2"/>
        <v>FACEBOOK</v>
      </c>
      <c r="N99" t="str">
        <f t="shared" si="3"/>
        <v>Rural-FACEBOOK</v>
      </c>
      <c r="O99">
        <v>19609</v>
      </c>
    </row>
    <row r="100" spans="1:15" x14ac:dyDescent="0.3">
      <c r="A100">
        <v>18</v>
      </c>
      <c r="B100" t="s">
        <v>12</v>
      </c>
      <c r="C100" s="1">
        <v>2</v>
      </c>
      <c r="D100" t="s">
        <v>28</v>
      </c>
      <c r="E100" t="s">
        <v>14</v>
      </c>
      <c r="F100" t="s">
        <v>22</v>
      </c>
      <c r="G100" t="s">
        <v>29</v>
      </c>
      <c r="H100" t="s">
        <v>21</v>
      </c>
      <c r="I100" s="2">
        <v>14597</v>
      </c>
      <c r="J100" t="b">
        <v>1</v>
      </c>
      <c r="K100" t="b">
        <v>0</v>
      </c>
      <c r="L100" t="b">
        <v>1</v>
      </c>
      <c r="M100" t="str">
        <f t="shared" si="2"/>
        <v>YOUTUBE</v>
      </c>
      <c r="N100" t="str">
        <f t="shared" si="3"/>
        <v>Rural-YOUTUBE</v>
      </c>
      <c r="O100">
        <v>14597</v>
      </c>
    </row>
    <row r="101" spans="1:15" x14ac:dyDescent="0.3">
      <c r="A101">
        <v>61</v>
      </c>
      <c r="B101" t="s">
        <v>18</v>
      </c>
      <c r="C101" s="1">
        <v>1</v>
      </c>
      <c r="D101" t="s">
        <v>13</v>
      </c>
      <c r="E101" t="s">
        <v>26</v>
      </c>
      <c r="F101" t="s">
        <v>27</v>
      </c>
      <c r="G101" t="s">
        <v>29</v>
      </c>
      <c r="H101" t="s">
        <v>24</v>
      </c>
      <c r="I101" s="2">
        <v>17759</v>
      </c>
      <c r="J101" t="b">
        <v>1</v>
      </c>
      <c r="K101" t="b">
        <v>1</v>
      </c>
      <c r="L101" t="b">
        <v>1</v>
      </c>
      <c r="M101" t="str">
        <f t="shared" si="2"/>
        <v>INSTAGRAM</v>
      </c>
      <c r="N101" t="str">
        <f t="shared" si="3"/>
        <v>Rural-INSTAGRAM</v>
      </c>
      <c r="O101">
        <v>17759</v>
      </c>
    </row>
    <row r="102" spans="1:15" x14ac:dyDescent="0.3">
      <c r="A102">
        <v>25</v>
      </c>
      <c r="B102" t="s">
        <v>18</v>
      </c>
      <c r="C102" s="1">
        <v>7</v>
      </c>
      <c r="D102" t="s">
        <v>13</v>
      </c>
      <c r="E102" t="s">
        <v>26</v>
      </c>
      <c r="F102" t="s">
        <v>22</v>
      </c>
      <c r="G102" t="s">
        <v>29</v>
      </c>
      <c r="H102" t="s">
        <v>21</v>
      </c>
      <c r="I102" s="2">
        <v>17532</v>
      </c>
      <c r="J102" t="b">
        <v>1</v>
      </c>
      <c r="K102" t="b">
        <v>1</v>
      </c>
      <c r="L102" t="b">
        <v>1</v>
      </c>
      <c r="M102" t="str">
        <f t="shared" si="2"/>
        <v>INSTAGRAM</v>
      </c>
      <c r="N102" t="str">
        <f t="shared" si="3"/>
        <v>Rural-INSTAGRAM</v>
      </c>
      <c r="O102">
        <v>17532</v>
      </c>
    </row>
    <row r="103" spans="1:15" x14ac:dyDescent="0.3">
      <c r="A103">
        <v>41</v>
      </c>
      <c r="B103" t="s">
        <v>12</v>
      </c>
      <c r="C103" s="1">
        <v>7</v>
      </c>
      <c r="D103" t="s">
        <v>13</v>
      </c>
      <c r="E103" t="s">
        <v>20</v>
      </c>
      <c r="F103" t="s">
        <v>15</v>
      </c>
      <c r="G103" t="s">
        <v>29</v>
      </c>
      <c r="H103" t="s">
        <v>17</v>
      </c>
      <c r="I103" s="2">
        <v>18740</v>
      </c>
      <c r="J103" t="b">
        <v>1</v>
      </c>
      <c r="K103" t="b">
        <v>1</v>
      </c>
      <c r="L103" t="b">
        <v>1</v>
      </c>
      <c r="M103" t="str">
        <f t="shared" si="2"/>
        <v>INSTAGRAM</v>
      </c>
      <c r="N103" t="str">
        <f t="shared" si="3"/>
        <v>Rural-INSTAGRAM</v>
      </c>
      <c r="O103">
        <v>18740</v>
      </c>
    </row>
    <row r="104" spans="1:15" x14ac:dyDescent="0.3">
      <c r="A104">
        <v>28</v>
      </c>
      <c r="B104" t="s">
        <v>25</v>
      </c>
      <c r="C104" s="1">
        <v>2</v>
      </c>
      <c r="D104" t="s">
        <v>13</v>
      </c>
      <c r="E104" t="s">
        <v>26</v>
      </c>
      <c r="F104" t="s">
        <v>27</v>
      </c>
      <c r="G104" t="s">
        <v>16</v>
      </c>
      <c r="H104" t="s">
        <v>24</v>
      </c>
      <c r="I104" s="2">
        <v>10838</v>
      </c>
      <c r="J104" t="b">
        <v>1</v>
      </c>
      <c r="K104" t="b">
        <v>0</v>
      </c>
      <c r="L104" t="b">
        <v>0</v>
      </c>
      <c r="M104" t="str">
        <f t="shared" si="2"/>
        <v>INSTAGRAM</v>
      </c>
      <c r="N104" t="str">
        <f t="shared" si="3"/>
        <v>Urban-INSTAGRAM</v>
      </c>
      <c r="O104">
        <v>10838</v>
      </c>
    </row>
    <row r="105" spans="1:15" x14ac:dyDescent="0.3">
      <c r="A105">
        <v>34</v>
      </c>
      <c r="B105" t="s">
        <v>25</v>
      </c>
      <c r="C105" s="1">
        <v>2</v>
      </c>
      <c r="D105" t="s">
        <v>19</v>
      </c>
      <c r="E105" t="s">
        <v>14</v>
      </c>
      <c r="F105" t="s">
        <v>15</v>
      </c>
      <c r="G105" t="s">
        <v>16</v>
      </c>
      <c r="H105" t="s">
        <v>21</v>
      </c>
      <c r="I105" s="2">
        <v>13815</v>
      </c>
      <c r="J105" t="b">
        <v>0</v>
      </c>
      <c r="K105" t="b">
        <v>1</v>
      </c>
      <c r="L105" t="b">
        <v>0</v>
      </c>
      <c r="M105" t="str">
        <f t="shared" si="2"/>
        <v>FACEBOOK</v>
      </c>
      <c r="N105" t="str">
        <f t="shared" si="3"/>
        <v>Urban-FACEBOOK</v>
      </c>
      <c r="O105">
        <v>13815</v>
      </c>
    </row>
    <row r="106" spans="1:15" x14ac:dyDescent="0.3">
      <c r="A106">
        <v>25</v>
      </c>
      <c r="B106" t="s">
        <v>12</v>
      </c>
      <c r="C106" s="1">
        <v>1</v>
      </c>
      <c r="D106" t="s">
        <v>13</v>
      </c>
      <c r="E106" t="s">
        <v>20</v>
      </c>
      <c r="F106" t="s">
        <v>22</v>
      </c>
      <c r="G106" t="s">
        <v>29</v>
      </c>
      <c r="H106" t="s">
        <v>24</v>
      </c>
      <c r="I106" s="2">
        <v>10847</v>
      </c>
      <c r="J106" t="b">
        <v>0</v>
      </c>
      <c r="K106" t="b">
        <v>0</v>
      </c>
      <c r="L106" t="b">
        <v>1</v>
      </c>
      <c r="M106" t="str">
        <f t="shared" si="2"/>
        <v>INSTAGRAM</v>
      </c>
      <c r="N106" t="str">
        <f t="shared" si="3"/>
        <v>Rural-INSTAGRAM</v>
      </c>
      <c r="O106">
        <v>10847</v>
      </c>
    </row>
    <row r="107" spans="1:15" x14ac:dyDescent="0.3">
      <c r="A107">
        <v>52</v>
      </c>
      <c r="B107" t="s">
        <v>25</v>
      </c>
      <c r="C107" s="1">
        <v>8</v>
      </c>
      <c r="D107" t="s">
        <v>19</v>
      </c>
      <c r="E107" t="s">
        <v>14</v>
      </c>
      <c r="F107" t="s">
        <v>22</v>
      </c>
      <c r="G107" t="s">
        <v>23</v>
      </c>
      <c r="H107" t="s">
        <v>24</v>
      </c>
      <c r="I107" s="2">
        <v>14709</v>
      </c>
      <c r="J107" t="b">
        <v>0</v>
      </c>
      <c r="K107" t="b">
        <v>0</v>
      </c>
      <c r="L107" t="b">
        <v>0</v>
      </c>
      <c r="M107" t="str">
        <f t="shared" si="2"/>
        <v>FACEBOOK</v>
      </c>
      <c r="N107" t="str">
        <f t="shared" si="3"/>
        <v>Sub_Urban-FACEBOOK</v>
      </c>
      <c r="O107">
        <v>14709</v>
      </c>
    </row>
    <row r="108" spans="1:15" x14ac:dyDescent="0.3">
      <c r="A108">
        <v>52</v>
      </c>
      <c r="B108" t="s">
        <v>12</v>
      </c>
      <c r="C108" s="1">
        <v>8</v>
      </c>
      <c r="D108" t="s">
        <v>13</v>
      </c>
      <c r="E108" t="s">
        <v>14</v>
      </c>
      <c r="F108" t="s">
        <v>15</v>
      </c>
      <c r="G108" t="s">
        <v>23</v>
      </c>
      <c r="H108" t="s">
        <v>17</v>
      </c>
      <c r="I108" s="2">
        <v>14507</v>
      </c>
      <c r="J108" t="b">
        <v>0</v>
      </c>
      <c r="K108" t="b">
        <v>0</v>
      </c>
      <c r="L108" t="b">
        <v>1</v>
      </c>
      <c r="M108" t="str">
        <f t="shared" si="2"/>
        <v>INSTAGRAM</v>
      </c>
      <c r="N108" t="str">
        <f t="shared" si="3"/>
        <v>Sub_Urban-INSTAGRAM</v>
      </c>
      <c r="O108">
        <v>14507</v>
      </c>
    </row>
    <row r="109" spans="1:15" x14ac:dyDescent="0.3">
      <c r="A109">
        <v>50</v>
      </c>
      <c r="B109" t="s">
        <v>12</v>
      </c>
      <c r="C109" s="1">
        <v>1</v>
      </c>
      <c r="D109" t="s">
        <v>19</v>
      </c>
      <c r="E109" t="s">
        <v>20</v>
      </c>
      <c r="F109" t="s">
        <v>27</v>
      </c>
      <c r="G109" t="s">
        <v>29</v>
      </c>
      <c r="H109" t="s">
        <v>24</v>
      </c>
      <c r="I109" s="2">
        <v>16575</v>
      </c>
      <c r="J109" t="b">
        <v>1</v>
      </c>
      <c r="K109" t="b">
        <v>1</v>
      </c>
      <c r="L109" t="b">
        <v>1</v>
      </c>
      <c r="M109" t="str">
        <f t="shared" si="2"/>
        <v>FACEBOOK</v>
      </c>
      <c r="N109" t="str">
        <f t="shared" si="3"/>
        <v>Rural-FACEBOOK</v>
      </c>
      <c r="O109">
        <v>16575</v>
      </c>
    </row>
    <row r="110" spans="1:15" x14ac:dyDescent="0.3">
      <c r="A110">
        <v>22</v>
      </c>
      <c r="B110" t="s">
        <v>12</v>
      </c>
      <c r="C110" s="1">
        <v>8</v>
      </c>
      <c r="D110" t="s">
        <v>28</v>
      </c>
      <c r="E110" t="s">
        <v>26</v>
      </c>
      <c r="F110" t="s">
        <v>27</v>
      </c>
      <c r="G110" t="s">
        <v>16</v>
      </c>
      <c r="H110" t="s">
        <v>24</v>
      </c>
      <c r="I110" s="2">
        <v>14773</v>
      </c>
      <c r="J110" t="b">
        <v>1</v>
      </c>
      <c r="K110" t="b">
        <v>0</v>
      </c>
      <c r="L110" t="b">
        <v>1</v>
      </c>
      <c r="M110" t="str">
        <f t="shared" si="2"/>
        <v>YOUTUBE</v>
      </c>
      <c r="N110" t="str">
        <f t="shared" si="3"/>
        <v>Urban-YOUTUBE</v>
      </c>
      <c r="O110">
        <v>14773</v>
      </c>
    </row>
    <row r="111" spans="1:15" x14ac:dyDescent="0.3">
      <c r="A111">
        <v>59</v>
      </c>
      <c r="B111" t="s">
        <v>25</v>
      </c>
      <c r="C111" s="1">
        <v>9</v>
      </c>
      <c r="D111" t="s">
        <v>13</v>
      </c>
      <c r="E111" t="s">
        <v>14</v>
      </c>
      <c r="F111" t="s">
        <v>22</v>
      </c>
      <c r="G111" t="s">
        <v>23</v>
      </c>
      <c r="H111" t="s">
        <v>17</v>
      </c>
      <c r="I111" s="2">
        <v>14468</v>
      </c>
      <c r="J111" t="b">
        <v>0</v>
      </c>
      <c r="K111" t="b">
        <v>0</v>
      </c>
      <c r="L111" t="b">
        <v>0</v>
      </c>
      <c r="M111" t="str">
        <f t="shared" si="2"/>
        <v>INSTAGRAM</v>
      </c>
      <c r="N111" t="str">
        <f t="shared" si="3"/>
        <v>Sub_Urban-INSTAGRAM</v>
      </c>
      <c r="O111">
        <v>14468</v>
      </c>
    </row>
    <row r="112" spans="1:15" x14ac:dyDescent="0.3">
      <c r="A112">
        <v>56</v>
      </c>
      <c r="B112" t="s">
        <v>12</v>
      </c>
      <c r="C112" s="1">
        <v>4</v>
      </c>
      <c r="D112" t="s">
        <v>19</v>
      </c>
      <c r="E112" t="s">
        <v>14</v>
      </c>
      <c r="F112" t="s">
        <v>15</v>
      </c>
      <c r="G112" t="s">
        <v>23</v>
      </c>
      <c r="H112" t="s">
        <v>17</v>
      </c>
      <c r="I112" s="2">
        <v>15192</v>
      </c>
      <c r="J112" t="b">
        <v>1</v>
      </c>
      <c r="K112" t="b">
        <v>0</v>
      </c>
      <c r="L112" t="b">
        <v>0</v>
      </c>
      <c r="M112" t="str">
        <f t="shared" si="2"/>
        <v>FACEBOOK</v>
      </c>
      <c r="N112" t="str">
        <f t="shared" si="3"/>
        <v>Sub_Urban-FACEBOOK</v>
      </c>
      <c r="O112">
        <v>15192</v>
      </c>
    </row>
    <row r="113" spans="1:15" x14ac:dyDescent="0.3">
      <c r="A113">
        <v>58</v>
      </c>
      <c r="B113" t="s">
        <v>18</v>
      </c>
      <c r="C113" s="1">
        <v>1</v>
      </c>
      <c r="D113" t="s">
        <v>28</v>
      </c>
      <c r="E113" t="s">
        <v>14</v>
      </c>
      <c r="F113" t="s">
        <v>15</v>
      </c>
      <c r="G113" t="s">
        <v>23</v>
      </c>
      <c r="H113" t="s">
        <v>17</v>
      </c>
      <c r="I113" s="2">
        <v>13320</v>
      </c>
      <c r="J113" t="b">
        <v>0</v>
      </c>
      <c r="K113" t="b">
        <v>1</v>
      </c>
      <c r="L113" t="b">
        <v>0</v>
      </c>
      <c r="M113" t="str">
        <f t="shared" si="2"/>
        <v>YOUTUBE</v>
      </c>
      <c r="N113" t="str">
        <f t="shared" si="3"/>
        <v>Sub_Urban-YOUTUBE</v>
      </c>
      <c r="O113">
        <v>13320</v>
      </c>
    </row>
    <row r="114" spans="1:15" x14ac:dyDescent="0.3">
      <c r="A114">
        <v>45</v>
      </c>
      <c r="B114" t="s">
        <v>25</v>
      </c>
      <c r="C114" s="1">
        <v>1</v>
      </c>
      <c r="D114" t="s">
        <v>13</v>
      </c>
      <c r="E114" t="s">
        <v>14</v>
      </c>
      <c r="F114" t="s">
        <v>27</v>
      </c>
      <c r="G114" t="s">
        <v>29</v>
      </c>
      <c r="H114" t="s">
        <v>24</v>
      </c>
      <c r="I114" s="2">
        <v>14698</v>
      </c>
      <c r="J114" t="b">
        <v>0</v>
      </c>
      <c r="K114" t="b">
        <v>0</v>
      </c>
      <c r="L114" t="b">
        <v>0</v>
      </c>
      <c r="M114" t="str">
        <f t="shared" si="2"/>
        <v>INSTAGRAM</v>
      </c>
      <c r="N114" t="str">
        <f t="shared" si="3"/>
        <v>Rural-INSTAGRAM</v>
      </c>
      <c r="O114">
        <v>14698</v>
      </c>
    </row>
    <row r="115" spans="1:15" x14ac:dyDescent="0.3">
      <c r="A115">
        <v>24</v>
      </c>
      <c r="B115" t="s">
        <v>25</v>
      </c>
      <c r="C115" s="1">
        <v>3</v>
      </c>
      <c r="D115" t="s">
        <v>13</v>
      </c>
      <c r="E115" t="s">
        <v>20</v>
      </c>
      <c r="F115" t="s">
        <v>27</v>
      </c>
      <c r="G115" t="s">
        <v>23</v>
      </c>
      <c r="H115" t="s">
        <v>24</v>
      </c>
      <c r="I115" s="2">
        <v>14311</v>
      </c>
      <c r="J115" t="b">
        <v>0</v>
      </c>
      <c r="K115" t="b">
        <v>0</v>
      </c>
      <c r="L115" t="b">
        <v>0</v>
      </c>
      <c r="M115" t="str">
        <f t="shared" si="2"/>
        <v>INSTAGRAM</v>
      </c>
      <c r="N115" t="str">
        <f t="shared" si="3"/>
        <v>Sub_Urban-INSTAGRAM</v>
      </c>
      <c r="O115">
        <v>14311</v>
      </c>
    </row>
    <row r="116" spans="1:15" x14ac:dyDescent="0.3">
      <c r="A116">
        <v>26</v>
      </c>
      <c r="B116" t="s">
        <v>25</v>
      </c>
      <c r="C116" s="1">
        <v>5</v>
      </c>
      <c r="D116" t="s">
        <v>13</v>
      </c>
      <c r="E116" t="s">
        <v>20</v>
      </c>
      <c r="F116" t="s">
        <v>27</v>
      </c>
      <c r="G116" t="s">
        <v>23</v>
      </c>
      <c r="H116" t="s">
        <v>24</v>
      </c>
      <c r="I116" s="2">
        <v>13673</v>
      </c>
      <c r="J116" t="b">
        <v>0</v>
      </c>
      <c r="K116" t="b">
        <v>0</v>
      </c>
      <c r="L116" t="b">
        <v>1</v>
      </c>
      <c r="M116" t="str">
        <f t="shared" si="2"/>
        <v>INSTAGRAM</v>
      </c>
      <c r="N116" t="str">
        <f t="shared" si="3"/>
        <v>Sub_Urban-INSTAGRAM</v>
      </c>
      <c r="O116">
        <v>13673</v>
      </c>
    </row>
    <row r="117" spans="1:15" x14ac:dyDescent="0.3">
      <c r="A117">
        <v>25</v>
      </c>
      <c r="B117" t="s">
        <v>25</v>
      </c>
      <c r="C117" s="1">
        <v>5</v>
      </c>
      <c r="D117" t="s">
        <v>19</v>
      </c>
      <c r="E117" t="s">
        <v>14</v>
      </c>
      <c r="F117" t="s">
        <v>15</v>
      </c>
      <c r="G117" t="s">
        <v>23</v>
      </c>
      <c r="H117" t="s">
        <v>17</v>
      </c>
      <c r="I117" s="2">
        <v>11564</v>
      </c>
      <c r="J117" t="b">
        <v>1</v>
      </c>
      <c r="K117" t="b">
        <v>0</v>
      </c>
      <c r="L117" t="b">
        <v>1</v>
      </c>
      <c r="M117" t="str">
        <f t="shared" si="2"/>
        <v>FACEBOOK</v>
      </c>
      <c r="N117" t="str">
        <f t="shared" si="3"/>
        <v>Sub_Urban-FACEBOOK</v>
      </c>
      <c r="O117">
        <v>11564</v>
      </c>
    </row>
    <row r="118" spans="1:15" x14ac:dyDescent="0.3">
      <c r="A118">
        <v>29</v>
      </c>
      <c r="B118" t="s">
        <v>18</v>
      </c>
      <c r="C118" s="1">
        <v>9</v>
      </c>
      <c r="D118" t="s">
        <v>19</v>
      </c>
      <c r="E118" t="s">
        <v>26</v>
      </c>
      <c r="F118" t="s">
        <v>27</v>
      </c>
      <c r="G118" t="s">
        <v>23</v>
      </c>
      <c r="H118" t="s">
        <v>21</v>
      </c>
      <c r="I118" s="2">
        <v>11840</v>
      </c>
      <c r="J118" t="b">
        <v>0</v>
      </c>
      <c r="K118" t="b">
        <v>1</v>
      </c>
      <c r="L118" t="b">
        <v>0</v>
      </c>
      <c r="M118" t="str">
        <f t="shared" si="2"/>
        <v>FACEBOOK</v>
      </c>
      <c r="N118" t="str">
        <f t="shared" si="3"/>
        <v>Sub_Urban-FACEBOOK</v>
      </c>
      <c r="O118">
        <v>11840</v>
      </c>
    </row>
    <row r="119" spans="1:15" x14ac:dyDescent="0.3">
      <c r="A119">
        <v>51</v>
      </c>
      <c r="B119" t="s">
        <v>25</v>
      </c>
      <c r="C119" s="1">
        <v>2</v>
      </c>
      <c r="D119" t="s">
        <v>28</v>
      </c>
      <c r="E119" t="s">
        <v>14</v>
      </c>
      <c r="F119" t="s">
        <v>27</v>
      </c>
      <c r="G119" t="s">
        <v>16</v>
      </c>
      <c r="H119" t="s">
        <v>24</v>
      </c>
      <c r="I119" s="2">
        <v>16058</v>
      </c>
      <c r="J119" t="b">
        <v>1</v>
      </c>
      <c r="K119" t="b">
        <v>1</v>
      </c>
      <c r="L119" t="b">
        <v>0</v>
      </c>
      <c r="M119" t="str">
        <f t="shared" si="2"/>
        <v>YOUTUBE</v>
      </c>
      <c r="N119" t="str">
        <f t="shared" si="3"/>
        <v>Urban-YOUTUBE</v>
      </c>
      <c r="O119">
        <v>16058</v>
      </c>
    </row>
    <row r="120" spans="1:15" x14ac:dyDescent="0.3">
      <c r="A120">
        <v>50</v>
      </c>
      <c r="B120" t="s">
        <v>25</v>
      </c>
      <c r="C120" s="1">
        <v>2</v>
      </c>
      <c r="D120" t="s">
        <v>19</v>
      </c>
      <c r="E120" t="s">
        <v>26</v>
      </c>
      <c r="F120" t="s">
        <v>22</v>
      </c>
      <c r="G120" t="s">
        <v>29</v>
      </c>
      <c r="H120" t="s">
        <v>21</v>
      </c>
      <c r="I120" s="2">
        <v>17131</v>
      </c>
      <c r="J120" t="b">
        <v>0</v>
      </c>
      <c r="K120" t="b">
        <v>0</v>
      </c>
      <c r="L120" t="b">
        <v>0</v>
      </c>
      <c r="M120" t="str">
        <f t="shared" si="2"/>
        <v>FACEBOOK</v>
      </c>
      <c r="N120" t="str">
        <f t="shared" si="3"/>
        <v>Rural-FACEBOOK</v>
      </c>
      <c r="O120">
        <v>17131</v>
      </c>
    </row>
    <row r="121" spans="1:15" x14ac:dyDescent="0.3">
      <c r="A121">
        <v>40</v>
      </c>
      <c r="B121" t="s">
        <v>12</v>
      </c>
      <c r="C121" s="1">
        <v>6</v>
      </c>
      <c r="D121" t="s">
        <v>19</v>
      </c>
      <c r="E121" t="s">
        <v>14</v>
      </c>
      <c r="F121" t="s">
        <v>27</v>
      </c>
      <c r="G121" t="s">
        <v>29</v>
      </c>
      <c r="H121" t="s">
        <v>17</v>
      </c>
      <c r="I121" s="2">
        <v>10726</v>
      </c>
      <c r="J121" t="b">
        <v>0</v>
      </c>
      <c r="K121" t="b">
        <v>0</v>
      </c>
      <c r="L121" t="b">
        <v>1</v>
      </c>
      <c r="M121" t="str">
        <f t="shared" si="2"/>
        <v>FACEBOOK</v>
      </c>
      <c r="N121" t="str">
        <f t="shared" si="3"/>
        <v>Rural-FACEBOOK</v>
      </c>
      <c r="O121">
        <v>10726</v>
      </c>
    </row>
    <row r="122" spans="1:15" x14ac:dyDescent="0.3">
      <c r="A122">
        <v>41</v>
      </c>
      <c r="B122" t="s">
        <v>25</v>
      </c>
      <c r="C122" s="1">
        <v>9</v>
      </c>
      <c r="D122" t="s">
        <v>13</v>
      </c>
      <c r="E122" t="s">
        <v>26</v>
      </c>
      <c r="F122" t="s">
        <v>27</v>
      </c>
      <c r="G122" t="s">
        <v>16</v>
      </c>
      <c r="H122" t="s">
        <v>24</v>
      </c>
      <c r="I122" s="2">
        <v>19436</v>
      </c>
      <c r="J122" t="b">
        <v>0</v>
      </c>
      <c r="K122" t="b">
        <v>0</v>
      </c>
      <c r="L122" t="b">
        <v>0</v>
      </c>
      <c r="M122" t="str">
        <f t="shared" si="2"/>
        <v>INSTAGRAM</v>
      </c>
      <c r="N122" t="str">
        <f t="shared" si="3"/>
        <v>Urban-INSTAGRAM</v>
      </c>
      <c r="O122">
        <v>19436</v>
      </c>
    </row>
    <row r="123" spans="1:15" x14ac:dyDescent="0.3">
      <c r="A123">
        <v>54</v>
      </c>
      <c r="B123" t="s">
        <v>18</v>
      </c>
      <c r="C123" s="1">
        <v>1</v>
      </c>
      <c r="D123" t="s">
        <v>13</v>
      </c>
      <c r="E123" t="s">
        <v>14</v>
      </c>
      <c r="F123" t="s">
        <v>15</v>
      </c>
      <c r="G123" t="s">
        <v>16</v>
      </c>
      <c r="H123" t="s">
        <v>21</v>
      </c>
      <c r="I123" s="2">
        <v>16697</v>
      </c>
      <c r="J123" t="b">
        <v>0</v>
      </c>
      <c r="K123" t="b">
        <v>0</v>
      </c>
      <c r="L123" t="b">
        <v>1</v>
      </c>
      <c r="M123" t="str">
        <f t="shared" si="2"/>
        <v>INSTAGRAM</v>
      </c>
      <c r="N123" t="str">
        <f t="shared" si="3"/>
        <v>Urban-INSTAGRAM</v>
      </c>
      <c r="O123">
        <v>16697</v>
      </c>
    </row>
    <row r="124" spans="1:15" x14ac:dyDescent="0.3">
      <c r="A124">
        <v>52</v>
      </c>
      <c r="B124" t="s">
        <v>18</v>
      </c>
      <c r="C124" s="1">
        <v>9</v>
      </c>
      <c r="D124" t="s">
        <v>13</v>
      </c>
      <c r="E124" t="s">
        <v>26</v>
      </c>
      <c r="F124" t="s">
        <v>15</v>
      </c>
      <c r="G124" t="s">
        <v>29</v>
      </c>
      <c r="H124" t="s">
        <v>24</v>
      </c>
      <c r="I124" s="2">
        <v>19257</v>
      </c>
      <c r="J124" t="b">
        <v>1</v>
      </c>
      <c r="K124" t="b">
        <v>1</v>
      </c>
      <c r="L124" t="b">
        <v>1</v>
      </c>
      <c r="M124" t="str">
        <f t="shared" si="2"/>
        <v>INSTAGRAM</v>
      </c>
      <c r="N124" t="str">
        <f t="shared" si="3"/>
        <v>Rural-INSTAGRAM</v>
      </c>
      <c r="O124">
        <v>19257</v>
      </c>
    </row>
    <row r="125" spans="1:15" x14ac:dyDescent="0.3">
      <c r="A125">
        <v>61</v>
      </c>
      <c r="B125" t="s">
        <v>18</v>
      </c>
      <c r="C125" s="1">
        <v>9</v>
      </c>
      <c r="D125" t="s">
        <v>13</v>
      </c>
      <c r="E125" t="s">
        <v>14</v>
      </c>
      <c r="F125" t="s">
        <v>22</v>
      </c>
      <c r="G125" t="s">
        <v>23</v>
      </c>
      <c r="H125" t="s">
        <v>24</v>
      </c>
      <c r="I125" s="2">
        <v>10282</v>
      </c>
      <c r="J125" t="b">
        <v>0</v>
      </c>
      <c r="K125" t="b">
        <v>1</v>
      </c>
      <c r="L125" t="b">
        <v>0</v>
      </c>
      <c r="M125" t="str">
        <f t="shared" si="2"/>
        <v>INSTAGRAM</v>
      </c>
      <c r="N125" t="str">
        <f t="shared" si="3"/>
        <v>Sub_Urban-INSTAGRAM</v>
      </c>
      <c r="O125">
        <v>10282</v>
      </c>
    </row>
    <row r="126" spans="1:15" x14ac:dyDescent="0.3">
      <c r="A126">
        <v>57</v>
      </c>
      <c r="B126" t="s">
        <v>18</v>
      </c>
      <c r="C126" s="1">
        <v>9</v>
      </c>
      <c r="D126" t="s">
        <v>13</v>
      </c>
      <c r="E126" t="s">
        <v>14</v>
      </c>
      <c r="F126" t="s">
        <v>27</v>
      </c>
      <c r="G126" t="s">
        <v>23</v>
      </c>
      <c r="H126" t="s">
        <v>24</v>
      </c>
      <c r="I126" s="2">
        <v>11081</v>
      </c>
      <c r="J126" t="b">
        <v>1</v>
      </c>
      <c r="K126" t="b">
        <v>1</v>
      </c>
      <c r="L126" t="b">
        <v>1</v>
      </c>
      <c r="M126" t="str">
        <f t="shared" si="2"/>
        <v>INSTAGRAM</v>
      </c>
      <c r="N126" t="str">
        <f t="shared" si="3"/>
        <v>Sub_Urban-INSTAGRAM</v>
      </c>
      <c r="O126">
        <v>11081</v>
      </c>
    </row>
    <row r="127" spans="1:15" x14ac:dyDescent="0.3">
      <c r="A127">
        <v>39</v>
      </c>
      <c r="B127" t="s">
        <v>25</v>
      </c>
      <c r="C127" s="1">
        <v>5</v>
      </c>
      <c r="D127" t="s">
        <v>13</v>
      </c>
      <c r="E127" t="s">
        <v>26</v>
      </c>
      <c r="F127" t="s">
        <v>22</v>
      </c>
      <c r="G127" t="s">
        <v>29</v>
      </c>
      <c r="H127" t="s">
        <v>21</v>
      </c>
      <c r="I127" s="2">
        <v>13885</v>
      </c>
      <c r="J127" t="b">
        <v>0</v>
      </c>
      <c r="K127" t="b">
        <v>1</v>
      </c>
      <c r="L127" t="b">
        <v>1</v>
      </c>
      <c r="M127" t="str">
        <f t="shared" si="2"/>
        <v>INSTAGRAM</v>
      </c>
      <c r="N127" t="str">
        <f t="shared" si="3"/>
        <v>Rural-INSTAGRAM</v>
      </c>
      <c r="O127">
        <v>13885</v>
      </c>
    </row>
    <row r="128" spans="1:15" x14ac:dyDescent="0.3">
      <c r="A128">
        <v>44</v>
      </c>
      <c r="B128" t="s">
        <v>25</v>
      </c>
      <c r="C128" s="1">
        <v>9</v>
      </c>
      <c r="D128" t="s">
        <v>13</v>
      </c>
      <c r="E128" t="s">
        <v>20</v>
      </c>
      <c r="F128" t="s">
        <v>15</v>
      </c>
      <c r="G128" t="s">
        <v>23</v>
      </c>
      <c r="H128" t="s">
        <v>17</v>
      </c>
      <c r="I128" s="2">
        <v>12881</v>
      </c>
      <c r="J128" t="b">
        <v>0</v>
      </c>
      <c r="K128" t="b">
        <v>0</v>
      </c>
      <c r="L128" t="b">
        <v>0</v>
      </c>
      <c r="M128" t="str">
        <f t="shared" si="2"/>
        <v>INSTAGRAM</v>
      </c>
      <c r="N128" t="str">
        <f t="shared" si="3"/>
        <v>Sub_Urban-INSTAGRAM</v>
      </c>
      <c r="O128">
        <v>12881</v>
      </c>
    </row>
    <row r="129" spans="1:15" x14ac:dyDescent="0.3">
      <c r="A129">
        <v>52</v>
      </c>
      <c r="B129" t="s">
        <v>18</v>
      </c>
      <c r="C129" s="1">
        <v>4</v>
      </c>
      <c r="D129" t="s">
        <v>28</v>
      </c>
      <c r="E129" t="s">
        <v>26</v>
      </c>
      <c r="F129" t="s">
        <v>22</v>
      </c>
      <c r="G129" t="s">
        <v>16</v>
      </c>
      <c r="H129" t="s">
        <v>24</v>
      </c>
      <c r="I129" s="2">
        <v>12970</v>
      </c>
      <c r="J129" t="b">
        <v>0</v>
      </c>
      <c r="K129" t="b">
        <v>0</v>
      </c>
      <c r="L129" t="b">
        <v>1</v>
      </c>
      <c r="M129" t="str">
        <f t="shared" si="2"/>
        <v>YOUTUBE</v>
      </c>
      <c r="N129" t="str">
        <f t="shared" si="3"/>
        <v>Urban-YOUTUBE</v>
      </c>
      <c r="O129">
        <v>12970</v>
      </c>
    </row>
    <row r="130" spans="1:15" x14ac:dyDescent="0.3">
      <c r="A130">
        <v>18</v>
      </c>
      <c r="B130" t="s">
        <v>18</v>
      </c>
      <c r="C130" s="1">
        <v>2</v>
      </c>
      <c r="D130" t="s">
        <v>28</v>
      </c>
      <c r="E130" t="s">
        <v>20</v>
      </c>
      <c r="F130" t="s">
        <v>15</v>
      </c>
      <c r="G130" t="s">
        <v>23</v>
      </c>
      <c r="H130" t="s">
        <v>17</v>
      </c>
      <c r="I130" s="2">
        <v>19344</v>
      </c>
      <c r="J130" t="b">
        <v>1</v>
      </c>
      <c r="K130" t="b">
        <v>1</v>
      </c>
      <c r="L130" t="b">
        <v>0</v>
      </c>
      <c r="M130" t="str">
        <f t="shared" ref="M130:M193" si="4">UPPER(D130)</f>
        <v>YOUTUBE</v>
      </c>
      <c r="N130" t="str">
        <f t="shared" ref="N130:N193" si="5">_xlfn.CONCAT(G130,"-",M130)</f>
        <v>Sub_Urban-YOUTUBE</v>
      </c>
      <c r="O130">
        <v>19344</v>
      </c>
    </row>
    <row r="131" spans="1:15" x14ac:dyDescent="0.3">
      <c r="A131">
        <v>52</v>
      </c>
      <c r="B131" t="s">
        <v>25</v>
      </c>
      <c r="C131" s="1">
        <v>6</v>
      </c>
      <c r="D131" t="s">
        <v>28</v>
      </c>
      <c r="E131" t="s">
        <v>14</v>
      </c>
      <c r="F131" t="s">
        <v>22</v>
      </c>
      <c r="G131" t="s">
        <v>23</v>
      </c>
      <c r="H131" t="s">
        <v>17</v>
      </c>
      <c r="I131" s="2">
        <v>16985</v>
      </c>
      <c r="J131" t="b">
        <v>0</v>
      </c>
      <c r="K131" t="b">
        <v>1</v>
      </c>
      <c r="L131" t="b">
        <v>1</v>
      </c>
      <c r="M131" t="str">
        <f t="shared" si="4"/>
        <v>YOUTUBE</v>
      </c>
      <c r="N131" t="str">
        <f t="shared" si="5"/>
        <v>Sub_Urban-YOUTUBE</v>
      </c>
      <c r="O131">
        <v>16985</v>
      </c>
    </row>
    <row r="132" spans="1:15" x14ac:dyDescent="0.3">
      <c r="A132">
        <v>54</v>
      </c>
      <c r="B132" t="s">
        <v>18</v>
      </c>
      <c r="C132" s="1">
        <v>4</v>
      </c>
      <c r="D132" t="s">
        <v>28</v>
      </c>
      <c r="E132" t="s">
        <v>26</v>
      </c>
      <c r="F132" t="s">
        <v>22</v>
      </c>
      <c r="G132" t="s">
        <v>23</v>
      </c>
      <c r="H132" t="s">
        <v>21</v>
      </c>
      <c r="I132" s="2">
        <v>10947</v>
      </c>
      <c r="J132" t="b">
        <v>0</v>
      </c>
      <c r="K132" t="b">
        <v>0</v>
      </c>
      <c r="L132" t="b">
        <v>0</v>
      </c>
      <c r="M132" t="str">
        <f t="shared" si="4"/>
        <v>YOUTUBE</v>
      </c>
      <c r="N132" t="str">
        <f t="shared" si="5"/>
        <v>Sub_Urban-YOUTUBE</v>
      </c>
      <c r="O132">
        <v>10947</v>
      </c>
    </row>
    <row r="133" spans="1:15" x14ac:dyDescent="0.3">
      <c r="A133">
        <v>64</v>
      </c>
      <c r="B133" t="s">
        <v>12</v>
      </c>
      <c r="C133" s="1">
        <v>6</v>
      </c>
      <c r="D133" t="s">
        <v>13</v>
      </c>
      <c r="E133" t="s">
        <v>26</v>
      </c>
      <c r="F133" t="s">
        <v>27</v>
      </c>
      <c r="G133" t="s">
        <v>29</v>
      </c>
      <c r="H133" t="s">
        <v>21</v>
      </c>
      <c r="I133" s="2">
        <v>14760</v>
      </c>
      <c r="J133" t="b">
        <v>0</v>
      </c>
      <c r="K133" t="b">
        <v>0</v>
      </c>
      <c r="L133" t="b">
        <v>0</v>
      </c>
      <c r="M133" t="str">
        <f t="shared" si="4"/>
        <v>INSTAGRAM</v>
      </c>
      <c r="N133" t="str">
        <f t="shared" si="5"/>
        <v>Rural-INSTAGRAM</v>
      </c>
      <c r="O133">
        <v>14760</v>
      </c>
    </row>
    <row r="134" spans="1:15" x14ac:dyDescent="0.3">
      <c r="A134">
        <v>31</v>
      </c>
      <c r="B134" t="s">
        <v>18</v>
      </c>
      <c r="C134" s="1">
        <v>3</v>
      </c>
      <c r="D134" t="s">
        <v>28</v>
      </c>
      <c r="E134" t="s">
        <v>26</v>
      </c>
      <c r="F134" t="s">
        <v>22</v>
      </c>
      <c r="G134" t="s">
        <v>16</v>
      </c>
      <c r="H134" t="s">
        <v>17</v>
      </c>
      <c r="I134" s="2">
        <v>19909</v>
      </c>
      <c r="J134" t="b">
        <v>0</v>
      </c>
      <c r="K134" t="b">
        <v>0</v>
      </c>
      <c r="L134" t="b">
        <v>1</v>
      </c>
      <c r="M134" t="str">
        <f t="shared" si="4"/>
        <v>YOUTUBE</v>
      </c>
      <c r="N134" t="str">
        <f t="shared" si="5"/>
        <v>Urban-YOUTUBE</v>
      </c>
      <c r="O134">
        <v>19909</v>
      </c>
    </row>
    <row r="135" spans="1:15" x14ac:dyDescent="0.3">
      <c r="A135">
        <v>20</v>
      </c>
      <c r="B135" t="s">
        <v>18</v>
      </c>
      <c r="C135" s="1">
        <v>6</v>
      </c>
      <c r="D135" t="s">
        <v>13</v>
      </c>
      <c r="E135" t="s">
        <v>20</v>
      </c>
      <c r="F135" t="s">
        <v>27</v>
      </c>
      <c r="G135" t="s">
        <v>23</v>
      </c>
      <c r="H135" t="s">
        <v>24</v>
      </c>
      <c r="I135" s="2">
        <v>10066</v>
      </c>
      <c r="J135" t="b">
        <v>0</v>
      </c>
      <c r="K135" t="b">
        <v>0</v>
      </c>
      <c r="L135" t="b">
        <v>0</v>
      </c>
      <c r="M135" t="str">
        <f t="shared" si="4"/>
        <v>INSTAGRAM</v>
      </c>
      <c r="N135" t="str">
        <f t="shared" si="5"/>
        <v>Sub_Urban-INSTAGRAM</v>
      </c>
      <c r="O135">
        <v>10066</v>
      </c>
    </row>
    <row r="136" spans="1:15" x14ac:dyDescent="0.3">
      <c r="A136">
        <v>18</v>
      </c>
      <c r="B136" t="s">
        <v>12</v>
      </c>
      <c r="C136" s="1">
        <v>2</v>
      </c>
      <c r="D136" t="s">
        <v>28</v>
      </c>
      <c r="E136" t="s">
        <v>20</v>
      </c>
      <c r="F136" t="s">
        <v>27</v>
      </c>
      <c r="G136" t="s">
        <v>29</v>
      </c>
      <c r="H136" t="s">
        <v>21</v>
      </c>
      <c r="I136" s="2">
        <v>18828</v>
      </c>
      <c r="J136" t="b">
        <v>1</v>
      </c>
      <c r="K136" t="b">
        <v>0</v>
      </c>
      <c r="L136" t="b">
        <v>1</v>
      </c>
      <c r="M136" t="str">
        <f t="shared" si="4"/>
        <v>YOUTUBE</v>
      </c>
      <c r="N136" t="str">
        <f t="shared" si="5"/>
        <v>Rural-YOUTUBE</v>
      </c>
      <c r="O136">
        <v>18828</v>
      </c>
    </row>
    <row r="137" spans="1:15" x14ac:dyDescent="0.3">
      <c r="A137">
        <v>22</v>
      </c>
      <c r="B137" t="s">
        <v>12</v>
      </c>
      <c r="C137" s="1">
        <v>2</v>
      </c>
      <c r="D137" t="s">
        <v>19</v>
      </c>
      <c r="E137" t="s">
        <v>14</v>
      </c>
      <c r="F137" t="s">
        <v>27</v>
      </c>
      <c r="G137" t="s">
        <v>23</v>
      </c>
      <c r="H137" t="s">
        <v>24</v>
      </c>
      <c r="I137" s="2">
        <v>18505</v>
      </c>
      <c r="J137" t="b">
        <v>1</v>
      </c>
      <c r="K137" t="b">
        <v>1</v>
      </c>
      <c r="L137" t="b">
        <v>1</v>
      </c>
      <c r="M137" t="str">
        <f t="shared" si="4"/>
        <v>FACEBOOK</v>
      </c>
      <c r="N137" t="str">
        <f t="shared" si="5"/>
        <v>Sub_Urban-FACEBOOK</v>
      </c>
      <c r="O137">
        <v>18505</v>
      </c>
    </row>
    <row r="138" spans="1:15" x14ac:dyDescent="0.3">
      <c r="A138">
        <v>43</v>
      </c>
      <c r="B138" t="s">
        <v>25</v>
      </c>
      <c r="C138" s="1">
        <v>9</v>
      </c>
      <c r="D138" t="s">
        <v>28</v>
      </c>
      <c r="E138" t="s">
        <v>20</v>
      </c>
      <c r="F138" t="s">
        <v>27</v>
      </c>
      <c r="G138" t="s">
        <v>16</v>
      </c>
      <c r="H138" t="s">
        <v>24</v>
      </c>
      <c r="I138" s="2">
        <v>10564</v>
      </c>
      <c r="J138" t="b">
        <v>0</v>
      </c>
      <c r="K138" t="b">
        <v>1</v>
      </c>
      <c r="L138" t="b">
        <v>0</v>
      </c>
      <c r="M138" t="str">
        <f t="shared" si="4"/>
        <v>YOUTUBE</v>
      </c>
      <c r="N138" t="str">
        <f t="shared" si="5"/>
        <v>Urban-YOUTUBE</v>
      </c>
      <c r="O138">
        <v>10564</v>
      </c>
    </row>
    <row r="139" spans="1:15" x14ac:dyDescent="0.3">
      <c r="A139">
        <v>31</v>
      </c>
      <c r="B139" t="s">
        <v>25</v>
      </c>
      <c r="C139" s="1">
        <v>7</v>
      </c>
      <c r="D139" t="s">
        <v>28</v>
      </c>
      <c r="E139" t="s">
        <v>20</v>
      </c>
      <c r="F139" t="s">
        <v>22</v>
      </c>
      <c r="G139" t="s">
        <v>23</v>
      </c>
      <c r="H139" t="s">
        <v>24</v>
      </c>
      <c r="I139" s="2">
        <v>19793</v>
      </c>
      <c r="J139" t="b">
        <v>0</v>
      </c>
      <c r="K139" t="b">
        <v>0</v>
      </c>
      <c r="L139" t="b">
        <v>1</v>
      </c>
      <c r="M139" t="str">
        <f t="shared" si="4"/>
        <v>YOUTUBE</v>
      </c>
      <c r="N139" t="str">
        <f t="shared" si="5"/>
        <v>Sub_Urban-YOUTUBE</v>
      </c>
      <c r="O139">
        <v>19793</v>
      </c>
    </row>
    <row r="140" spans="1:15" x14ac:dyDescent="0.3">
      <c r="A140">
        <v>56</v>
      </c>
      <c r="B140" t="s">
        <v>12</v>
      </c>
      <c r="C140" s="1">
        <v>3</v>
      </c>
      <c r="D140" t="s">
        <v>13</v>
      </c>
      <c r="E140" t="s">
        <v>14</v>
      </c>
      <c r="F140" t="s">
        <v>15</v>
      </c>
      <c r="G140" t="s">
        <v>16</v>
      </c>
      <c r="H140" t="s">
        <v>17</v>
      </c>
      <c r="I140" s="2">
        <v>19017</v>
      </c>
      <c r="J140" t="b">
        <v>1</v>
      </c>
      <c r="K140" t="b">
        <v>0</v>
      </c>
      <c r="L140" t="b">
        <v>0</v>
      </c>
      <c r="M140" t="str">
        <f t="shared" si="4"/>
        <v>INSTAGRAM</v>
      </c>
      <c r="N140" t="str">
        <f t="shared" si="5"/>
        <v>Urban-INSTAGRAM</v>
      </c>
      <c r="O140">
        <v>19017</v>
      </c>
    </row>
    <row r="141" spans="1:15" x14ac:dyDescent="0.3">
      <c r="A141">
        <v>44</v>
      </c>
      <c r="B141" t="s">
        <v>12</v>
      </c>
      <c r="C141" s="1">
        <v>1</v>
      </c>
      <c r="D141" t="s">
        <v>28</v>
      </c>
      <c r="E141" t="s">
        <v>26</v>
      </c>
      <c r="F141" t="s">
        <v>15</v>
      </c>
      <c r="G141" t="s">
        <v>23</v>
      </c>
      <c r="H141" t="s">
        <v>24</v>
      </c>
      <c r="I141" s="2">
        <v>13670</v>
      </c>
      <c r="J141" t="b">
        <v>0</v>
      </c>
      <c r="K141" t="b">
        <v>1</v>
      </c>
      <c r="L141" t="b">
        <v>1</v>
      </c>
      <c r="M141" t="str">
        <f t="shared" si="4"/>
        <v>YOUTUBE</v>
      </c>
      <c r="N141" t="str">
        <f t="shared" si="5"/>
        <v>Sub_Urban-YOUTUBE</v>
      </c>
      <c r="O141">
        <v>13670</v>
      </c>
    </row>
    <row r="142" spans="1:15" x14ac:dyDescent="0.3">
      <c r="A142">
        <v>26</v>
      </c>
      <c r="B142" t="s">
        <v>25</v>
      </c>
      <c r="C142" s="1">
        <v>8</v>
      </c>
      <c r="D142" t="s">
        <v>19</v>
      </c>
      <c r="E142" t="s">
        <v>26</v>
      </c>
      <c r="F142" t="s">
        <v>15</v>
      </c>
      <c r="G142" t="s">
        <v>16</v>
      </c>
      <c r="H142" t="s">
        <v>17</v>
      </c>
      <c r="I142" s="2">
        <v>19217</v>
      </c>
      <c r="J142" t="b">
        <v>1</v>
      </c>
      <c r="K142" t="b">
        <v>0</v>
      </c>
      <c r="L142" t="b">
        <v>1</v>
      </c>
      <c r="M142" t="str">
        <f t="shared" si="4"/>
        <v>FACEBOOK</v>
      </c>
      <c r="N142" t="str">
        <f t="shared" si="5"/>
        <v>Urban-FACEBOOK</v>
      </c>
      <c r="O142">
        <v>19217</v>
      </c>
    </row>
    <row r="143" spans="1:15" x14ac:dyDescent="0.3">
      <c r="A143">
        <v>32</v>
      </c>
      <c r="B143" t="s">
        <v>18</v>
      </c>
      <c r="C143" s="1">
        <v>6</v>
      </c>
      <c r="D143" t="s">
        <v>13</v>
      </c>
      <c r="E143" t="s">
        <v>14</v>
      </c>
      <c r="F143" t="s">
        <v>22</v>
      </c>
      <c r="G143" t="s">
        <v>23</v>
      </c>
      <c r="H143" t="s">
        <v>17</v>
      </c>
      <c r="I143" s="2">
        <v>12251</v>
      </c>
      <c r="J143" t="b">
        <v>0</v>
      </c>
      <c r="K143" t="b">
        <v>1</v>
      </c>
      <c r="L143" t="b">
        <v>0</v>
      </c>
      <c r="M143" t="str">
        <f t="shared" si="4"/>
        <v>INSTAGRAM</v>
      </c>
      <c r="N143" t="str">
        <f t="shared" si="5"/>
        <v>Sub_Urban-INSTAGRAM</v>
      </c>
      <c r="O143">
        <v>12251</v>
      </c>
    </row>
    <row r="144" spans="1:15" x14ac:dyDescent="0.3">
      <c r="A144">
        <v>32</v>
      </c>
      <c r="B144" t="s">
        <v>12</v>
      </c>
      <c r="C144" s="1">
        <v>7</v>
      </c>
      <c r="D144" t="s">
        <v>13</v>
      </c>
      <c r="E144" t="s">
        <v>26</v>
      </c>
      <c r="F144" t="s">
        <v>27</v>
      </c>
      <c r="G144" t="s">
        <v>16</v>
      </c>
      <c r="H144" t="s">
        <v>24</v>
      </c>
      <c r="I144" s="2">
        <v>10804</v>
      </c>
      <c r="J144" t="b">
        <v>0</v>
      </c>
      <c r="K144" t="b">
        <v>1</v>
      </c>
      <c r="L144" t="b">
        <v>1</v>
      </c>
      <c r="M144" t="str">
        <f t="shared" si="4"/>
        <v>INSTAGRAM</v>
      </c>
      <c r="N144" t="str">
        <f t="shared" si="5"/>
        <v>Urban-INSTAGRAM</v>
      </c>
      <c r="O144">
        <v>10804</v>
      </c>
    </row>
    <row r="145" spans="1:15" x14ac:dyDescent="0.3">
      <c r="A145">
        <v>43</v>
      </c>
      <c r="B145" t="s">
        <v>25</v>
      </c>
      <c r="C145" s="1">
        <v>9</v>
      </c>
      <c r="D145" t="s">
        <v>28</v>
      </c>
      <c r="E145" t="s">
        <v>20</v>
      </c>
      <c r="F145" t="s">
        <v>15</v>
      </c>
      <c r="G145" t="s">
        <v>23</v>
      </c>
      <c r="H145" t="s">
        <v>24</v>
      </c>
      <c r="I145" s="2">
        <v>14631</v>
      </c>
      <c r="J145" t="b">
        <v>1</v>
      </c>
      <c r="K145" t="b">
        <v>1</v>
      </c>
      <c r="L145" t="b">
        <v>1</v>
      </c>
      <c r="M145" t="str">
        <f t="shared" si="4"/>
        <v>YOUTUBE</v>
      </c>
      <c r="N145" t="str">
        <f t="shared" si="5"/>
        <v>Sub_Urban-YOUTUBE</v>
      </c>
      <c r="O145">
        <v>14631</v>
      </c>
    </row>
    <row r="146" spans="1:15" x14ac:dyDescent="0.3">
      <c r="A146">
        <v>59</v>
      </c>
      <c r="B146" t="s">
        <v>18</v>
      </c>
      <c r="C146" s="1">
        <v>5</v>
      </c>
      <c r="D146" t="s">
        <v>13</v>
      </c>
      <c r="E146" t="s">
        <v>14</v>
      </c>
      <c r="F146" t="s">
        <v>22</v>
      </c>
      <c r="G146" t="s">
        <v>23</v>
      </c>
      <c r="H146" t="s">
        <v>24</v>
      </c>
      <c r="I146" s="2">
        <v>19583</v>
      </c>
      <c r="J146" t="b">
        <v>0</v>
      </c>
      <c r="K146" t="b">
        <v>1</v>
      </c>
      <c r="L146" t="b">
        <v>1</v>
      </c>
      <c r="M146" t="str">
        <f t="shared" si="4"/>
        <v>INSTAGRAM</v>
      </c>
      <c r="N146" t="str">
        <f t="shared" si="5"/>
        <v>Sub_Urban-INSTAGRAM</v>
      </c>
      <c r="O146">
        <v>19583</v>
      </c>
    </row>
    <row r="147" spans="1:15" x14ac:dyDescent="0.3">
      <c r="A147">
        <v>30</v>
      </c>
      <c r="B147" t="s">
        <v>12</v>
      </c>
      <c r="C147" s="1">
        <v>1</v>
      </c>
      <c r="D147" t="s">
        <v>13</v>
      </c>
      <c r="E147" t="s">
        <v>14</v>
      </c>
      <c r="F147" t="s">
        <v>27</v>
      </c>
      <c r="G147" t="s">
        <v>29</v>
      </c>
      <c r="H147" t="s">
        <v>24</v>
      </c>
      <c r="I147" s="2">
        <v>11235</v>
      </c>
      <c r="J147" t="b">
        <v>1</v>
      </c>
      <c r="K147" t="b">
        <v>0</v>
      </c>
      <c r="L147" t="b">
        <v>1</v>
      </c>
      <c r="M147" t="str">
        <f t="shared" si="4"/>
        <v>INSTAGRAM</v>
      </c>
      <c r="N147" t="str">
        <f t="shared" si="5"/>
        <v>Rural-INSTAGRAM</v>
      </c>
      <c r="O147">
        <v>11235</v>
      </c>
    </row>
    <row r="148" spans="1:15" x14ac:dyDescent="0.3">
      <c r="A148">
        <v>49</v>
      </c>
      <c r="B148" t="s">
        <v>18</v>
      </c>
      <c r="C148" s="1">
        <v>7</v>
      </c>
      <c r="D148" t="s">
        <v>13</v>
      </c>
      <c r="E148" t="s">
        <v>14</v>
      </c>
      <c r="F148" t="s">
        <v>15</v>
      </c>
      <c r="G148" t="s">
        <v>29</v>
      </c>
      <c r="H148" t="s">
        <v>17</v>
      </c>
      <c r="I148" s="2">
        <v>16720</v>
      </c>
      <c r="J148" t="b">
        <v>1</v>
      </c>
      <c r="K148" t="b">
        <v>0</v>
      </c>
      <c r="L148" t="b">
        <v>1</v>
      </c>
      <c r="M148" t="str">
        <f t="shared" si="4"/>
        <v>INSTAGRAM</v>
      </c>
      <c r="N148" t="str">
        <f t="shared" si="5"/>
        <v>Rural-INSTAGRAM</v>
      </c>
      <c r="O148">
        <v>16720</v>
      </c>
    </row>
    <row r="149" spans="1:15" x14ac:dyDescent="0.3">
      <c r="A149">
        <v>56</v>
      </c>
      <c r="B149" t="s">
        <v>25</v>
      </c>
      <c r="C149" s="1">
        <v>5</v>
      </c>
      <c r="D149" t="s">
        <v>13</v>
      </c>
      <c r="E149" t="s">
        <v>26</v>
      </c>
      <c r="F149" t="s">
        <v>27</v>
      </c>
      <c r="G149" t="s">
        <v>16</v>
      </c>
      <c r="H149" t="s">
        <v>24</v>
      </c>
      <c r="I149" s="2">
        <v>16906</v>
      </c>
      <c r="J149" t="b">
        <v>1</v>
      </c>
      <c r="K149" t="b">
        <v>1</v>
      </c>
      <c r="L149" t="b">
        <v>1</v>
      </c>
      <c r="M149" t="str">
        <f t="shared" si="4"/>
        <v>INSTAGRAM</v>
      </c>
      <c r="N149" t="str">
        <f t="shared" si="5"/>
        <v>Urban-INSTAGRAM</v>
      </c>
      <c r="O149">
        <v>16906</v>
      </c>
    </row>
    <row r="150" spans="1:15" x14ac:dyDescent="0.3">
      <c r="A150">
        <v>49</v>
      </c>
      <c r="B150" t="s">
        <v>12</v>
      </c>
      <c r="C150" s="1">
        <v>3</v>
      </c>
      <c r="D150" t="s">
        <v>13</v>
      </c>
      <c r="E150" t="s">
        <v>14</v>
      </c>
      <c r="F150" t="s">
        <v>15</v>
      </c>
      <c r="G150" t="s">
        <v>23</v>
      </c>
      <c r="H150" t="s">
        <v>24</v>
      </c>
      <c r="I150" s="2">
        <v>16016</v>
      </c>
      <c r="J150" t="b">
        <v>0</v>
      </c>
      <c r="K150" t="b">
        <v>0</v>
      </c>
      <c r="L150" t="b">
        <v>1</v>
      </c>
      <c r="M150" t="str">
        <f t="shared" si="4"/>
        <v>INSTAGRAM</v>
      </c>
      <c r="N150" t="str">
        <f t="shared" si="5"/>
        <v>Sub_Urban-INSTAGRAM</v>
      </c>
      <c r="O150">
        <v>16016</v>
      </c>
    </row>
    <row r="151" spans="1:15" x14ac:dyDescent="0.3">
      <c r="A151">
        <v>21</v>
      </c>
      <c r="B151" t="s">
        <v>18</v>
      </c>
      <c r="C151" s="1">
        <v>9</v>
      </c>
      <c r="D151" t="s">
        <v>13</v>
      </c>
      <c r="E151" t="s">
        <v>14</v>
      </c>
      <c r="F151" t="s">
        <v>15</v>
      </c>
      <c r="G151" t="s">
        <v>16</v>
      </c>
      <c r="H151" t="s">
        <v>17</v>
      </c>
      <c r="I151" s="2">
        <v>13549</v>
      </c>
      <c r="J151" t="b">
        <v>1</v>
      </c>
      <c r="K151" t="b">
        <v>0</v>
      </c>
      <c r="L151" t="b">
        <v>1</v>
      </c>
      <c r="M151" t="str">
        <f t="shared" si="4"/>
        <v>INSTAGRAM</v>
      </c>
      <c r="N151" t="str">
        <f t="shared" si="5"/>
        <v>Urban-INSTAGRAM</v>
      </c>
      <c r="O151">
        <v>13549</v>
      </c>
    </row>
    <row r="152" spans="1:15" x14ac:dyDescent="0.3">
      <c r="A152">
        <v>47</v>
      </c>
      <c r="B152" t="s">
        <v>12</v>
      </c>
      <c r="C152" s="1">
        <v>1</v>
      </c>
      <c r="D152" t="s">
        <v>19</v>
      </c>
      <c r="E152" t="s">
        <v>14</v>
      </c>
      <c r="F152" t="s">
        <v>15</v>
      </c>
      <c r="G152" t="s">
        <v>29</v>
      </c>
      <c r="H152" t="s">
        <v>21</v>
      </c>
      <c r="I152" s="2">
        <v>17938</v>
      </c>
      <c r="J152" t="b">
        <v>1</v>
      </c>
      <c r="K152" t="b">
        <v>0</v>
      </c>
      <c r="L152" t="b">
        <v>0</v>
      </c>
      <c r="M152" t="str">
        <f t="shared" si="4"/>
        <v>FACEBOOK</v>
      </c>
      <c r="N152" t="str">
        <f t="shared" si="5"/>
        <v>Rural-FACEBOOK</v>
      </c>
      <c r="O152">
        <v>17938</v>
      </c>
    </row>
    <row r="153" spans="1:15" x14ac:dyDescent="0.3">
      <c r="A153">
        <v>54</v>
      </c>
      <c r="B153" t="s">
        <v>18</v>
      </c>
      <c r="C153" s="1">
        <v>1</v>
      </c>
      <c r="D153" t="s">
        <v>28</v>
      </c>
      <c r="E153" t="s">
        <v>26</v>
      </c>
      <c r="F153" t="s">
        <v>27</v>
      </c>
      <c r="G153" t="s">
        <v>16</v>
      </c>
      <c r="H153" t="s">
        <v>21</v>
      </c>
      <c r="I153" s="2">
        <v>14141</v>
      </c>
      <c r="J153" t="b">
        <v>0</v>
      </c>
      <c r="K153" t="b">
        <v>0</v>
      </c>
      <c r="L153" t="b">
        <v>1</v>
      </c>
      <c r="M153" t="str">
        <f t="shared" si="4"/>
        <v>YOUTUBE</v>
      </c>
      <c r="N153" t="str">
        <f t="shared" si="5"/>
        <v>Urban-YOUTUBE</v>
      </c>
      <c r="O153">
        <v>14141</v>
      </c>
    </row>
    <row r="154" spans="1:15" x14ac:dyDescent="0.3">
      <c r="A154">
        <v>40</v>
      </c>
      <c r="B154" t="s">
        <v>25</v>
      </c>
      <c r="C154" s="1">
        <v>1</v>
      </c>
      <c r="D154" t="s">
        <v>19</v>
      </c>
      <c r="E154" t="s">
        <v>20</v>
      </c>
      <c r="F154" t="s">
        <v>22</v>
      </c>
      <c r="G154" t="s">
        <v>16</v>
      </c>
      <c r="H154" t="s">
        <v>17</v>
      </c>
      <c r="I154" s="2">
        <v>16966</v>
      </c>
      <c r="J154" t="b">
        <v>0</v>
      </c>
      <c r="K154" t="b">
        <v>1</v>
      </c>
      <c r="L154" t="b">
        <v>1</v>
      </c>
      <c r="M154" t="str">
        <f t="shared" si="4"/>
        <v>FACEBOOK</v>
      </c>
      <c r="N154" t="str">
        <f t="shared" si="5"/>
        <v>Urban-FACEBOOK</v>
      </c>
      <c r="O154">
        <v>16966</v>
      </c>
    </row>
    <row r="155" spans="1:15" x14ac:dyDescent="0.3">
      <c r="A155">
        <v>56</v>
      </c>
      <c r="B155" t="s">
        <v>25</v>
      </c>
      <c r="C155" s="1">
        <v>3</v>
      </c>
      <c r="D155" t="s">
        <v>13</v>
      </c>
      <c r="E155" t="s">
        <v>14</v>
      </c>
      <c r="F155" t="s">
        <v>27</v>
      </c>
      <c r="G155" t="s">
        <v>29</v>
      </c>
      <c r="H155" t="s">
        <v>21</v>
      </c>
      <c r="I155" s="2">
        <v>19546</v>
      </c>
      <c r="J155" t="b">
        <v>0</v>
      </c>
      <c r="K155" t="b">
        <v>0</v>
      </c>
      <c r="L155" t="b">
        <v>0</v>
      </c>
      <c r="M155" t="str">
        <f t="shared" si="4"/>
        <v>INSTAGRAM</v>
      </c>
      <c r="N155" t="str">
        <f t="shared" si="5"/>
        <v>Rural-INSTAGRAM</v>
      </c>
      <c r="O155">
        <v>19546</v>
      </c>
    </row>
    <row r="156" spans="1:15" x14ac:dyDescent="0.3">
      <c r="A156">
        <v>62</v>
      </c>
      <c r="B156" t="s">
        <v>12</v>
      </c>
      <c r="C156" s="1">
        <v>6</v>
      </c>
      <c r="D156" t="s">
        <v>13</v>
      </c>
      <c r="E156" t="s">
        <v>20</v>
      </c>
      <c r="F156" t="s">
        <v>15</v>
      </c>
      <c r="G156" t="s">
        <v>23</v>
      </c>
      <c r="H156" t="s">
        <v>17</v>
      </c>
      <c r="I156" s="2">
        <v>15335</v>
      </c>
      <c r="J156" t="b">
        <v>0</v>
      </c>
      <c r="K156" t="b">
        <v>1</v>
      </c>
      <c r="L156" t="b">
        <v>0</v>
      </c>
      <c r="M156" t="str">
        <f t="shared" si="4"/>
        <v>INSTAGRAM</v>
      </c>
      <c r="N156" t="str">
        <f t="shared" si="5"/>
        <v>Sub_Urban-INSTAGRAM</v>
      </c>
      <c r="O156">
        <v>15335</v>
      </c>
    </row>
    <row r="157" spans="1:15" x14ac:dyDescent="0.3">
      <c r="A157">
        <v>32</v>
      </c>
      <c r="B157" t="s">
        <v>18</v>
      </c>
      <c r="C157" s="1">
        <v>3</v>
      </c>
      <c r="D157" t="s">
        <v>28</v>
      </c>
      <c r="E157" t="s">
        <v>26</v>
      </c>
      <c r="F157" t="s">
        <v>27</v>
      </c>
      <c r="G157" t="s">
        <v>16</v>
      </c>
      <c r="H157" t="s">
        <v>24</v>
      </c>
      <c r="I157" s="2">
        <v>15077</v>
      </c>
      <c r="J157" t="b">
        <v>0</v>
      </c>
      <c r="K157" t="b">
        <v>1</v>
      </c>
      <c r="L157" t="b">
        <v>0</v>
      </c>
      <c r="M157" t="str">
        <f t="shared" si="4"/>
        <v>YOUTUBE</v>
      </c>
      <c r="N157" t="str">
        <f t="shared" si="5"/>
        <v>Urban-YOUTUBE</v>
      </c>
      <c r="O157">
        <v>15077</v>
      </c>
    </row>
    <row r="158" spans="1:15" x14ac:dyDescent="0.3">
      <c r="A158">
        <v>60</v>
      </c>
      <c r="B158" t="s">
        <v>12</v>
      </c>
      <c r="C158" s="1">
        <v>8</v>
      </c>
      <c r="D158" t="s">
        <v>19</v>
      </c>
      <c r="E158" t="s">
        <v>26</v>
      </c>
      <c r="F158" t="s">
        <v>22</v>
      </c>
      <c r="G158" t="s">
        <v>29</v>
      </c>
      <c r="H158" t="s">
        <v>24</v>
      </c>
      <c r="I158" s="2">
        <v>15611</v>
      </c>
      <c r="J158" t="b">
        <v>0</v>
      </c>
      <c r="K158" t="b">
        <v>0</v>
      </c>
      <c r="L158" t="b">
        <v>1</v>
      </c>
      <c r="M158" t="str">
        <f t="shared" si="4"/>
        <v>FACEBOOK</v>
      </c>
      <c r="N158" t="str">
        <f t="shared" si="5"/>
        <v>Rural-FACEBOOK</v>
      </c>
      <c r="O158">
        <v>15611</v>
      </c>
    </row>
    <row r="159" spans="1:15" x14ac:dyDescent="0.3">
      <c r="A159">
        <v>46</v>
      </c>
      <c r="B159" t="s">
        <v>12</v>
      </c>
      <c r="C159" s="1">
        <v>2</v>
      </c>
      <c r="D159" t="s">
        <v>28</v>
      </c>
      <c r="E159" t="s">
        <v>26</v>
      </c>
      <c r="F159" t="s">
        <v>27</v>
      </c>
      <c r="G159" t="s">
        <v>23</v>
      </c>
      <c r="H159" t="s">
        <v>21</v>
      </c>
      <c r="I159" s="2">
        <v>18089</v>
      </c>
      <c r="J159" t="b">
        <v>1</v>
      </c>
      <c r="K159" t="b">
        <v>1</v>
      </c>
      <c r="L159" t="b">
        <v>0</v>
      </c>
      <c r="M159" t="str">
        <f t="shared" si="4"/>
        <v>YOUTUBE</v>
      </c>
      <c r="N159" t="str">
        <f t="shared" si="5"/>
        <v>Sub_Urban-YOUTUBE</v>
      </c>
      <c r="O159">
        <v>18089</v>
      </c>
    </row>
    <row r="160" spans="1:15" x14ac:dyDescent="0.3">
      <c r="A160">
        <v>53</v>
      </c>
      <c r="B160" t="s">
        <v>18</v>
      </c>
      <c r="C160" s="1">
        <v>9</v>
      </c>
      <c r="D160" t="s">
        <v>19</v>
      </c>
      <c r="E160" t="s">
        <v>26</v>
      </c>
      <c r="F160" t="s">
        <v>22</v>
      </c>
      <c r="G160" t="s">
        <v>29</v>
      </c>
      <c r="H160" t="s">
        <v>24</v>
      </c>
      <c r="I160" s="2">
        <v>12892</v>
      </c>
      <c r="J160" t="b">
        <v>0</v>
      </c>
      <c r="K160" t="b">
        <v>0</v>
      </c>
      <c r="L160" t="b">
        <v>0</v>
      </c>
      <c r="M160" t="str">
        <f t="shared" si="4"/>
        <v>FACEBOOK</v>
      </c>
      <c r="N160" t="str">
        <f t="shared" si="5"/>
        <v>Rural-FACEBOOK</v>
      </c>
      <c r="O160">
        <v>12892</v>
      </c>
    </row>
    <row r="161" spans="1:15" x14ac:dyDescent="0.3">
      <c r="A161">
        <v>30</v>
      </c>
      <c r="B161" t="s">
        <v>18</v>
      </c>
      <c r="C161" s="1">
        <v>3</v>
      </c>
      <c r="D161" t="s">
        <v>13</v>
      </c>
      <c r="E161" t="s">
        <v>20</v>
      </c>
      <c r="F161" t="s">
        <v>22</v>
      </c>
      <c r="G161" t="s">
        <v>16</v>
      </c>
      <c r="H161" t="s">
        <v>21</v>
      </c>
      <c r="I161" s="2">
        <v>15577</v>
      </c>
      <c r="J161" t="b">
        <v>1</v>
      </c>
      <c r="K161" t="b">
        <v>0</v>
      </c>
      <c r="L161" t="b">
        <v>1</v>
      </c>
      <c r="M161" t="str">
        <f t="shared" si="4"/>
        <v>INSTAGRAM</v>
      </c>
      <c r="N161" t="str">
        <f t="shared" si="5"/>
        <v>Urban-INSTAGRAM</v>
      </c>
      <c r="O161">
        <v>15577</v>
      </c>
    </row>
    <row r="162" spans="1:15" x14ac:dyDescent="0.3">
      <c r="A162">
        <v>49</v>
      </c>
      <c r="B162" t="s">
        <v>18</v>
      </c>
      <c r="C162" s="1">
        <v>5</v>
      </c>
      <c r="D162" t="s">
        <v>28</v>
      </c>
      <c r="E162" t="s">
        <v>14</v>
      </c>
      <c r="F162" t="s">
        <v>27</v>
      </c>
      <c r="G162" t="s">
        <v>23</v>
      </c>
      <c r="H162" t="s">
        <v>21</v>
      </c>
      <c r="I162" s="2">
        <v>13618</v>
      </c>
      <c r="J162" t="b">
        <v>0</v>
      </c>
      <c r="K162" t="b">
        <v>1</v>
      </c>
      <c r="L162" t="b">
        <v>1</v>
      </c>
      <c r="M162" t="str">
        <f t="shared" si="4"/>
        <v>YOUTUBE</v>
      </c>
      <c r="N162" t="str">
        <f t="shared" si="5"/>
        <v>Sub_Urban-YOUTUBE</v>
      </c>
      <c r="O162">
        <v>13618</v>
      </c>
    </row>
    <row r="163" spans="1:15" x14ac:dyDescent="0.3">
      <c r="A163">
        <v>24</v>
      </c>
      <c r="B163" t="s">
        <v>25</v>
      </c>
      <c r="C163" s="1">
        <v>8</v>
      </c>
      <c r="D163" t="s">
        <v>28</v>
      </c>
      <c r="E163" t="s">
        <v>26</v>
      </c>
      <c r="F163" t="s">
        <v>15</v>
      </c>
      <c r="G163" t="s">
        <v>23</v>
      </c>
      <c r="H163" t="s">
        <v>24</v>
      </c>
      <c r="I163" s="2">
        <v>11559</v>
      </c>
      <c r="J163" t="b">
        <v>1</v>
      </c>
      <c r="K163" t="b">
        <v>0</v>
      </c>
      <c r="L163" t="b">
        <v>0</v>
      </c>
      <c r="M163" t="str">
        <f t="shared" si="4"/>
        <v>YOUTUBE</v>
      </c>
      <c r="N163" t="str">
        <f t="shared" si="5"/>
        <v>Sub_Urban-YOUTUBE</v>
      </c>
      <c r="O163">
        <v>11559</v>
      </c>
    </row>
    <row r="164" spans="1:15" x14ac:dyDescent="0.3">
      <c r="A164">
        <v>39</v>
      </c>
      <c r="B164" t="s">
        <v>12</v>
      </c>
      <c r="C164" s="1">
        <v>2</v>
      </c>
      <c r="D164" t="s">
        <v>13</v>
      </c>
      <c r="E164" t="s">
        <v>26</v>
      </c>
      <c r="F164" t="s">
        <v>22</v>
      </c>
      <c r="G164" t="s">
        <v>29</v>
      </c>
      <c r="H164" t="s">
        <v>24</v>
      </c>
      <c r="I164" s="2">
        <v>16683</v>
      </c>
      <c r="J164" t="b">
        <v>1</v>
      </c>
      <c r="K164" t="b">
        <v>1</v>
      </c>
      <c r="L164" t="b">
        <v>0</v>
      </c>
      <c r="M164" t="str">
        <f t="shared" si="4"/>
        <v>INSTAGRAM</v>
      </c>
      <c r="N164" t="str">
        <f t="shared" si="5"/>
        <v>Rural-INSTAGRAM</v>
      </c>
      <c r="O164">
        <v>16683</v>
      </c>
    </row>
    <row r="165" spans="1:15" x14ac:dyDescent="0.3">
      <c r="A165">
        <v>45</v>
      </c>
      <c r="B165" t="s">
        <v>12</v>
      </c>
      <c r="C165" s="1">
        <v>6</v>
      </c>
      <c r="D165" t="s">
        <v>28</v>
      </c>
      <c r="E165" t="s">
        <v>20</v>
      </c>
      <c r="F165" t="s">
        <v>27</v>
      </c>
      <c r="G165" t="s">
        <v>29</v>
      </c>
      <c r="H165" t="s">
        <v>21</v>
      </c>
      <c r="I165" s="2">
        <v>11507</v>
      </c>
      <c r="J165" t="b">
        <v>0</v>
      </c>
      <c r="K165" t="b">
        <v>1</v>
      </c>
      <c r="L165" t="b">
        <v>1</v>
      </c>
      <c r="M165" t="str">
        <f t="shared" si="4"/>
        <v>YOUTUBE</v>
      </c>
      <c r="N165" t="str">
        <f t="shared" si="5"/>
        <v>Rural-YOUTUBE</v>
      </c>
      <c r="O165">
        <v>11507</v>
      </c>
    </row>
    <row r="166" spans="1:15" x14ac:dyDescent="0.3">
      <c r="A166">
        <v>19</v>
      </c>
      <c r="B166" t="s">
        <v>25</v>
      </c>
      <c r="C166" s="1">
        <v>5</v>
      </c>
      <c r="D166" t="s">
        <v>19</v>
      </c>
      <c r="E166" t="s">
        <v>20</v>
      </c>
      <c r="F166" t="s">
        <v>22</v>
      </c>
      <c r="G166" t="s">
        <v>29</v>
      </c>
      <c r="H166" t="s">
        <v>24</v>
      </c>
      <c r="I166" s="2">
        <v>12063</v>
      </c>
      <c r="J166" t="b">
        <v>0</v>
      </c>
      <c r="K166" t="b">
        <v>0</v>
      </c>
      <c r="L166" t="b">
        <v>1</v>
      </c>
      <c r="M166" t="str">
        <f t="shared" si="4"/>
        <v>FACEBOOK</v>
      </c>
      <c r="N166" t="str">
        <f t="shared" si="5"/>
        <v>Rural-FACEBOOK</v>
      </c>
      <c r="O166">
        <v>12063</v>
      </c>
    </row>
    <row r="167" spans="1:15" x14ac:dyDescent="0.3">
      <c r="A167">
        <v>59</v>
      </c>
      <c r="B167" t="s">
        <v>18</v>
      </c>
      <c r="C167" s="1">
        <v>9</v>
      </c>
      <c r="D167" t="s">
        <v>19</v>
      </c>
      <c r="E167" t="s">
        <v>26</v>
      </c>
      <c r="F167" t="s">
        <v>15</v>
      </c>
      <c r="G167" t="s">
        <v>23</v>
      </c>
      <c r="H167" t="s">
        <v>17</v>
      </c>
      <c r="I167" s="2">
        <v>13642</v>
      </c>
      <c r="J167" t="b">
        <v>1</v>
      </c>
      <c r="K167" t="b">
        <v>0</v>
      </c>
      <c r="L167" t="b">
        <v>1</v>
      </c>
      <c r="M167" t="str">
        <f t="shared" si="4"/>
        <v>FACEBOOK</v>
      </c>
      <c r="N167" t="str">
        <f t="shared" si="5"/>
        <v>Sub_Urban-FACEBOOK</v>
      </c>
      <c r="O167">
        <v>13642</v>
      </c>
    </row>
    <row r="168" spans="1:15" x14ac:dyDescent="0.3">
      <c r="A168">
        <v>62</v>
      </c>
      <c r="B168" t="s">
        <v>25</v>
      </c>
      <c r="C168" s="1">
        <v>5</v>
      </c>
      <c r="D168" t="s">
        <v>19</v>
      </c>
      <c r="E168" t="s">
        <v>14</v>
      </c>
      <c r="F168" t="s">
        <v>27</v>
      </c>
      <c r="G168" t="s">
        <v>23</v>
      </c>
      <c r="H168" t="s">
        <v>24</v>
      </c>
      <c r="I168" s="2">
        <v>12000</v>
      </c>
      <c r="J168" t="b">
        <v>0</v>
      </c>
      <c r="K168" t="b">
        <v>0</v>
      </c>
      <c r="L168" t="b">
        <v>1</v>
      </c>
      <c r="M168" t="str">
        <f t="shared" si="4"/>
        <v>FACEBOOK</v>
      </c>
      <c r="N168" t="str">
        <f t="shared" si="5"/>
        <v>Sub_Urban-FACEBOOK</v>
      </c>
      <c r="O168">
        <v>12000</v>
      </c>
    </row>
    <row r="169" spans="1:15" x14ac:dyDescent="0.3">
      <c r="A169">
        <v>23</v>
      </c>
      <c r="B169" t="s">
        <v>25</v>
      </c>
      <c r="C169" s="1">
        <v>2</v>
      </c>
      <c r="D169" t="s">
        <v>19</v>
      </c>
      <c r="E169" t="s">
        <v>14</v>
      </c>
      <c r="F169" t="s">
        <v>27</v>
      </c>
      <c r="G169" t="s">
        <v>16</v>
      </c>
      <c r="H169" t="s">
        <v>24</v>
      </c>
      <c r="I169" s="2">
        <v>11294</v>
      </c>
      <c r="J169" t="b">
        <v>0</v>
      </c>
      <c r="K169" t="b">
        <v>1</v>
      </c>
      <c r="L169" t="b">
        <v>1</v>
      </c>
      <c r="M169" t="str">
        <f t="shared" si="4"/>
        <v>FACEBOOK</v>
      </c>
      <c r="N169" t="str">
        <f t="shared" si="5"/>
        <v>Urban-FACEBOOK</v>
      </c>
      <c r="O169">
        <v>11294</v>
      </c>
    </row>
    <row r="170" spans="1:15" x14ac:dyDescent="0.3">
      <c r="A170">
        <v>45</v>
      </c>
      <c r="B170" t="s">
        <v>25</v>
      </c>
      <c r="C170" s="1">
        <v>5</v>
      </c>
      <c r="D170" t="s">
        <v>13</v>
      </c>
      <c r="E170" t="s">
        <v>26</v>
      </c>
      <c r="F170" t="s">
        <v>27</v>
      </c>
      <c r="G170" t="s">
        <v>23</v>
      </c>
      <c r="H170" t="s">
        <v>17</v>
      </c>
      <c r="I170" s="2">
        <v>14065</v>
      </c>
      <c r="J170" t="b">
        <v>1</v>
      </c>
      <c r="K170" t="b">
        <v>0</v>
      </c>
      <c r="L170" t="b">
        <v>0</v>
      </c>
      <c r="M170" t="str">
        <f t="shared" si="4"/>
        <v>INSTAGRAM</v>
      </c>
      <c r="N170" t="str">
        <f t="shared" si="5"/>
        <v>Sub_Urban-INSTAGRAM</v>
      </c>
      <c r="O170">
        <v>14065</v>
      </c>
    </row>
    <row r="171" spans="1:15" x14ac:dyDescent="0.3">
      <c r="A171">
        <v>45</v>
      </c>
      <c r="B171" t="s">
        <v>12</v>
      </c>
      <c r="C171" s="1">
        <v>4</v>
      </c>
      <c r="D171" t="s">
        <v>28</v>
      </c>
      <c r="E171" t="s">
        <v>20</v>
      </c>
      <c r="F171" t="s">
        <v>15</v>
      </c>
      <c r="G171" t="s">
        <v>16</v>
      </c>
      <c r="H171" t="s">
        <v>24</v>
      </c>
      <c r="I171" s="2">
        <v>18014</v>
      </c>
      <c r="J171" t="b">
        <v>1</v>
      </c>
      <c r="K171" t="b">
        <v>1</v>
      </c>
      <c r="L171" t="b">
        <v>1</v>
      </c>
      <c r="M171" t="str">
        <f t="shared" si="4"/>
        <v>YOUTUBE</v>
      </c>
      <c r="N171" t="str">
        <f t="shared" si="5"/>
        <v>Urban-YOUTUBE</v>
      </c>
      <c r="O171">
        <v>18014</v>
      </c>
    </row>
    <row r="172" spans="1:15" x14ac:dyDescent="0.3">
      <c r="A172">
        <v>61</v>
      </c>
      <c r="B172" t="s">
        <v>25</v>
      </c>
      <c r="C172" s="1">
        <v>7</v>
      </c>
      <c r="D172" t="s">
        <v>19</v>
      </c>
      <c r="E172" t="s">
        <v>26</v>
      </c>
      <c r="F172" t="s">
        <v>22</v>
      </c>
      <c r="G172" t="s">
        <v>29</v>
      </c>
      <c r="H172" t="s">
        <v>24</v>
      </c>
      <c r="I172" s="2">
        <v>19945</v>
      </c>
      <c r="J172" t="b">
        <v>1</v>
      </c>
      <c r="K172" t="b">
        <v>1</v>
      </c>
      <c r="L172" t="b">
        <v>1</v>
      </c>
      <c r="M172" t="str">
        <f t="shared" si="4"/>
        <v>FACEBOOK</v>
      </c>
      <c r="N172" t="str">
        <f t="shared" si="5"/>
        <v>Rural-FACEBOOK</v>
      </c>
      <c r="O172">
        <v>19945</v>
      </c>
    </row>
    <row r="173" spans="1:15" x14ac:dyDescent="0.3">
      <c r="A173">
        <v>61</v>
      </c>
      <c r="B173" t="s">
        <v>12</v>
      </c>
      <c r="C173" s="1">
        <v>6</v>
      </c>
      <c r="D173" t="s">
        <v>13</v>
      </c>
      <c r="E173" t="s">
        <v>26</v>
      </c>
      <c r="F173" t="s">
        <v>27</v>
      </c>
      <c r="G173" t="s">
        <v>29</v>
      </c>
      <c r="H173" t="s">
        <v>21</v>
      </c>
      <c r="I173" s="2">
        <v>11603</v>
      </c>
      <c r="J173" t="b">
        <v>0</v>
      </c>
      <c r="K173" t="b">
        <v>0</v>
      </c>
      <c r="L173" t="b">
        <v>1</v>
      </c>
      <c r="M173" t="str">
        <f t="shared" si="4"/>
        <v>INSTAGRAM</v>
      </c>
      <c r="N173" t="str">
        <f t="shared" si="5"/>
        <v>Rural-INSTAGRAM</v>
      </c>
      <c r="O173">
        <v>11603</v>
      </c>
    </row>
    <row r="174" spans="1:15" x14ac:dyDescent="0.3">
      <c r="A174">
        <v>37</v>
      </c>
      <c r="B174" t="s">
        <v>12</v>
      </c>
      <c r="C174" s="1">
        <v>2</v>
      </c>
      <c r="D174" t="s">
        <v>28</v>
      </c>
      <c r="E174" t="s">
        <v>20</v>
      </c>
      <c r="F174" t="s">
        <v>22</v>
      </c>
      <c r="G174" t="s">
        <v>23</v>
      </c>
      <c r="H174" t="s">
        <v>24</v>
      </c>
      <c r="I174" s="2">
        <v>11322</v>
      </c>
      <c r="J174" t="b">
        <v>0</v>
      </c>
      <c r="K174" t="b">
        <v>0</v>
      </c>
      <c r="L174" t="b">
        <v>1</v>
      </c>
      <c r="M174" t="str">
        <f t="shared" si="4"/>
        <v>YOUTUBE</v>
      </c>
      <c r="N174" t="str">
        <f t="shared" si="5"/>
        <v>Sub_Urban-YOUTUBE</v>
      </c>
      <c r="O174">
        <v>11322</v>
      </c>
    </row>
    <row r="175" spans="1:15" x14ac:dyDescent="0.3">
      <c r="A175">
        <v>47</v>
      </c>
      <c r="B175" t="s">
        <v>12</v>
      </c>
      <c r="C175" s="1">
        <v>5</v>
      </c>
      <c r="D175" t="s">
        <v>28</v>
      </c>
      <c r="E175" t="s">
        <v>26</v>
      </c>
      <c r="F175" t="s">
        <v>22</v>
      </c>
      <c r="G175" t="s">
        <v>29</v>
      </c>
      <c r="H175" t="s">
        <v>24</v>
      </c>
      <c r="I175" s="2">
        <v>15956</v>
      </c>
      <c r="J175" t="b">
        <v>0</v>
      </c>
      <c r="K175" t="b">
        <v>0</v>
      </c>
      <c r="L175" t="b">
        <v>1</v>
      </c>
      <c r="M175" t="str">
        <f t="shared" si="4"/>
        <v>YOUTUBE</v>
      </c>
      <c r="N175" t="str">
        <f t="shared" si="5"/>
        <v>Rural-YOUTUBE</v>
      </c>
      <c r="O175">
        <v>15956</v>
      </c>
    </row>
    <row r="176" spans="1:15" x14ac:dyDescent="0.3">
      <c r="A176">
        <v>28</v>
      </c>
      <c r="B176" t="s">
        <v>18</v>
      </c>
      <c r="C176" s="1">
        <v>7</v>
      </c>
      <c r="D176" t="s">
        <v>13</v>
      </c>
      <c r="E176" t="s">
        <v>26</v>
      </c>
      <c r="F176" t="s">
        <v>15</v>
      </c>
      <c r="G176" t="s">
        <v>29</v>
      </c>
      <c r="H176" t="s">
        <v>17</v>
      </c>
      <c r="I176" s="2">
        <v>12441</v>
      </c>
      <c r="J176" t="b">
        <v>0</v>
      </c>
      <c r="K176" t="b">
        <v>1</v>
      </c>
      <c r="L176" t="b">
        <v>0</v>
      </c>
      <c r="M176" t="str">
        <f t="shared" si="4"/>
        <v>INSTAGRAM</v>
      </c>
      <c r="N176" t="str">
        <f t="shared" si="5"/>
        <v>Rural-INSTAGRAM</v>
      </c>
      <c r="O176">
        <v>12441</v>
      </c>
    </row>
    <row r="177" spans="1:15" x14ac:dyDescent="0.3">
      <c r="A177">
        <v>45</v>
      </c>
      <c r="B177" t="s">
        <v>12</v>
      </c>
      <c r="C177" s="1">
        <v>7</v>
      </c>
      <c r="D177" t="s">
        <v>13</v>
      </c>
      <c r="E177" t="s">
        <v>26</v>
      </c>
      <c r="F177" t="s">
        <v>27</v>
      </c>
      <c r="G177" t="s">
        <v>23</v>
      </c>
      <c r="H177" t="s">
        <v>21</v>
      </c>
      <c r="I177" s="2">
        <v>11098</v>
      </c>
      <c r="J177" t="b">
        <v>1</v>
      </c>
      <c r="K177" t="b">
        <v>0</v>
      </c>
      <c r="L177" t="b">
        <v>1</v>
      </c>
      <c r="M177" t="str">
        <f t="shared" si="4"/>
        <v>INSTAGRAM</v>
      </c>
      <c r="N177" t="str">
        <f t="shared" si="5"/>
        <v>Sub_Urban-INSTAGRAM</v>
      </c>
      <c r="O177">
        <v>11098</v>
      </c>
    </row>
    <row r="178" spans="1:15" x14ac:dyDescent="0.3">
      <c r="A178">
        <v>42</v>
      </c>
      <c r="B178" t="s">
        <v>12</v>
      </c>
      <c r="C178" s="1">
        <v>5</v>
      </c>
      <c r="D178" t="s">
        <v>19</v>
      </c>
      <c r="E178" t="s">
        <v>20</v>
      </c>
      <c r="F178" t="s">
        <v>22</v>
      </c>
      <c r="G178" t="s">
        <v>16</v>
      </c>
      <c r="H178" t="s">
        <v>21</v>
      </c>
      <c r="I178" s="2">
        <v>15073</v>
      </c>
      <c r="J178" t="b">
        <v>0</v>
      </c>
      <c r="K178" t="b">
        <v>1</v>
      </c>
      <c r="L178" t="b">
        <v>0</v>
      </c>
      <c r="M178" t="str">
        <f t="shared" si="4"/>
        <v>FACEBOOK</v>
      </c>
      <c r="N178" t="str">
        <f t="shared" si="5"/>
        <v>Urban-FACEBOOK</v>
      </c>
      <c r="O178">
        <v>15073</v>
      </c>
    </row>
    <row r="179" spans="1:15" x14ac:dyDescent="0.3">
      <c r="A179">
        <v>56</v>
      </c>
      <c r="B179" t="s">
        <v>18</v>
      </c>
      <c r="C179" s="1">
        <v>9</v>
      </c>
      <c r="D179" t="s">
        <v>28</v>
      </c>
      <c r="E179" t="s">
        <v>14</v>
      </c>
      <c r="F179" t="s">
        <v>27</v>
      </c>
      <c r="G179" t="s">
        <v>23</v>
      </c>
      <c r="H179" t="s">
        <v>21</v>
      </c>
      <c r="I179" s="2">
        <v>19697</v>
      </c>
      <c r="J179" t="b">
        <v>1</v>
      </c>
      <c r="K179" t="b">
        <v>0</v>
      </c>
      <c r="L179" t="b">
        <v>1</v>
      </c>
      <c r="M179" t="str">
        <f t="shared" si="4"/>
        <v>YOUTUBE</v>
      </c>
      <c r="N179" t="str">
        <f t="shared" si="5"/>
        <v>Sub_Urban-YOUTUBE</v>
      </c>
      <c r="O179">
        <v>19697</v>
      </c>
    </row>
    <row r="180" spans="1:15" x14ac:dyDescent="0.3">
      <c r="A180">
        <v>50</v>
      </c>
      <c r="B180" t="s">
        <v>12</v>
      </c>
      <c r="C180" s="1">
        <v>4</v>
      </c>
      <c r="D180" t="s">
        <v>28</v>
      </c>
      <c r="E180" t="s">
        <v>14</v>
      </c>
      <c r="F180" t="s">
        <v>27</v>
      </c>
      <c r="G180" t="s">
        <v>16</v>
      </c>
      <c r="H180" t="s">
        <v>24</v>
      </c>
      <c r="I180" s="2">
        <v>19318</v>
      </c>
      <c r="J180" t="b">
        <v>0</v>
      </c>
      <c r="K180" t="b">
        <v>0</v>
      </c>
      <c r="L180" t="b">
        <v>0</v>
      </c>
      <c r="M180" t="str">
        <f t="shared" si="4"/>
        <v>YOUTUBE</v>
      </c>
      <c r="N180" t="str">
        <f t="shared" si="5"/>
        <v>Urban-YOUTUBE</v>
      </c>
      <c r="O180">
        <v>19318</v>
      </c>
    </row>
    <row r="181" spans="1:15" x14ac:dyDescent="0.3">
      <c r="A181">
        <v>18</v>
      </c>
      <c r="B181" t="s">
        <v>25</v>
      </c>
      <c r="C181" s="1">
        <v>3</v>
      </c>
      <c r="D181" t="s">
        <v>13</v>
      </c>
      <c r="E181" t="s">
        <v>20</v>
      </c>
      <c r="F181" t="s">
        <v>15</v>
      </c>
      <c r="G181" t="s">
        <v>23</v>
      </c>
      <c r="H181" t="s">
        <v>21</v>
      </c>
      <c r="I181" s="2">
        <v>18488</v>
      </c>
      <c r="J181" t="b">
        <v>0</v>
      </c>
      <c r="K181" t="b">
        <v>1</v>
      </c>
      <c r="L181" t="b">
        <v>0</v>
      </c>
      <c r="M181" t="str">
        <f t="shared" si="4"/>
        <v>INSTAGRAM</v>
      </c>
      <c r="N181" t="str">
        <f t="shared" si="5"/>
        <v>Sub_Urban-INSTAGRAM</v>
      </c>
      <c r="O181">
        <v>18488</v>
      </c>
    </row>
    <row r="182" spans="1:15" x14ac:dyDescent="0.3">
      <c r="A182">
        <v>44</v>
      </c>
      <c r="B182" t="s">
        <v>25</v>
      </c>
      <c r="C182" s="1">
        <v>4</v>
      </c>
      <c r="D182" t="s">
        <v>28</v>
      </c>
      <c r="E182" t="s">
        <v>14</v>
      </c>
      <c r="F182" t="s">
        <v>27</v>
      </c>
      <c r="G182" t="s">
        <v>23</v>
      </c>
      <c r="H182" t="s">
        <v>17</v>
      </c>
      <c r="I182" s="2">
        <v>13787</v>
      </c>
      <c r="J182" t="b">
        <v>1</v>
      </c>
      <c r="K182" t="b">
        <v>1</v>
      </c>
      <c r="L182" t="b">
        <v>1</v>
      </c>
      <c r="M182" t="str">
        <f t="shared" si="4"/>
        <v>YOUTUBE</v>
      </c>
      <c r="N182" t="str">
        <f t="shared" si="5"/>
        <v>Sub_Urban-YOUTUBE</v>
      </c>
      <c r="O182">
        <v>13787</v>
      </c>
    </row>
    <row r="183" spans="1:15" x14ac:dyDescent="0.3">
      <c r="A183">
        <v>30</v>
      </c>
      <c r="B183" t="s">
        <v>12</v>
      </c>
      <c r="C183" s="1">
        <v>5</v>
      </c>
      <c r="D183" t="s">
        <v>19</v>
      </c>
      <c r="E183" t="s">
        <v>26</v>
      </c>
      <c r="F183" t="s">
        <v>27</v>
      </c>
      <c r="G183" t="s">
        <v>29</v>
      </c>
      <c r="H183" t="s">
        <v>21</v>
      </c>
      <c r="I183" s="2">
        <v>12096</v>
      </c>
      <c r="J183" t="b">
        <v>0</v>
      </c>
      <c r="K183" t="b">
        <v>0</v>
      </c>
      <c r="L183" t="b">
        <v>1</v>
      </c>
      <c r="M183" t="str">
        <f t="shared" si="4"/>
        <v>FACEBOOK</v>
      </c>
      <c r="N183" t="str">
        <f t="shared" si="5"/>
        <v>Rural-FACEBOOK</v>
      </c>
      <c r="O183">
        <v>12096</v>
      </c>
    </row>
    <row r="184" spans="1:15" x14ac:dyDescent="0.3">
      <c r="A184">
        <v>58</v>
      </c>
      <c r="B184" t="s">
        <v>18</v>
      </c>
      <c r="C184" s="1">
        <v>6</v>
      </c>
      <c r="D184" t="s">
        <v>28</v>
      </c>
      <c r="E184" t="s">
        <v>14</v>
      </c>
      <c r="F184" t="s">
        <v>22</v>
      </c>
      <c r="G184" t="s">
        <v>23</v>
      </c>
      <c r="H184" t="s">
        <v>17</v>
      </c>
      <c r="I184" s="2">
        <v>12208</v>
      </c>
      <c r="J184" t="b">
        <v>0</v>
      </c>
      <c r="K184" t="b">
        <v>0</v>
      </c>
      <c r="L184" t="b">
        <v>1</v>
      </c>
      <c r="M184" t="str">
        <f t="shared" si="4"/>
        <v>YOUTUBE</v>
      </c>
      <c r="N184" t="str">
        <f t="shared" si="5"/>
        <v>Sub_Urban-YOUTUBE</v>
      </c>
      <c r="O184">
        <v>12208</v>
      </c>
    </row>
    <row r="185" spans="1:15" x14ac:dyDescent="0.3">
      <c r="A185">
        <v>20</v>
      </c>
      <c r="B185" t="s">
        <v>25</v>
      </c>
      <c r="C185" s="1">
        <v>3</v>
      </c>
      <c r="D185" t="s">
        <v>13</v>
      </c>
      <c r="E185" t="s">
        <v>26</v>
      </c>
      <c r="F185" t="s">
        <v>15</v>
      </c>
      <c r="G185" t="s">
        <v>23</v>
      </c>
      <c r="H185" t="s">
        <v>21</v>
      </c>
      <c r="I185" s="2">
        <v>15988</v>
      </c>
      <c r="J185" t="b">
        <v>1</v>
      </c>
      <c r="K185" t="b">
        <v>0</v>
      </c>
      <c r="L185" t="b">
        <v>1</v>
      </c>
      <c r="M185" t="str">
        <f t="shared" si="4"/>
        <v>INSTAGRAM</v>
      </c>
      <c r="N185" t="str">
        <f t="shared" si="5"/>
        <v>Sub_Urban-INSTAGRAM</v>
      </c>
      <c r="O185">
        <v>15988</v>
      </c>
    </row>
    <row r="186" spans="1:15" x14ac:dyDescent="0.3">
      <c r="A186">
        <v>56</v>
      </c>
      <c r="B186" t="s">
        <v>18</v>
      </c>
      <c r="C186" s="1">
        <v>2</v>
      </c>
      <c r="D186" t="s">
        <v>13</v>
      </c>
      <c r="E186" t="s">
        <v>14</v>
      </c>
      <c r="F186" t="s">
        <v>27</v>
      </c>
      <c r="G186" t="s">
        <v>16</v>
      </c>
      <c r="H186" t="s">
        <v>21</v>
      </c>
      <c r="I186" s="2">
        <v>10175</v>
      </c>
      <c r="J186" t="b">
        <v>0</v>
      </c>
      <c r="K186" t="b">
        <v>0</v>
      </c>
      <c r="L186" t="b">
        <v>1</v>
      </c>
      <c r="M186" t="str">
        <f t="shared" si="4"/>
        <v>INSTAGRAM</v>
      </c>
      <c r="N186" t="str">
        <f t="shared" si="5"/>
        <v>Urban-INSTAGRAM</v>
      </c>
      <c r="O186">
        <v>10175</v>
      </c>
    </row>
    <row r="187" spans="1:15" x14ac:dyDescent="0.3">
      <c r="A187">
        <v>23</v>
      </c>
      <c r="B187" t="s">
        <v>18</v>
      </c>
      <c r="C187" s="1">
        <v>4</v>
      </c>
      <c r="D187" t="s">
        <v>19</v>
      </c>
      <c r="E187" t="s">
        <v>20</v>
      </c>
      <c r="F187" t="s">
        <v>22</v>
      </c>
      <c r="G187" t="s">
        <v>29</v>
      </c>
      <c r="H187" t="s">
        <v>17</v>
      </c>
      <c r="I187" s="2">
        <v>17169</v>
      </c>
      <c r="J187" t="b">
        <v>1</v>
      </c>
      <c r="K187" t="b">
        <v>0</v>
      </c>
      <c r="L187" t="b">
        <v>0</v>
      </c>
      <c r="M187" t="str">
        <f t="shared" si="4"/>
        <v>FACEBOOK</v>
      </c>
      <c r="N187" t="str">
        <f t="shared" si="5"/>
        <v>Rural-FACEBOOK</v>
      </c>
      <c r="O187">
        <v>17169</v>
      </c>
    </row>
    <row r="188" spans="1:15" x14ac:dyDescent="0.3">
      <c r="A188">
        <v>25</v>
      </c>
      <c r="B188" t="s">
        <v>25</v>
      </c>
      <c r="C188" s="1">
        <v>5</v>
      </c>
      <c r="D188" t="s">
        <v>19</v>
      </c>
      <c r="E188" t="s">
        <v>14</v>
      </c>
      <c r="F188" t="s">
        <v>15</v>
      </c>
      <c r="G188" t="s">
        <v>16</v>
      </c>
      <c r="H188" t="s">
        <v>21</v>
      </c>
      <c r="I188" s="2">
        <v>16014</v>
      </c>
      <c r="J188" t="b">
        <v>1</v>
      </c>
      <c r="K188" t="b">
        <v>1</v>
      </c>
      <c r="L188" t="b">
        <v>1</v>
      </c>
      <c r="M188" t="str">
        <f t="shared" si="4"/>
        <v>FACEBOOK</v>
      </c>
      <c r="N188" t="str">
        <f t="shared" si="5"/>
        <v>Urban-FACEBOOK</v>
      </c>
      <c r="O188">
        <v>16014</v>
      </c>
    </row>
    <row r="189" spans="1:15" x14ac:dyDescent="0.3">
      <c r="A189">
        <v>44</v>
      </c>
      <c r="B189" t="s">
        <v>18</v>
      </c>
      <c r="C189" s="1">
        <v>4</v>
      </c>
      <c r="D189" t="s">
        <v>28</v>
      </c>
      <c r="E189" t="s">
        <v>14</v>
      </c>
      <c r="F189" t="s">
        <v>15</v>
      </c>
      <c r="G189" t="s">
        <v>16</v>
      </c>
      <c r="H189" t="s">
        <v>21</v>
      </c>
      <c r="I189" s="2">
        <v>11667</v>
      </c>
      <c r="J189" t="b">
        <v>1</v>
      </c>
      <c r="K189" t="b">
        <v>1</v>
      </c>
      <c r="L189" t="b">
        <v>1</v>
      </c>
      <c r="M189" t="str">
        <f t="shared" si="4"/>
        <v>YOUTUBE</v>
      </c>
      <c r="N189" t="str">
        <f t="shared" si="5"/>
        <v>Urban-YOUTUBE</v>
      </c>
      <c r="O189">
        <v>11667</v>
      </c>
    </row>
    <row r="190" spans="1:15" x14ac:dyDescent="0.3">
      <c r="A190">
        <v>26</v>
      </c>
      <c r="B190" t="s">
        <v>25</v>
      </c>
      <c r="C190" s="1">
        <v>3</v>
      </c>
      <c r="D190" t="s">
        <v>28</v>
      </c>
      <c r="E190" t="s">
        <v>14</v>
      </c>
      <c r="F190" t="s">
        <v>22</v>
      </c>
      <c r="G190" t="s">
        <v>29</v>
      </c>
      <c r="H190" t="s">
        <v>21</v>
      </c>
      <c r="I190" s="2">
        <v>18867</v>
      </c>
      <c r="J190" t="b">
        <v>1</v>
      </c>
      <c r="K190" t="b">
        <v>1</v>
      </c>
      <c r="L190" t="b">
        <v>0</v>
      </c>
      <c r="M190" t="str">
        <f t="shared" si="4"/>
        <v>YOUTUBE</v>
      </c>
      <c r="N190" t="str">
        <f t="shared" si="5"/>
        <v>Rural-YOUTUBE</v>
      </c>
      <c r="O190">
        <v>18867</v>
      </c>
    </row>
    <row r="191" spans="1:15" x14ac:dyDescent="0.3">
      <c r="A191">
        <v>54</v>
      </c>
      <c r="B191" t="s">
        <v>18</v>
      </c>
      <c r="C191" s="1">
        <v>8</v>
      </c>
      <c r="D191" t="s">
        <v>13</v>
      </c>
      <c r="E191" t="s">
        <v>20</v>
      </c>
      <c r="F191" t="s">
        <v>22</v>
      </c>
      <c r="G191" t="s">
        <v>29</v>
      </c>
      <c r="H191" t="s">
        <v>24</v>
      </c>
      <c r="I191" s="2">
        <v>11823</v>
      </c>
      <c r="J191" t="b">
        <v>0</v>
      </c>
      <c r="K191" t="b">
        <v>1</v>
      </c>
      <c r="L191" t="b">
        <v>1</v>
      </c>
      <c r="M191" t="str">
        <f t="shared" si="4"/>
        <v>INSTAGRAM</v>
      </c>
      <c r="N191" t="str">
        <f t="shared" si="5"/>
        <v>Rural-INSTAGRAM</v>
      </c>
      <c r="O191">
        <v>11823</v>
      </c>
    </row>
    <row r="192" spans="1:15" x14ac:dyDescent="0.3">
      <c r="A192">
        <v>50</v>
      </c>
      <c r="B192" t="s">
        <v>25</v>
      </c>
      <c r="C192" s="1">
        <v>4</v>
      </c>
      <c r="D192" t="s">
        <v>19</v>
      </c>
      <c r="E192" t="s">
        <v>14</v>
      </c>
      <c r="F192" t="s">
        <v>22</v>
      </c>
      <c r="G192" t="s">
        <v>29</v>
      </c>
      <c r="H192" t="s">
        <v>17</v>
      </c>
      <c r="I192" s="2">
        <v>15147</v>
      </c>
      <c r="J192" t="b">
        <v>0</v>
      </c>
      <c r="K192" t="b">
        <v>0</v>
      </c>
      <c r="L192" t="b">
        <v>0</v>
      </c>
      <c r="M192" t="str">
        <f t="shared" si="4"/>
        <v>FACEBOOK</v>
      </c>
      <c r="N192" t="str">
        <f t="shared" si="5"/>
        <v>Rural-FACEBOOK</v>
      </c>
      <c r="O192">
        <v>15147</v>
      </c>
    </row>
    <row r="193" spans="1:15" x14ac:dyDescent="0.3">
      <c r="A193">
        <v>59</v>
      </c>
      <c r="B193" t="s">
        <v>12</v>
      </c>
      <c r="C193" s="1">
        <v>2</v>
      </c>
      <c r="D193" t="s">
        <v>19</v>
      </c>
      <c r="E193" t="s">
        <v>20</v>
      </c>
      <c r="F193" t="s">
        <v>22</v>
      </c>
      <c r="G193" t="s">
        <v>23</v>
      </c>
      <c r="H193" t="s">
        <v>21</v>
      </c>
      <c r="I193" s="2">
        <v>11356</v>
      </c>
      <c r="J193" t="b">
        <v>0</v>
      </c>
      <c r="K193" t="b">
        <v>1</v>
      </c>
      <c r="L193" t="b">
        <v>1</v>
      </c>
      <c r="M193" t="str">
        <f t="shared" si="4"/>
        <v>FACEBOOK</v>
      </c>
      <c r="N193" t="str">
        <f t="shared" si="5"/>
        <v>Sub_Urban-FACEBOOK</v>
      </c>
      <c r="O193">
        <v>11356</v>
      </c>
    </row>
    <row r="194" spans="1:15" x14ac:dyDescent="0.3">
      <c r="A194">
        <v>61</v>
      </c>
      <c r="B194" t="s">
        <v>25</v>
      </c>
      <c r="C194" s="1">
        <v>2</v>
      </c>
      <c r="D194" t="s">
        <v>19</v>
      </c>
      <c r="E194" t="s">
        <v>26</v>
      </c>
      <c r="F194" t="s">
        <v>22</v>
      </c>
      <c r="G194" t="s">
        <v>29</v>
      </c>
      <c r="H194" t="s">
        <v>17</v>
      </c>
      <c r="I194" s="2">
        <v>13072</v>
      </c>
      <c r="J194" t="b">
        <v>1</v>
      </c>
      <c r="K194" t="b">
        <v>1</v>
      </c>
      <c r="L194" t="b">
        <v>0</v>
      </c>
      <c r="M194" t="str">
        <f t="shared" ref="M194:M257" si="6">UPPER(D194)</f>
        <v>FACEBOOK</v>
      </c>
      <c r="N194" t="str">
        <f t="shared" ref="N194:N257" si="7">_xlfn.CONCAT(G194,"-",M194)</f>
        <v>Rural-FACEBOOK</v>
      </c>
      <c r="O194">
        <v>13072</v>
      </c>
    </row>
    <row r="195" spans="1:15" x14ac:dyDescent="0.3">
      <c r="A195">
        <v>41</v>
      </c>
      <c r="B195" t="s">
        <v>25</v>
      </c>
      <c r="C195" s="1">
        <v>1</v>
      </c>
      <c r="D195" t="s">
        <v>28</v>
      </c>
      <c r="E195" t="s">
        <v>14</v>
      </c>
      <c r="F195" t="s">
        <v>27</v>
      </c>
      <c r="G195" t="s">
        <v>29</v>
      </c>
      <c r="H195" t="s">
        <v>17</v>
      </c>
      <c r="I195" s="2">
        <v>13259</v>
      </c>
      <c r="J195" t="b">
        <v>0</v>
      </c>
      <c r="K195" t="b">
        <v>1</v>
      </c>
      <c r="L195" t="b">
        <v>1</v>
      </c>
      <c r="M195" t="str">
        <f t="shared" si="6"/>
        <v>YOUTUBE</v>
      </c>
      <c r="N195" t="str">
        <f t="shared" si="7"/>
        <v>Rural-YOUTUBE</v>
      </c>
      <c r="O195">
        <v>13259</v>
      </c>
    </row>
    <row r="196" spans="1:15" x14ac:dyDescent="0.3">
      <c r="A196">
        <v>32</v>
      </c>
      <c r="B196" t="s">
        <v>25</v>
      </c>
      <c r="C196" s="1">
        <v>4</v>
      </c>
      <c r="D196" t="s">
        <v>19</v>
      </c>
      <c r="E196" t="s">
        <v>20</v>
      </c>
      <c r="F196" t="s">
        <v>27</v>
      </c>
      <c r="G196" t="s">
        <v>29</v>
      </c>
      <c r="H196" t="s">
        <v>17</v>
      </c>
      <c r="I196" s="2">
        <v>16199</v>
      </c>
      <c r="J196" t="b">
        <v>0</v>
      </c>
      <c r="K196" t="b">
        <v>0</v>
      </c>
      <c r="L196" t="b">
        <v>0</v>
      </c>
      <c r="M196" t="str">
        <f t="shared" si="6"/>
        <v>FACEBOOK</v>
      </c>
      <c r="N196" t="str">
        <f t="shared" si="7"/>
        <v>Rural-FACEBOOK</v>
      </c>
      <c r="O196">
        <v>16199</v>
      </c>
    </row>
    <row r="197" spans="1:15" x14ac:dyDescent="0.3">
      <c r="A197">
        <v>49</v>
      </c>
      <c r="B197" t="s">
        <v>25</v>
      </c>
      <c r="C197" s="1">
        <v>9</v>
      </c>
      <c r="D197" t="s">
        <v>13</v>
      </c>
      <c r="E197" t="s">
        <v>20</v>
      </c>
      <c r="F197" t="s">
        <v>15</v>
      </c>
      <c r="G197" t="s">
        <v>16</v>
      </c>
      <c r="H197" t="s">
        <v>21</v>
      </c>
      <c r="I197" s="2">
        <v>10546</v>
      </c>
      <c r="J197" t="b">
        <v>0</v>
      </c>
      <c r="K197" t="b">
        <v>1</v>
      </c>
      <c r="L197" t="b">
        <v>0</v>
      </c>
      <c r="M197" t="str">
        <f t="shared" si="6"/>
        <v>INSTAGRAM</v>
      </c>
      <c r="N197" t="str">
        <f t="shared" si="7"/>
        <v>Urban-INSTAGRAM</v>
      </c>
      <c r="O197">
        <v>10546</v>
      </c>
    </row>
    <row r="198" spans="1:15" x14ac:dyDescent="0.3">
      <c r="A198">
        <v>49</v>
      </c>
      <c r="B198" t="s">
        <v>18</v>
      </c>
      <c r="C198" s="1">
        <v>7</v>
      </c>
      <c r="D198" t="s">
        <v>13</v>
      </c>
      <c r="E198" t="s">
        <v>14</v>
      </c>
      <c r="F198" t="s">
        <v>27</v>
      </c>
      <c r="G198" t="s">
        <v>16</v>
      </c>
      <c r="H198" t="s">
        <v>21</v>
      </c>
      <c r="I198" s="2">
        <v>15231</v>
      </c>
      <c r="J198" t="b">
        <v>0</v>
      </c>
      <c r="K198" t="b">
        <v>0</v>
      </c>
      <c r="L198" t="b">
        <v>1</v>
      </c>
      <c r="M198" t="str">
        <f t="shared" si="6"/>
        <v>INSTAGRAM</v>
      </c>
      <c r="N198" t="str">
        <f t="shared" si="7"/>
        <v>Urban-INSTAGRAM</v>
      </c>
      <c r="O198">
        <v>15231</v>
      </c>
    </row>
    <row r="199" spans="1:15" x14ac:dyDescent="0.3">
      <c r="A199">
        <v>41</v>
      </c>
      <c r="B199" t="s">
        <v>12</v>
      </c>
      <c r="C199" s="1">
        <v>7</v>
      </c>
      <c r="D199" t="s">
        <v>28</v>
      </c>
      <c r="E199" t="s">
        <v>26</v>
      </c>
      <c r="F199" t="s">
        <v>27</v>
      </c>
      <c r="G199" t="s">
        <v>23</v>
      </c>
      <c r="H199" t="s">
        <v>17</v>
      </c>
      <c r="I199" s="2">
        <v>17965</v>
      </c>
      <c r="J199" t="b">
        <v>1</v>
      </c>
      <c r="K199" t="b">
        <v>1</v>
      </c>
      <c r="L199" t="b">
        <v>1</v>
      </c>
      <c r="M199" t="str">
        <f t="shared" si="6"/>
        <v>YOUTUBE</v>
      </c>
      <c r="N199" t="str">
        <f t="shared" si="7"/>
        <v>Sub_Urban-YOUTUBE</v>
      </c>
      <c r="O199">
        <v>17965</v>
      </c>
    </row>
    <row r="200" spans="1:15" x14ac:dyDescent="0.3">
      <c r="A200">
        <v>58</v>
      </c>
      <c r="B200" t="s">
        <v>25</v>
      </c>
      <c r="C200" s="1">
        <v>7</v>
      </c>
      <c r="D200" t="s">
        <v>28</v>
      </c>
      <c r="E200" t="s">
        <v>20</v>
      </c>
      <c r="F200" t="s">
        <v>27</v>
      </c>
      <c r="G200" t="s">
        <v>16</v>
      </c>
      <c r="H200" t="s">
        <v>24</v>
      </c>
      <c r="I200" s="2">
        <v>12083</v>
      </c>
      <c r="J200" t="b">
        <v>1</v>
      </c>
      <c r="K200" t="b">
        <v>0</v>
      </c>
      <c r="L200" t="b">
        <v>1</v>
      </c>
      <c r="M200" t="str">
        <f t="shared" si="6"/>
        <v>YOUTUBE</v>
      </c>
      <c r="N200" t="str">
        <f t="shared" si="7"/>
        <v>Urban-YOUTUBE</v>
      </c>
      <c r="O200">
        <v>12083</v>
      </c>
    </row>
    <row r="201" spans="1:15" x14ac:dyDescent="0.3">
      <c r="A201">
        <v>29</v>
      </c>
      <c r="B201" t="s">
        <v>18</v>
      </c>
      <c r="C201" s="1">
        <v>8</v>
      </c>
      <c r="D201" t="s">
        <v>19</v>
      </c>
      <c r="E201" t="s">
        <v>14</v>
      </c>
      <c r="F201" t="s">
        <v>22</v>
      </c>
      <c r="G201" t="s">
        <v>23</v>
      </c>
      <c r="H201" t="s">
        <v>17</v>
      </c>
      <c r="I201" s="2">
        <v>12040</v>
      </c>
      <c r="J201" t="b">
        <v>0</v>
      </c>
      <c r="K201" t="b">
        <v>1</v>
      </c>
      <c r="L201" t="b">
        <v>0</v>
      </c>
      <c r="M201" t="str">
        <f t="shared" si="6"/>
        <v>FACEBOOK</v>
      </c>
      <c r="N201" t="str">
        <f t="shared" si="7"/>
        <v>Sub_Urban-FACEBOOK</v>
      </c>
      <c r="O201">
        <v>12040</v>
      </c>
    </row>
    <row r="202" spans="1:15" x14ac:dyDescent="0.3">
      <c r="A202">
        <v>56</v>
      </c>
      <c r="B202" t="s">
        <v>12</v>
      </c>
      <c r="C202" s="1">
        <v>1</v>
      </c>
      <c r="D202" t="s">
        <v>28</v>
      </c>
      <c r="E202" t="s">
        <v>26</v>
      </c>
      <c r="F202" t="s">
        <v>15</v>
      </c>
      <c r="G202" t="s">
        <v>16</v>
      </c>
      <c r="H202" t="s">
        <v>24</v>
      </c>
      <c r="I202" s="2">
        <v>14534</v>
      </c>
      <c r="J202" t="b">
        <v>1</v>
      </c>
      <c r="K202" t="b">
        <v>0</v>
      </c>
      <c r="L202" t="b">
        <v>0</v>
      </c>
      <c r="M202" t="str">
        <f t="shared" si="6"/>
        <v>YOUTUBE</v>
      </c>
      <c r="N202" t="str">
        <f t="shared" si="7"/>
        <v>Urban-YOUTUBE</v>
      </c>
      <c r="O202">
        <v>14534</v>
      </c>
    </row>
    <row r="203" spans="1:15" x14ac:dyDescent="0.3">
      <c r="A203">
        <v>19</v>
      </c>
      <c r="B203" t="s">
        <v>12</v>
      </c>
      <c r="C203" s="1">
        <v>8</v>
      </c>
      <c r="D203" t="s">
        <v>13</v>
      </c>
      <c r="E203" t="s">
        <v>20</v>
      </c>
      <c r="F203" t="s">
        <v>15</v>
      </c>
      <c r="G203" t="s">
        <v>29</v>
      </c>
      <c r="H203" t="s">
        <v>17</v>
      </c>
      <c r="I203" s="2">
        <v>11752</v>
      </c>
      <c r="J203" t="b">
        <v>0</v>
      </c>
      <c r="K203" t="b">
        <v>1</v>
      </c>
      <c r="L203" t="b">
        <v>0</v>
      </c>
      <c r="M203" t="str">
        <f t="shared" si="6"/>
        <v>INSTAGRAM</v>
      </c>
      <c r="N203" t="str">
        <f t="shared" si="7"/>
        <v>Rural-INSTAGRAM</v>
      </c>
      <c r="O203">
        <v>11752</v>
      </c>
    </row>
    <row r="204" spans="1:15" x14ac:dyDescent="0.3">
      <c r="A204">
        <v>20</v>
      </c>
      <c r="B204" t="s">
        <v>12</v>
      </c>
      <c r="C204" s="1">
        <v>4</v>
      </c>
      <c r="D204" t="s">
        <v>19</v>
      </c>
      <c r="E204" t="s">
        <v>20</v>
      </c>
      <c r="F204" t="s">
        <v>15</v>
      </c>
      <c r="G204" t="s">
        <v>16</v>
      </c>
      <c r="H204" t="s">
        <v>17</v>
      </c>
      <c r="I204" s="2">
        <v>19807</v>
      </c>
      <c r="J204" t="b">
        <v>0</v>
      </c>
      <c r="K204" t="b">
        <v>0</v>
      </c>
      <c r="L204" t="b">
        <v>1</v>
      </c>
      <c r="M204" t="str">
        <f t="shared" si="6"/>
        <v>FACEBOOK</v>
      </c>
      <c r="N204" t="str">
        <f t="shared" si="7"/>
        <v>Urban-FACEBOOK</v>
      </c>
      <c r="O204">
        <v>19807</v>
      </c>
    </row>
    <row r="205" spans="1:15" x14ac:dyDescent="0.3">
      <c r="A205">
        <v>54</v>
      </c>
      <c r="B205" t="s">
        <v>12</v>
      </c>
      <c r="C205" s="1">
        <v>4</v>
      </c>
      <c r="D205" t="s">
        <v>13</v>
      </c>
      <c r="E205" t="s">
        <v>26</v>
      </c>
      <c r="F205" t="s">
        <v>15</v>
      </c>
      <c r="G205" t="s">
        <v>23</v>
      </c>
      <c r="H205" t="s">
        <v>17</v>
      </c>
      <c r="I205" s="2">
        <v>11849</v>
      </c>
      <c r="J205" t="b">
        <v>0</v>
      </c>
      <c r="K205" t="b">
        <v>0</v>
      </c>
      <c r="L205" t="b">
        <v>1</v>
      </c>
      <c r="M205" t="str">
        <f t="shared" si="6"/>
        <v>INSTAGRAM</v>
      </c>
      <c r="N205" t="str">
        <f t="shared" si="7"/>
        <v>Sub_Urban-INSTAGRAM</v>
      </c>
      <c r="O205">
        <v>11849</v>
      </c>
    </row>
    <row r="206" spans="1:15" x14ac:dyDescent="0.3">
      <c r="A206">
        <v>34</v>
      </c>
      <c r="B206" t="s">
        <v>25</v>
      </c>
      <c r="C206" s="1">
        <v>4</v>
      </c>
      <c r="D206" t="s">
        <v>19</v>
      </c>
      <c r="E206" t="s">
        <v>26</v>
      </c>
      <c r="F206" t="s">
        <v>27</v>
      </c>
      <c r="G206" t="s">
        <v>16</v>
      </c>
      <c r="H206" t="s">
        <v>21</v>
      </c>
      <c r="I206" s="2">
        <v>12642</v>
      </c>
      <c r="J206" t="b">
        <v>1</v>
      </c>
      <c r="K206" t="b">
        <v>1</v>
      </c>
      <c r="L206" t="b">
        <v>0</v>
      </c>
      <c r="M206" t="str">
        <f t="shared" si="6"/>
        <v>FACEBOOK</v>
      </c>
      <c r="N206" t="str">
        <f t="shared" si="7"/>
        <v>Urban-FACEBOOK</v>
      </c>
      <c r="O206">
        <v>12642</v>
      </c>
    </row>
    <row r="207" spans="1:15" x14ac:dyDescent="0.3">
      <c r="A207">
        <v>19</v>
      </c>
      <c r="B207" t="s">
        <v>25</v>
      </c>
      <c r="C207" s="1">
        <v>6</v>
      </c>
      <c r="D207" t="s">
        <v>28</v>
      </c>
      <c r="E207" t="s">
        <v>14</v>
      </c>
      <c r="F207" t="s">
        <v>27</v>
      </c>
      <c r="G207" t="s">
        <v>29</v>
      </c>
      <c r="H207" t="s">
        <v>24</v>
      </c>
      <c r="I207" s="2">
        <v>11600</v>
      </c>
      <c r="J207" t="b">
        <v>0</v>
      </c>
      <c r="K207" t="b">
        <v>0</v>
      </c>
      <c r="L207" t="b">
        <v>1</v>
      </c>
      <c r="M207" t="str">
        <f t="shared" si="6"/>
        <v>YOUTUBE</v>
      </c>
      <c r="N207" t="str">
        <f t="shared" si="7"/>
        <v>Rural-YOUTUBE</v>
      </c>
      <c r="O207">
        <v>11600</v>
      </c>
    </row>
    <row r="208" spans="1:15" x14ac:dyDescent="0.3">
      <c r="A208">
        <v>19</v>
      </c>
      <c r="B208" t="s">
        <v>18</v>
      </c>
      <c r="C208" s="1">
        <v>7</v>
      </c>
      <c r="D208" t="s">
        <v>19</v>
      </c>
      <c r="E208" t="s">
        <v>14</v>
      </c>
      <c r="F208" t="s">
        <v>22</v>
      </c>
      <c r="G208" t="s">
        <v>23</v>
      </c>
      <c r="H208" t="s">
        <v>24</v>
      </c>
      <c r="I208" s="2">
        <v>14402</v>
      </c>
      <c r="J208" t="b">
        <v>1</v>
      </c>
      <c r="K208" t="b">
        <v>0</v>
      </c>
      <c r="L208" t="b">
        <v>0</v>
      </c>
      <c r="M208" t="str">
        <f t="shared" si="6"/>
        <v>FACEBOOK</v>
      </c>
      <c r="N208" t="str">
        <f t="shared" si="7"/>
        <v>Sub_Urban-FACEBOOK</v>
      </c>
      <c r="O208">
        <v>14402</v>
      </c>
    </row>
    <row r="209" spans="1:15" x14ac:dyDescent="0.3">
      <c r="A209">
        <v>45</v>
      </c>
      <c r="B209" t="s">
        <v>18</v>
      </c>
      <c r="C209" s="1">
        <v>6</v>
      </c>
      <c r="D209" t="s">
        <v>19</v>
      </c>
      <c r="E209" t="s">
        <v>20</v>
      </c>
      <c r="F209" t="s">
        <v>15</v>
      </c>
      <c r="G209" t="s">
        <v>29</v>
      </c>
      <c r="H209" t="s">
        <v>17</v>
      </c>
      <c r="I209" s="2">
        <v>13799</v>
      </c>
      <c r="J209" t="b">
        <v>1</v>
      </c>
      <c r="K209" t="b">
        <v>1</v>
      </c>
      <c r="L209" t="b">
        <v>1</v>
      </c>
      <c r="M209" t="str">
        <f t="shared" si="6"/>
        <v>FACEBOOK</v>
      </c>
      <c r="N209" t="str">
        <f t="shared" si="7"/>
        <v>Rural-FACEBOOK</v>
      </c>
      <c r="O209">
        <v>13799</v>
      </c>
    </row>
    <row r="210" spans="1:15" x14ac:dyDescent="0.3">
      <c r="A210">
        <v>40</v>
      </c>
      <c r="B210" t="s">
        <v>18</v>
      </c>
      <c r="C210" s="1">
        <v>1</v>
      </c>
      <c r="D210" t="s">
        <v>13</v>
      </c>
      <c r="E210" t="s">
        <v>26</v>
      </c>
      <c r="F210" t="s">
        <v>27</v>
      </c>
      <c r="G210" t="s">
        <v>29</v>
      </c>
      <c r="H210" t="s">
        <v>21</v>
      </c>
      <c r="I210" s="2">
        <v>10618</v>
      </c>
      <c r="J210" t="b">
        <v>0</v>
      </c>
      <c r="K210" t="b">
        <v>1</v>
      </c>
      <c r="L210" t="b">
        <v>1</v>
      </c>
      <c r="M210" t="str">
        <f t="shared" si="6"/>
        <v>INSTAGRAM</v>
      </c>
      <c r="N210" t="str">
        <f t="shared" si="7"/>
        <v>Rural-INSTAGRAM</v>
      </c>
      <c r="O210">
        <v>10618</v>
      </c>
    </row>
    <row r="211" spans="1:15" x14ac:dyDescent="0.3">
      <c r="A211">
        <v>54</v>
      </c>
      <c r="B211" t="s">
        <v>12</v>
      </c>
      <c r="C211" s="1">
        <v>8</v>
      </c>
      <c r="D211" t="s">
        <v>13</v>
      </c>
      <c r="E211" t="s">
        <v>26</v>
      </c>
      <c r="F211" t="s">
        <v>27</v>
      </c>
      <c r="G211" t="s">
        <v>23</v>
      </c>
      <c r="H211" t="s">
        <v>21</v>
      </c>
      <c r="I211" s="2">
        <v>11132</v>
      </c>
      <c r="J211" t="b">
        <v>1</v>
      </c>
      <c r="K211" t="b">
        <v>0</v>
      </c>
      <c r="L211" t="b">
        <v>0</v>
      </c>
      <c r="M211" t="str">
        <f t="shared" si="6"/>
        <v>INSTAGRAM</v>
      </c>
      <c r="N211" t="str">
        <f t="shared" si="7"/>
        <v>Sub_Urban-INSTAGRAM</v>
      </c>
      <c r="O211">
        <v>11132</v>
      </c>
    </row>
    <row r="212" spans="1:15" x14ac:dyDescent="0.3">
      <c r="A212">
        <v>49</v>
      </c>
      <c r="B212" t="s">
        <v>12</v>
      </c>
      <c r="C212" s="1">
        <v>7</v>
      </c>
      <c r="D212" t="s">
        <v>19</v>
      </c>
      <c r="E212" t="s">
        <v>26</v>
      </c>
      <c r="F212" t="s">
        <v>22</v>
      </c>
      <c r="G212" t="s">
        <v>29</v>
      </c>
      <c r="H212" t="s">
        <v>24</v>
      </c>
      <c r="I212" s="2">
        <v>15491</v>
      </c>
      <c r="J212" t="b">
        <v>1</v>
      </c>
      <c r="K212" t="b">
        <v>1</v>
      </c>
      <c r="L212" t="b">
        <v>1</v>
      </c>
      <c r="M212" t="str">
        <f t="shared" si="6"/>
        <v>FACEBOOK</v>
      </c>
      <c r="N212" t="str">
        <f t="shared" si="7"/>
        <v>Rural-FACEBOOK</v>
      </c>
      <c r="O212">
        <v>15491</v>
      </c>
    </row>
    <row r="213" spans="1:15" x14ac:dyDescent="0.3">
      <c r="A213">
        <v>50</v>
      </c>
      <c r="B213" t="s">
        <v>25</v>
      </c>
      <c r="C213" s="1">
        <v>6</v>
      </c>
      <c r="D213" t="s">
        <v>28</v>
      </c>
      <c r="E213" t="s">
        <v>20</v>
      </c>
      <c r="F213" t="s">
        <v>22</v>
      </c>
      <c r="G213" t="s">
        <v>29</v>
      </c>
      <c r="H213" t="s">
        <v>21</v>
      </c>
      <c r="I213" s="2">
        <v>15795</v>
      </c>
      <c r="J213" t="b">
        <v>0</v>
      </c>
      <c r="K213" t="b">
        <v>1</v>
      </c>
      <c r="L213" t="b">
        <v>1</v>
      </c>
      <c r="M213" t="str">
        <f t="shared" si="6"/>
        <v>YOUTUBE</v>
      </c>
      <c r="N213" t="str">
        <f t="shared" si="7"/>
        <v>Rural-YOUTUBE</v>
      </c>
      <c r="O213">
        <v>15795</v>
      </c>
    </row>
    <row r="214" spans="1:15" x14ac:dyDescent="0.3">
      <c r="A214">
        <v>18</v>
      </c>
      <c r="B214" t="s">
        <v>12</v>
      </c>
      <c r="C214" s="1">
        <v>6</v>
      </c>
      <c r="D214" t="s">
        <v>28</v>
      </c>
      <c r="E214" t="s">
        <v>26</v>
      </c>
      <c r="F214" t="s">
        <v>22</v>
      </c>
      <c r="G214" t="s">
        <v>16</v>
      </c>
      <c r="H214" t="s">
        <v>24</v>
      </c>
      <c r="I214" s="2">
        <v>17633</v>
      </c>
      <c r="J214" t="b">
        <v>1</v>
      </c>
      <c r="K214" t="b">
        <v>1</v>
      </c>
      <c r="L214" t="b">
        <v>1</v>
      </c>
      <c r="M214" t="str">
        <f t="shared" si="6"/>
        <v>YOUTUBE</v>
      </c>
      <c r="N214" t="str">
        <f t="shared" si="7"/>
        <v>Urban-YOUTUBE</v>
      </c>
      <c r="O214">
        <v>17633</v>
      </c>
    </row>
    <row r="215" spans="1:15" x14ac:dyDescent="0.3">
      <c r="A215">
        <v>36</v>
      </c>
      <c r="B215" t="s">
        <v>12</v>
      </c>
      <c r="C215" s="1">
        <v>5</v>
      </c>
      <c r="D215" t="s">
        <v>13</v>
      </c>
      <c r="E215" t="s">
        <v>26</v>
      </c>
      <c r="F215" t="s">
        <v>27</v>
      </c>
      <c r="G215" t="s">
        <v>29</v>
      </c>
      <c r="H215" t="s">
        <v>24</v>
      </c>
      <c r="I215" s="2">
        <v>11487</v>
      </c>
      <c r="J215" t="b">
        <v>1</v>
      </c>
      <c r="K215" t="b">
        <v>0</v>
      </c>
      <c r="L215" t="b">
        <v>1</v>
      </c>
      <c r="M215" t="str">
        <f t="shared" si="6"/>
        <v>INSTAGRAM</v>
      </c>
      <c r="N215" t="str">
        <f t="shared" si="7"/>
        <v>Rural-INSTAGRAM</v>
      </c>
      <c r="O215">
        <v>11487</v>
      </c>
    </row>
    <row r="216" spans="1:15" x14ac:dyDescent="0.3">
      <c r="A216">
        <v>19</v>
      </c>
      <c r="B216" t="s">
        <v>12</v>
      </c>
      <c r="C216" s="1">
        <v>6</v>
      </c>
      <c r="D216" t="s">
        <v>28</v>
      </c>
      <c r="E216" t="s">
        <v>20</v>
      </c>
      <c r="F216" t="s">
        <v>27</v>
      </c>
      <c r="G216" t="s">
        <v>29</v>
      </c>
      <c r="H216" t="s">
        <v>24</v>
      </c>
      <c r="I216" s="2">
        <v>17848</v>
      </c>
      <c r="J216" t="b">
        <v>0</v>
      </c>
      <c r="K216" t="b">
        <v>0</v>
      </c>
      <c r="L216" t="b">
        <v>1</v>
      </c>
      <c r="M216" t="str">
        <f t="shared" si="6"/>
        <v>YOUTUBE</v>
      </c>
      <c r="N216" t="str">
        <f t="shared" si="7"/>
        <v>Rural-YOUTUBE</v>
      </c>
      <c r="O216">
        <v>17848</v>
      </c>
    </row>
    <row r="217" spans="1:15" x14ac:dyDescent="0.3">
      <c r="A217">
        <v>61</v>
      </c>
      <c r="B217" t="s">
        <v>18</v>
      </c>
      <c r="C217" s="1">
        <v>9</v>
      </c>
      <c r="D217" t="s">
        <v>13</v>
      </c>
      <c r="E217" t="s">
        <v>14</v>
      </c>
      <c r="F217" t="s">
        <v>22</v>
      </c>
      <c r="G217" t="s">
        <v>29</v>
      </c>
      <c r="H217" t="s">
        <v>21</v>
      </c>
      <c r="I217" s="2">
        <v>15009</v>
      </c>
      <c r="J217" t="b">
        <v>0</v>
      </c>
      <c r="K217" t="b">
        <v>0</v>
      </c>
      <c r="L217" t="b">
        <v>0</v>
      </c>
      <c r="M217" t="str">
        <f t="shared" si="6"/>
        <v>INSTAGRAM</v>
      </c>
      <c r="N217" t="str">
        <f t="shared" si="7"/>
        <v>Rural-INSTAGRAM</v>
      </c>
      <c r="O217">
        <v>15009</v>
      </c>
    </row>
    <row r="218" spans="1:15" x14ac:dyDescent="0.3">
      <c r="A218">
        <v>43</v>
      </c>
      <c r="B218" t="s">
        <v>18</v>
      </c>
      <c r="C218" s="1">
        <v>9</v>
      </c>
      <c r="D218" t="s">
        <v>28</v>
      </c>
      <c r="E218" t="s">
        <v>14</v>
      </c>
      <c r="F218" t="s">
        <v>15</v>
      </c>
      <c r="G218" t="s">
        <v>29</v>
      </c>
      <c r="H218" t="s">
        <v>24</v>
      </c>
      <c r="I218" s="2">
        <v>19749</v>
      </c>
      <c r="J218" t="b">
        <v>1</v>
      </c>
      <c r="K218" t="b">
        <v>0</v>
      </c>
      <c r="L218" t="b">
        <v>1</v>
      </c>
      <c r="M218" t="str">
        <f t="shared" si="6"/>
        <v>YOUTUBE</v>
      </c>
      <c r="N218" t="str">
        <f t="shared" si="7"/>
        <v>Rural-YOUTUBE</v>
      </c>
      <c r="O218">
        <v>19749</v>
      </c>
    </row>
    <row r="219" spans="1:15" x14ac:dyDescent="0.3">
      <c r="A219">
        <v>49</v>
      </c>
      <c r="B219" t="s">
        <v>25</v>
      </c>
      <c r="C219" s="1">
        <v>8</v>
      </c>
      <c r="D219" t="s">
        <v>19</v>
      </c>
      <c r="E219" t="s">
        <v>20</v>
      </c>
      <c r="F219" t="s">
        <v>22</v>
      </c>
      <c r="G219" t="s">
        <v>23</v>
      </c>
      <c r="H219" t="s">
        <v>24</v>
      </c>
      <c r="I219" s="2">
        <v>12113</v>
      </c>
      <c r="J219" t="b">
        <v>0</v>
      </c>
      <c r="K219" t="b">
        <v>0</v>
      </c>
      <c r="L219" t="b">
        <v>0</v>
      </c>
      <c r="M219" t="str">
        <f t="shared" si="6"/>
        <v>FACEBOOK</v>
      </c>
      <c r="N219" t="str">
        <f t="shared" si="7"/>
        <v>Sub_Urban-FACEBOOK</v>
      </c>
      <c r="O219">
        <v>12113</v>
      </c>
    </row>
    <row r="220" spans="1:15" x14ac:dyDescent="0.3">
      <c r="A220">
        <v>23</v>
      </c>
      <c r="B220" t="s">
        <v>12</v>
      </c>
      <c r="C220" s="1">
        <v>9</v>
      </c>
      <c r="D220" t="s">
        <v>13</v>
      </c>
      <c r="E220" t="s">
        <v>26</v>
      </c>
      <c r="F220" t="s">
        <v>22</v>
      </c>
      <c r="G220" t="s">
        <v>16</v>
      </c>
      <c r="H220" t="s">
        <v>17</v>
      </c>
      <c r="I220" s="2">
        <v>11044</v>
      </c>
      <c r="J220" t="b">
        <v>0</v>
      </c>
      <c r="K220" t="b">
        <v>0</v>
      </c>
      <c r="L220" t="b">
        <v>1</v>
      </c>
      <c r="M220" t="str">
        <f t="shared" si="6"/>
        <v>INSTAGRAM</v>
      </c>
      <c r="N220" t="str">
        <f t="shared" si="7"/>
        <v>Urban-INSTAGRAM</v>
      </c>
      <c r="O220">
        <v>11044</v>
      </c>
    </row>
    <row r="221" spans="1:15" x14ac:dyDescent="0.3">
      <c r="A221">
        <v>49</v>
      </c>
      <c r="B221" t="s">
        <v>12</v>
      </c>
      <c r="C221" s="1">
        <v>8</v>
      </c>
      <c r="D221" t="s">
        <v>13</v>
      </c>
      <c r="E221" t="s">
        <v>20</v>
      </c>
      <c r="F221" t="s">
        <v>22</v>
      </c>
      <c r="G221" t="s">
        <v>29</v>
      </c>
      <c r="H221" t="s">
        <v>24</v>
      </c>
      <c r="I221" s="2">
        <v>12431</v>
      </c>
      <c r="J221" t="b">
        <v>1</v>
      </c>
      <c r="K221" t="b">
        <v>0</v>
      </c>
      <c r="L221" t="b">
        <v>1</v>
      </c>
      <c r="M221" t="str">
        <f t="shared" si="6"/>
        <v>INSTAGRAM</v>
      </c>
      <c r="N221" t="str">
        <f t="shared" si="7"/>
        <v>Rural-INSTAGRAM</v>
      </c>
      <c r="O221">
        <v>12431</v>
      </c>
    </row>
    <row r="222" spans="1:15" x14ac:dyDescent="0.3">
      <c r="A222">
        <v>21</v>
      </c>
      <c r="B222" t="s">
        <v>25</v>
      </c>
      <c r="C222" s="1">
        <v>8</v>
      </c>
      <c r="D222" t="s">
        <v>19</v>
      </c>
      <c r="E222" t="s">
        <v>14</v>
      </c>
      <c r="F222" t="s">
        <v>22</v>
      </c>
      <c r="G222" t="s">
        <v>29</v>
      </c>
      <c r="H222" t="s">
        <v>24</v>
      </c>
      <c r="I222" s="2">
        <v>17979</v>
      </c>
      <c r="J222" t="b">
        <v>1</v>
      </c>
      <c r="K222" t="b">
        <v>1</v>
      </c>
      <c r="L222" t="b">
        <v>0</v>
      </c>
      <c r="M222" t="str">
        <f t="shared" si="6"/>
        <v>FACEBOOK</v>
      </c>
      <c r="N222" t="str">
        <f t="shared" si="7"/>
        <v>Rural-FACEBOOK</v>
      </c>
      <c r="O222">
        <v>17979</v>
      </c>
    </row>
    <row r="223" spans="1:15" x14ac:dyDescent="0.3">
      <c r="A223">
        <v>28</v>
      </c>
      <c r="B223" t="s">
        <v>12</v>
      </c>
      <c r="C223" s="1">
        <v>1</v>
      </c>
      <c r="D223" t="s">
        <v>13</v>
      </c>
      <c r="E223" t="s">
        <v>14</v>
      </c>
      <c r="F223" t="s">
        <v>27</v>
      </c>
      <c r="G223" t="s">
        <v>23</v>
      </c>
      <c r="H223" t="s">
        <v>17</v>
      </c>
      <c r="I223" s="2">
        <v>11582</v>
      </c>
      <c r="J223" t="b">
        <v>0</v>
      </c>
      <c r="K223" t="b">
        <v>0</v>
      </c>
      <c r="L223" t="b">
        <v>0</v>
      </c>
      <c r="M223" t="str">
        <f t="shared" si="6"/>
        <v>INSTAGRAM</v>
      </c>
      <c r="N223" t="str">
        <f t="shared" si="7"/>
        <v>Sub_Urban-INSTAGRAM</v>
      </c>
      <c r="O223">
        <v>11582</v>
      </c>
    </row>
    <row r="224" spans="1:15" x14ac:dyDescent="0.3">
      <c r="A224">
        <v>34</v>
      </c>
      <c r="B224" t="s">
        <v>12</v>
      </c>
      <c r="C224" s="1">
        <v>5</v>
      </c>
      <c r="D224" t="s">
        <v>28</v>
      </c>
      <c r="E224" t="s">
        <v>20</v>
      </c>
      <c r="F224" t="s">
        <v>15</v>
      </c>
      <c r="G224" t="s">
        <v>29</v>
      </c>
      <c r="H224" t="s">
        <v>17</v>
      </c>
      <c r="I224" s="2">
        <v>11308</v>
      </c>
      <c r="J224" t="b">
        <v>1</v>
      </c>
      <c r="K224" t="b">
        <v>0</v>
      </c>
      <c r="L224" t="b">
        <v>1</v>
      </c>
      <c r="M224" t="str">
        <f t="shared" si="6"/>
        <v>YOUTUBE</v>
      </c>
      <c r="N224" t="str">
        <f t="shared" si="7"/>
        <v>Rural-YOUTUBE</v>
      </c>
      <c r="O224">
        <v>11308</v>
      </c>
    </row>
    <row r="225" spans="1:15" x14ac:dyDescent="0.3">
      <c r="A225">
        <v>55</v>
      </c>
      <c r="B225" t="s">
        <v>18</v>
      </c>
      <c r="C225" s="1">
        <v>4</v>
      </c>
      <c r="D225" t="s">
        <v>28</v>
      </c>
      <c r="E225" t="s">
        <v>20</v>
      </c>
      <c r="F225" t="s">
        <v>22</v>
      </c>
      <c r="G225" t="s">
        <v>23</v>
      </c>
      <c r="H225" t="s">
        <v>21</v>
      </c>
      <c r="I225" s="2">
        <v>14917</v>
      </c>
      <c r="J225" t="b">
        <v>0</v>
      </c>
      <c r="K225" t="b">
        <v>1</v>
      </c>
      <c r="L225" t="b">
        <v>1</v>
      </c>
      <c r="M225" t="str">
        <f t="shared" si="6"/>
        <v>YOUTUBE</v>
      </c>
      <c r="N225" t="str">
        <f t="shared" si="7"/>
        <v>Sub_Urban-YOUTUBE</v>
      </c>
      <c r="O225">
        <v>14917</v>
      </c>
    </row>
    <row r="226" spans="1:15" x14ac:dyDescent="0.3">
      <c r="A226">
        <v>41</v>
      </c>
      <c r="B226" t="s">
        <v>25</v>
      </c>
      <c r="C226" s="1">
        <v>2</v>
      </c>
      <c r="D226" t="s">
        <v>13</v>
      </c>
      <c r="E226" t="s">
        <v>14</v>
      </c>
      <c r="F226" t="s">
        <v>15</v>
      </c>
      <c r="G226" t="s">
        <v>16</v>
      </c>
      <c r="H226" t="s">
        <v>24</v>
      </c>
      <c r="I226" s="2">
        <v>18793</v>
      </c>
      <c r="J226" t="b">
        <v>0</v>
      </c>
      <c r="K226" t="b">
        <v>1</v>
      </c>
      <c r="L226" t="b">
        <v>0</v>
      </c>
      <c r="M226" t="str">
        <f t="shared" si="6"/>
        <v>INSTAGRAM</v>
      </c>
      <c r="N226" t="str">
        <f t="shared" si="7"/>
        <v>Urban-INSTAGRAM</v>
      </c>
      <c r="O226">
        <v>18793</v>
      </c>
    </row>
    <row r="227" spans="1:15" x14ac:dyDescent="0.3">
      <c r="A227">
        <v>22</v>
      </c>
      <c r="B227" t="s">
        <v>25</v>
      </c>
      <c r="C227" s="1">
        <v>8</v>
      </c>
      <c r="D227" t="s">
        <v>28</v>
      </c>
      <c r="E227" t="s">
        <v>20</v>
      </c>
      <c r="F227" t="s">
        <v>15</v>
      </c>
      <c r="G227" t="s">
        <v>16</v>
      </c>
      <c r="H227" t="s">
        <v>21</v>
      </c>
      <c r="I227" s="2">
        <v>11620</v>
      </c>
      <c r="J227" t="b">
        <v>1</v>
      </c>
      <c r="K227" t="b">
        <v>1</v>
      </c>
      <c r="L227" t="b">
        <v>0</v>
      </c>
      <c r="M227" t="str">
        <f t="shared" si="6"/>
        <v>YOUTUBE</v>
      </c>
      <c r="N227" t="str">
        <f t="shared" si="7"/>
        <v>Urban-YOUTUBE</v>
      </c>
      <c r="O227">
        <v>11620</v>
      </c>
    </row>
    <row r="228" spans="1:15" x14ac:dyDescent="0.3">
      <c r="A228">
        <v>51</v>
      </c>
      <c r="B228" t="s">
        <v>25</v>
      </c>
      <c r="C228" s="1">
        <v>3</v>
      </c>
      <c r="D228" t="s">
        <v>13</v>
      </c>
      <c r="E228" t="s">
        <v>14</v>
      </c>
      <c r="F228" t="s">
        <v>15</v>
      </c>
      <c r="G228" t="s">
        <v>29</v>
      </c>
      <c r="H228" t="s">
        <v>21</v>
      </c>
      <c r="I228" s="2">
        <v>17503</v>
      </c>
      <c r="J228" t="b">
        <v>1</v>
      </c>
      <c r="K228" t="b">
        <v>0</v>
      </c>
      <c r="L228" t="b">
        <v>0</v>
      </c>
      <c r="M228" t="str">
        <f t="shared" si="6"/>
        <v>INSTAGRAM</v>
      </c>
      <c r="N228" t="str">
        <f t="shared" si="7"/>
        <v>Rural-INSTAGRAM</v>
      </c>
      <c r="O228">
        <v>17503</v>
      </c>
    </row>
    <row r="229" spans="1:15" x14ac:dyDescent="0.3">
      <c r="A229">
        <v>23</v>
      </c>
      <c r="B229" t="s">
        <v>25</v>
      </c>
      <c r="C229" s="1">
        <v>4</v>
      </c>
      <c r="D229" t="s">
        <v>19</v>
      </c>
      <c r="E229" t="s">
        <v>20</v>
      </c>
      <c r="F229" t="s">
        <v>22</v>
      </c>
      <c r="G229" t="s">
        <v>29</v>
      </c>
      <c r="H229" t="s">
        <v>17</v>
      </c>
      <c r="I229" s="2">
        <v>14766</v>
      </c>
      <c r="J229" t="b">
        <v>0</v>
      </c>
      <c r="K229" t="b">
        <v>1</v>
      </c>
      <c r="L229" t="b">
        <v>0</v>
      </c>
      <c r="M229" t="str">
        <f t="shared" si="6"/>
        <v>FACEBOOK</v>
      </c>
      <c r="N229" t="str">
        <f t="shared" si="7"/>
        <v>Rural-FACEBOOK</v>
      </c>
      <c r="O229">
        <v>14766</v>
      </c>
    </row>
    <row r="230" spans="1:15" x14ac:dyDescent="0.3">
      <c r="A230">
        <v>39</v>
      </c>
      <c r="B230" t="s">
        <v>18</v>
      </c>
      <c r="C230" s="1">
        <v>7</v>
      </c>
      <c r="D230" t="s">
        <v>13</v>
      </c>
      <c r="E230" t="s">
        <v>20</v>
      </c>
      <c r="F230" t="s">
        <v>27</v>
      </c>
      <c r="G230" t="s">
        <v>29</v>
      </c>
      <c r="H230" t="s">
        <v>21</v>
      </c>
      <c r="I230" s="2">
        <v>15362</v>
      </c>
      <c r="J230" t="b">
        <v>0</v>
      </c>
      <c r="K230" t="b">
        <v>0</v>
      </c>
      <c r="L230" t="b">
        <v>1</v>
      </c>
      <c r="M230" t="str">
        <f t="shared" si="6"/>
        <v>INSTAGRAM</v>
      </c>
      <c r="N230" t="str">
        <f t="shared" si="7"/>
        <v>Rural-INSTAGRAM</v>
      </c>
      <c r="O230">
        <v>15362</v>
      </c>
    </row>
    <row r="231" spans="1:15" x14ac:dyDescent="0.3">
      <c r="A231">
        <v>28</v>
      </c>
      <c r="B231" t="s">
        <v>18</v>
      </c>
      <c r="C231" s="1">
        <v>9</v>
      </c>
      <c r="D231" t="s">
        <v>19</v>
      </c>
      <c r="E231" t="s">
        <v>20</v>
      </c>
      <c r="F231" t="s">
        <v>22</v>
      </c>
      <c r="G231" t="s">
        <v>23</v>
      </c>
      <c r="H231" t="s">
        <v>24</v>
      </c>
      <c r="I231" s="2">
        <v>15192</v>
      </c>
      <c r="J231" t="b">
        <v>0</v>
      </c>
      <c r="K231" t="b">
        <v>0</v>
      </c>
      <c r="L231" t="b">
        <v>1</v>
      </c>
      <c r="M231" t="str">
        <f t="shared" si="6"/>
        <v>FACEBOOK</v>
      </c>
      <c r="N231" t="str">
        <f t="shared" si="7"/>
        <v>Sub_Urban-FACEBOOK</v>
      </c>
      <c r="O231">
        <v>15192</v>
      </c>
    </row>
    <row r="232" spans="1:15" x14ac:dyDescent="0.3">
      <c r="A232">
        <v>33</v>
      </c>
      <c r="B232" t="s">
        <v>12</v>
      </c>
      <c r="C232" s="1">
        <v>2</v>
      </c>
      <c r="D232" t="s">
        <v>28</v>
      </c>
      <c r="E232" t="s">
        <v>14</v>
      </c>
      <c r="F232" t="s">
        <v>15</v>
      </c>
      <c r="G232" t="s">
        <v>29</v>
      </c>
      <c r="H232" t="s">
        <v>17</v>
      </c>
      <c r="I232" s="2">
        <v>16622</v>
      </c>
      <c r="J232" t="b">
        <v>0</v>
      </c>
      <c r="K232" t="b">
        <v>0</v>
      </c>
      <c r="L232" t="b">
        <v>1</v>
      </c>
      <c r="M232" t="str">
        <f t="shared" si="6"/>
        <v>YOUTUBE</v>
      </c>
      <c r="N232" t="str">
        <f t="shared" si="7"/>
        <v>Rural-YOUTUBE</v>
      </c>
      <c r="O232">
        <v>16622</v>
      </c>
    </row>
    <row r="233" spans="1:15" x14ac:dyDescent="0.3">
      <c r="A233">
        <v>50</v>
      </c>
      <c r="B233" t="s">
        <v>12</v>
      </c>
      <c r="C233" s="1">
        <v>3</v>
      </c>
      <c r="D233" t="s">
        <v>19</v>
      </c>
      <c r="E233" t="s">
        <v>20</v>
      </c>
      <c r="F233" t="s">
        <v>15</v>
      </c>
      <c r="G233" t="s">
        <v>29</v>
      </c>
      <c r="H233" t="s">
        <v>24</v>
      </c>
      <c r="I233" s="2">
        <v>16093</v>
      </c>
      <c r="J233" t="b">
        <v>1</v>
      </c>
      <c r="K233" t="b">
        <v>1</v>
      </c>
      <c r="L233" t="b">
        <v>1</v>
      </c>
      <c r="M233" t="str">
        <f t="shared" si="6"/>
        <v>FACEBOOK</v>
      </c>
      <c r="N233" t="str">
        <f t="shared" si="7"/>
        <v>Rural-FACEBOOK</v>
      </c>
      <c r="O233">
        <v>16093</v>
      </c>
    </row>
    <row r="234" spans="1:15" x14ac:dyDescent="0.3">
      <c r="A234">
        <v>26</v>
      </c>
      <c r="B234" t="s">
        <v>12</v>
      </c>
      <c r="C234" s="1">
        <v>4</v>
      </c>
      <c r="D234" t="s">
        <v>28</v>
      </c>
      <c r="E234" t="s">
        <v>14</v>
      </c>
      <c r="F234" t="s">
        <v>27</v>
      </c>
      <c r="G234" t="s">
        <v>16</v>
      </c>
      <c r="H234" t="s">
        <v>24</v>
      </c>
      <c r="I234" s="2">
        <v>16704</v>
      </c>
      <c r="J234" t="b">
        <v>0</v>
      </c>
      <c r="K234" t="b">
        <v>1</v>
      </c>
      <c r="L234" t="b">
        <v>1</v>
      </c>
      <c r="M234" t="str">
        <f t="shared" si="6"/>
        <v>YOUTUBE</v>
      </c>
      <c r="N234" t="str">
        <f t="shared" si="7"/>
        <v>Urban-YOUTUBE</v>
      </c>
      <c r="O234">
        <v>16704</v>
      </c>
    </row>
    <row r="235" spans="1:15" x14ac:dyDescent="0.3">
      <c r="A235">
        <v>23</v>
      </c>
      <c r="B235" t="s">
        <v>12</v>
      </c>
      <c r="C235" s="1">
        <v>1</v>
      </c>
      <c r="D235" t="s">
        <v>13</v>
      </c>
      <c r="E235" t="s">
        <v>14</v>
      </c>
      <c r="F235" t="s">
        <v>22</v>
      </c>
      <c r="G235" t="s">
        <v>29</v>
      </c>
      <c r="H235" t="s">
        <v>17</v>
      </c>
      <c r="I235" s="2">
        <v>10100</v>
      </c>
      <c r="J235" t="b">
        <v>1</v>
      </c>
      <c r="K235" t="b">
        <v>0</v>
      </c>
      <c r="L235" t="b">
        <v>0</v>
      </c>
      <c r="M235" t="str">
        <f t="shared" si="6"/>
        <v>INSTAGRAM</v>
      </c>
      <c r="N235" t="str">
        <f t="shared" si="7"/>
        <v>Rural-INSTAGRAM</v>
      </c>
      <c r="O235">
        <v>10100</v>
      </c>
    </row>
    <row r="236" spans="1:15" x14ac:dyDescent="0.3">
      <c r="A236">
        <v>33</v>
      </c>
      <c r="B236" t="s">
        <v>18</v>
      </c>
      <c r="C236" s="1">
        <v>7</v>
      </c>
      <c r="D236" t="s">
        <v>28</v>
      </c>
      <c r="E236" t="s">
        <v>20</v>
      </c>
      <c r="F236" t="s">
        <v>15</v>
      </c>
      <c r="G236" t="s">
        <v>16</v>
      </c>
      <c r="H236" t="s">
        <v>24</v>
      </c>
      <c r="I236" s="2">
        <v>16657</v>
      </c>
      <c r="J236" t="b">
        <v>1</v>
      </c>
      <c r="K236" t="b">
        <v>0</v>
      </c>
      <c r="L236" t="b">
        <v>0</v>
      </c>
      <c r="M236" t="str">
        <f t="shared" si="6"/>
        <v>YOUTUBE</v>
      </c>
      <c r="N236" t="str">
        <f t="shared" si="7"/>
        <v>Urban-YOUTUBE</v>
      </c>
      <c r="O236">
        <v>16657</v>
      </c>
    </row>
    <row r="237" spans="1:15" x14ac:dyDescent="0.3">
      <c r="A237">
        <v>46</v>
      </c>
      <c r="B237" t="s">
        <v>25</v>
      </c>
      <c r="C237" s="1">
        <v>2</v>
      </c>
      <c r="D237" t="s">
        <v>13</v>
      </c>
      <c r="E237" t="s">
        <v>20</v>
      </c>
      <c r="F237" t="s">
        <v>27</v>
      </c>
      <c r="G237" t="s">
        <v>29</v>
      </c>
      <c r="H237" t="s">
        <v>17</v>
      </c>
      <c r="I237" s="2">
        <v>15875</v>
      </c>
      <c r="J237" t="b">
        <v>0</v>
      </c>
      <c r="K237" t="b">
        <v>0</v>
      </c>
      <c r="L237" t="b">
        <v>0</v>
      </c>
      <c r="M237" t="str">
        <f t="shared" si="6"/>
        <v>INSTAGRAM</v>
      </c>
      <c r="N237" t="str">
        <f t="shared" si="7"/>
        <v>Rural-INSTAGRAM</v>
      </c>
      <c r="O237">
        <v>15875</v>
      </c>
    </row>
    <row r="238" spans="1:15" x14ac:dyDescent="0.3">
      <c r="A238">
        <v>20</v>
      </c>
      <c r="B238" t="s">
        <v>18</v>
      </c>
      <c r="C238" s="1">
        <v>5</v>
      </c>
      <c r="D238" t="s">
        <v>13</v>
      </c>
      <c r="E238" t="s">
        <v>14</v>
      </c>
      <c r="F238" t="s">
        <v>15</v>
      </c>
      <c r="G238" t="s">
        <v>16</v>
      </c>
      <c r="H238" t="s">
        <v>24</v>
      </c>
      <c r="I238" s="2">
        <v>14271</v>
      </c>
      <c r="J238" t="b">
        <v>1</v>
      </c>
      <c r="K238" t="b">
        <v>1</v>
      </c>
      <c r="L238" t="b">
        <v>1</v>
      </c>
      <c r="M238" t="str">
        <f t="shared" si="6"/>
        <v>INSTAGRAM</v>
      </c>
      <c r="N238" t="str">
        <f t="shared" si="7"/>
        <v>Urban-INSTAGRAM</v>
      </c>
      <c r="O238">
        <v>14271</v>
      </c>
    </row>
    <row r="239" spans="1:15" x14ac:dyDescent="0.3">
      <c r="A239">
        <v>37</v>
      </c>
      <c r="B239" t="s">
        <v>12</v>
      </c>
      <c r="C239" s="1">
        <v>1</v>
      </c>
      <c r="D239" t="s">
        <v>19</v>
      </c>
      <c r="E239" t="s">
        <v>14</v>
      </c>
      <c r="F239" t="s">
        <v>27</v>
      </c>
      <c r="G239" t="s">
        <v>29</v>
      </c>
      <c r="H239" t="s">
        <v>17</v>
      </c>
      <c r="I239" s="2">
        <v>10237</v>
      </c>
      <c r="J239" t="b">
        <v>1</v>
      </c>
      <c r="K239" t="b">
        <v>0</v>
      </c>
      <c r="L239" t="b">
        <v>0</v>
      </c>
      <c r="M239" t="str">
        <f t="shared" si="6"/>
        <v>FACEBOOK</v>
      </c>
      <c r="N239" t="str">
        <f t="shared" si="7"/>
        <v>Rural-FACEBOOK</v>
      </c>
      <c r="O239">
        <v>10237</v>
      </c>
    </row>
    <row r="240" spans="1:15" x14ac:dyDescent="0.3">
      <c r="A240">
        <v>53</v>
      </c>
      <c r="B240" t="s">
        <v>18</v>
      </c>
      <c r="C240" s="1">
        <v>3</v>
      </c>
      <c r="D240" t="s">
        <v>19</v>
      </c>
      <c r="E240" t="s">
        <v>26</v>
      </c>
      <c r="F240" t="s">
        <v>27</v>
      </c>
      <c r="G240" t="s">
        <v>16</v>
      </c>
      <c r="H240" t="s">
        <v>21</v>
      </c>
      <c r="I240" s="2">
        <v>17226</v>
      </c>
      <c r="J240" t="b">
        <v>0</v>
      </c>
      <c r="K240" t="b">
        <v>1</v>
      </c>
      <c r="L240" t="b">
        <v>1</v>
      </c>
      <c r="M240" t="str">
        <f t="shared" si="6"/>
        <v>FACEBOOK</v>
      </c>
      <c r="N240" t="str">
        <f t="shared" si="7"/>
        <v>Urban-FACEBOOK</v>
      </c>
      <c r="O240">
        <v>17226</v>
      </c>
    </row>
    <row r="241" spans="1:15" x14ac:dyDescent="0.3">
      <c r="A241">
        <v>36</v>
      </c>
      <c r="B241" t="s">
        <v>25</v>
      </c>
      <c r="C241" s="1">
        <v>2</v>
      </c>
      <c r="D241" t="s">
        <v>19</v>
      </c>
      <c r="E241" t="s">
        <v>14</v>
      </c>
      <c r="F241" t="s">
        <v>22</v>
      </c>
      <c r="G241" t="s">
        <v>23</v>
      </c>
      <c r="H241" t="s">
        <v>24</v>
      </c>
      <c r="I241" s="2">
        <v>18032</v>
      </c>
      <c r="J241" t="b">
        <v>1</v>
      </c>
      <c r="K241" t="b">
        <v>0</v>
      </c>
      <c r="L241" t="b">
        <v>1</v>
      </c>
      <c r="M241" t="str">
        <f t="shared" si="6"/>
        <v>FACEBOOK</v>
      </c>
      <c r="N241" t="str">
        <f t="shared" si="7"/>
        <v>Sub_Urban-FACEBOOK</v>
      </c>
      <c r="O241">
        <v>18032</v>
      </c>
    </row>
    <row r="242" spans="1:15" x14ac:dyDescent="0.3">
      <c r="A242">
        <v>43</v>
      </c>
      <c r="B242" t="s">
        <v>25</v>
      </c>
      <c r="C242" s="1">
        <v>1</v>
      </c>
      <c r="D242" t="s">
        <v>19</v>
      </c>
      <c r="E242" t="s">
        <v>26</v>
      </c>
      <c r="F242" t="s">
        <v>15</v>
      </c>
      <c r="G242" t="s">
        <v>16</v>
      </c>
      <c r="H242" t="s">
        <v>17</v>
      </c>
      <c r="I242" s="2">
        <v>15218</v>
      </c>
      <c r="J242" t="b">
        <v>1</v>
      </c>
      <c r="K242" t="b">
        <v>1</v>
      </c>
      <c r="L242" t="b">
        <v>1</v>
      </c>
      <c r="M242" t="str">
        <f t="shared" si="6"/>
        <v>FACEBOOK</v>
      </c>
      <c r="N242" t="str">
        <f t="shared" si="7"/>
        <v>Urban-FACEBOOK</v>
      </c>
      <c r="O242">
        <v>15218</v>
      </c>
    </row>
    <row r="243" spans="1:15" x14ac:dyDescent="0.3">
      <c r="A243">
        <v>20</v>
      </c>
      <c r="B243" t="s">
        <v>18</v>
      </c>
      <c r="C243" s="1">
        <v>7</v>
      </c>
      <c r="D243" t="s">
        <v>28</v>
      </c>
      <c r="E243" t="s">
        <v>26</v>
      </c>
      <c r="F243" t="s">
        <v>22</v>
      </c>
      <c r="G243" t="s">
        <v>16</v>
      </c>
      <c r="H243" t="s">
        <v>24</v>
      </c>
      <c r="I243" s="2">
        <v>14025</v>
      </c>
      <c r="J243" t="b">
        <v>0</v>
      </c>
      <c r="K243" t="b">
        <v>0</v>
      </c>
      <c r="L243" t="b">
        <v>0</v>
      </c>
      <c r="M243" t="str">
        <f t="shared" si="6"/>
        <v>YOUTUBE</v>
      </c>
      <c r="N243" t="str">
        <f t="shared" si="7"/>
        <v>Urban-YOUTUBE</v>
      </c>
      <c r="O243">
        <v>14025</v>
      </c>
    </row>
    <row r="244" spans="1:15" x14ac:dyDescent="0.3">
      <c r="A244">
        <v>36</v>
      </c>
      <c r="B244" t="s">
        <v>18</v>
      </c>
      <c r="C244" s="1">
        <v>5</v>
      </c>
      <c r="D244" t="s">
        <v>28</v>
      </c>
      <c r="E244" t="s">
        <v>26</v>
      </c>
      <c r="F244" t="s">
        <v>15</v>
      </c>
      <c r="G244" t="s">
        <v>16</v>
      </c>
      <c r="H244" t="s">
        <v>24</v>
      </c>
      <c r="I244" s="2">
        <v>16073</v>
      </c>
      <c r="J244" t="b">
        <v>0</v>
      </c>
      <c r="K244" t="b">
        <v>1</v>
      </c>
      <c r="L244" t="b">
        <v>1</v>
      </c>
      <c r="M244" t="str">
        <f t="shared" si="6"/>
        <v>YOUTUBE</v>
      </c>
      <c r="N244" t="str">
        <f t="shared" si="7"/>
        <v>Urban-YOUTUBE</v>
      </c>
      <c r="O244">
        <v>16073</v>
      </c>
    </row>
    <row r="245" spans="1:15" x14ac:dyDescent="0.3">
      <c r="A245">
        <v>37</v>
      </c>
      <c r="B245" t="s">
        <v>18</v>
      </c>
      <c r="C245" s="1">
        <v>1</v>
      </c>
      <c r="D245" t="s">
        <v>28</v>
      </c>
      <c r="E245" t="s">
        <v>20</v>
      </c>
      <c r="F245" t="s">
        <v>22</v>
      </c>
      <c r="G245" t="s">
        <v>29</v>
      </c>
      <c r="H245" t="s">
        <v>24</v>
      </c>
      <c r="I245" s="2">
        <v>12542</v>
      </c>
      <c r="J245" t="b">
        <v>0</v>
      </c>
      <c r="K245" t="b">
        <v>1</v>
      </c>
      <c r="L245" t="b">
        <v>1</v>
      </c>
      <c r="M245" t="str">
        <f t="shared" si="6"/>
        <v>YOUTUBE</v>
      </c>
      <c r="N245" t="str">
        <f t="shared" si="7"/>
        <v>Rural-YOUTUBE</v>
      </c>
      <c r="O245">
        <v>12542</v>
      </c>
    </row>
    <row r="246" spans="1:15" x14ac:dyDescent="0.3">
      <c r="A246">
        <v>49</v>
      </c>
      <c r="B246" t="s">
        <v>12</v>
      </c>
      <c r="C246" s="1">
        <v>6</v>
      </c>
      <c r="D246" t="s">
        <v>13</v>
      </c>
      <c r="E246" t="s">
        <v>20</v>
      </c>
      <c r="F246" t="s">
        <v>15</v>
      </c>
      <c r="G246" t="s">
        <v>29</v>
      </c>
      <c r="H246" t="s">
        <v>17</v>
      </c>
      <c r="I246" s="2">
        <v>11537</v>
      </c>
      <c r="J246" t="b">
        <v>0</v>
      </c>
      <c r="K246" t="b">
        <v>1</v>
      </c>
      <c r="L246" t="b">
        <v>0</v>
      </c>
      <c r="M246" t="str">
        <f t="shared" si="6"/>
        <v>INSTAGRAM</v>
      </c>
      <c r="N246" t="str">
        <f t="shared" si="7"/>
        <v>Rural-INSTAGRAM</v>
      </c>
      <c r="O246">
        <v>11537</v>
      </c>
    </row>
    <row r="247" spans="1:15" x14ac:dyDescent="0.3">
      <c r="A247">
        <v>24</v>
      </c>
      <c r="B247" t="s">
        <v>18</v>
      </c>
      <c r="C247" s="1">
        <v>5</v>
      </c>
      <c r="D247" t="s">
        <v>28</v>
      </c>
      <c r="E247" t="s">
        <v>14</v>
      </c>
      <c r="F247" t="s">
        <v>22</v>
      </c>
      <c r="G247" t="s">
        <v>29</v>
      </c>
      <c r="H247" t="s">
        <v>21</v>
      </c>
      <c r="I247" s="2">
        <v>10754</v>
      </c>
      <c r="J247" t="b">
        <v>0</v>
      </c>
      <c r="K247" t="b">
        <v>1</v>
      </c>
      <c r="L247" t="b">
        <v>1</v>
      </c>
      <c r="M247" t="str">
        <f t="shared" si="6"/>
        <v>YOUTUBE</v>
      </c>
      <c r="N247" t="str">
        <f t="shared" si="7"/>
        <v>Rural-YOUTUBE</v>
      </c>
      <c r="O247">
        <v>10754</v>
      </c>
    </row>
    <row r="248" spans="1:15" x14ac:dyDescent="0.3">
      <c r="A248">
        <v>58</v>
      </c>
      <c r="B248" t="s">
        <v>18</v>
      </c>
      <c r="C248" s="1">
        <v>3</v>
      </c>
      <c r="D248" t="s">
        <v>28</v>
      </c>
      <c r="E248" t="s">
        <v>26</v>
      </c>
      <c r="F248" t="s">
        <v>27</v>
      </c>
      <c r="G248" t="s">
        <v>23</v>
      </c>
      <c r="H248" t="s">
        <v>21</v>
      </c>
      <c r="I248" s="2">
        <v>17396</v>
      </c>
      <c r="J248" t="b">
        <v>0</v>
      </c>
      <c r="K248" t="b">
        <v>1</v>
      </c>
      <c r="L248" t="b">
        <v>0</v>
      </c>
      <c r="M248" t="str">
        <f t="shared" si="6"/>
        <v>YOUTUBE</v>
      </c>
      <c r="N248" t="str">
        <f t="shared" si="7"/>
        <v>Sub_Urban-YOUTUBE</v>
      </c>
      <c r="O248">
        <v>17396</v>
      </c>
    </row>
    <row r="249" spans="1:15" x14ac:dyDescent="0.3">
      <c r="A249">
        <v>50</v>
      </c>
      <c r="B249" t="s">
        <v>18</v>
      </c>
      <c r="C249" s="1">
        <v>7</v>
      </c>
      <c r="D249" t="s">
        <v>28</v>
      </c>
      <c r="E249" t="s">
        <v>20</v>
      </c>
      <c r="F249" t="s">
        <v>15</v>
      </c>
      <c r="G249" t="s">
        <v>23</v>
      </c>
      <c r="H249" t="s">
        <v>21</v>
      </c>
      <c r="I249" s="2">
        <v>17823</v>
      </c>
      <c r="J249" t="b">
        <v>0</v>
      </c>
      <c r="K249" t="b">
        <v>1</v>
      </c>
      <c r="L249" t="b">
        <v>1</v>
      </c>
      <c r="M249" t="str">
        <f t="shared" si="6"/>
        <v>YOUTUBE</v>
      </c>
      <c r="N249" t="str">
        <f t="shared" si="7"/>
        <v>Sub_Urban-YOUTUBE</v>
      </c>
      <c r="O249">
        <v>17823</v>
      </c>
    </row>
    <row r="250" spans="1:15" x14ac:dyDescent="0.3">
      <c r="A250">
        <v>57</v>
      </c>
      <c r="B250" t="s">
        <v>25</v>
      </c>
      <c r="C250" s="1">
        <v>9</v>
      </c>
      <c r="D250" t="s">
        <v>19</v>
      </c>
      <c r="E250" t="s">
        <v>20</v>
      </c>
      <c r="F250" t="s">
        <v>15</v>
      </c>
      <c r="G250" t="s">
        <v>16</v>
      </c>
      <c r="H250" t="s">
        <v>17</v>
      </c>
      <c r="I250" s="2">
        <v>15507</v>
      </c>
      <c r="J250" t="b">
        <v>1</v>
      </c>
      <c r="K250" t="b">
        <v>0</v>
      </c>
      <c r="L250" t="b">
        <v>0</v>
      </c>
      <c r="M250" t="str">
        <f t="shared" si="6"/>
        <v>FACEBOOK</v>
      </c>
      <c r="N250" t="str">
        <f t="shared" si="7"/>
        <v>Urban-FACEBOOK</v>
      </c>
      <c r="O250">
        <v>15507</v>
      </c>
    </row>
    <row r="251" spans="1:15" x14ac:dyDescent="0.3">
      <c r="A251">
        <v>56</v>
      </c>
      <c r="B251" t="s">
        <v>25</v>
      </c>
      <c r="C251" s="1">
        <v>9</v>
      </c>
      <c r="D251" t="s">
        <v>28</v>
      </c>
      <c r="E251" t="s">
        <v>20</v>
      </c>
      <c r="F251" t="s">
        <v>27</v>
      </c>
      <c r="G251" t="s">
        <v>23</v>
      </c>
      <c r="H251" t="s">
        <v>21</v>
      </c>
      <c r="I251" s="2">
        <v>14235</v>
      </c>
      <c r="J251" t="b">
        <v>1</v>
      </c>
      <c r="K251" t="b">
        <v>0</v>
      </c>
      <c r="L251" t="b">
        <v>1</v>
      </c>
      <c r="M251" t="str">
        <f t="shared" si="6"/>
        <v>YOUTUBE</v>
      </c>
      <c r="N251" t="str">
        <f t="shared" si="7"/>
        <v>Sub_Urban-YOUTUBE</v>
      </c>
      <c r="O251">
        <v>14235</v>
      </c>
    </row>
    <row r="252" spans="1:15" x14ac:dyDescent="0.3">
      <c r="A252">
        <v>35</v>
      </c>
      <c r="B252" t="s">
        <v>12</v>
      </c>
      <c r="C252" s="1">
        <v>9</v>
      </c>
      <c r="D252" t="s">
        <v>13</v>
      </c>
      <c r="E252" t="s">
        <v>20</v>
      </c>
      <c r="F252" t="s">
        <v>22</v>
      </c>
      <c r="G252" t="s">
        <v>16</v>
      </c>
      <c r="H252" t="s">
        <v>17</v>
      </c>
      <c r="I252" s="2">
        <v>10540</v>
      </c>
      <c r="J252" t="b">
        <v>0</v>
      </c>
      <c r="K252" t="b">
        <v>0</v>
      </c>
      <c r="L252" t="b">
        <v>1</v>
      </c>
      <c r="M252" t="str">
        <f t="shared" si="6"/>
        <v>INSTAGRAM</v>
      </c>
      <c r="N252" t="str">
        <f t="shared" si="7"/>
        <v>Urban-INSTAGRAM</v>
      </c>
      <c r="O252">
        <v>10540</v>
      </c>
    </row>
    <row r="253" spans="1:15" x14ac:dyDescent="0.3">
      <c r="A253">
        <v>57</v>
      </c>
      <c r="B253" t="s">
        <v>12</v>
      </c>
      <c r="C253" s="1">
        <v>2</v>
      </c>
      <c r="D253" t="s">
        <v>19</v>
      </c>
      <c r="E253" t="s">
        <v>20</v>
      </c>
      <c r="F253" t="s">
        <v>15</v>
      </c>
      <c r="G253" t="s">
        <v>16</v>
      </c>
      <c r="H253" t="s">
        <v>24</v>
      </c>
      <c r="I253" s="2">
        <v>15510</v>
      </c>
      <c r="J253" t="b">
        <v>1</v>
      </c>
      <c r="K253" t="b">
        <v>0</v>
      </c>
      <c r="L253" t="b">
        <v>0</v>
      </c>
      <c r="M253" t="str">
        <f t="shared" si="6"/>
        <v>FACEBOOK</v>
      </c>
      <c r="N253" t="str">
        <f t="shared" si="7"/>
        <v>Urban-FACEBOOK</v>
      </c>
      <c r="O253">
        <v>15510</v>
      </c>
    </row>
    <row r="254" spans="1:15" x14ac:dyDescent="0.3">
      <c r="A254">
        <v>18</v>
      </c>
      <c r="B254" t="s">
        <v>25</v>
      </c>
      <c r="C254" s="1">
        <v>3</v>
      </c>
      <c r="D254" t="s">
        <v>13</v>
      </c>
      <c r="E254" t="s">
        <v>26</v>
      </c>
      <c r="F254" t="s">
        <v>15</v>
      </c>
      <c r="G254" t="s">
        <v>16</v>
      </c>
      <c r="H254" t="s">
        <v>24</v>
      </c>
      <c r="I254" s="2">
        <v>18461</v>
      </c>
      <c r="J254" t="b">
        <v>1</v>
      </c>
      <c r="K254" t="b">
        <v>1</v>
      </c>
      <c r="L254" t="b">
        <v>1</v>
      </c>
      <c r="M254" t="str">
        <f t="shared" si="6"/>
        <v>INSTAGRAM</v>
      </c>
      <c r="N254" t="str">
        <f t="shared" si="7"/>
        <v>Urban-INSTAGRAM</v>
      </c>
      <c r="O254">
        <v>18461</v>
      </c>
    </row>
    <row r="255" spans="1:15" x14ac:dyDescent="0.3">
      <c r="A255">
        <v>28</v>
      </c>
      <c r="B255" t="s">
        <v>25</v>
      </c>
      <c r="C255" s="1">
        <v>7</v>
      </c>
      <c r="D255" t="s">
        <v>28</v>
      </c>
      <c r="E255" t="s">
        <v>26</v>
      </c>
      <c r="F255" t="s">
        <v>22</v>
      </c>
      <c r="G255" t="s">
        <v>23</v>
      </c>
      <c r="H255" t="s">
        <v>21</v>
      </c>
      <c r="I255" s="2">
        <v>17926</v>
      </c>
      <c r="J255" t="b">
        <v>0</v>
      </c>
      <c r="K255" t="b">
        <v>0</v>
      </c>
      <c r="L255" t="b">
        <v>0</v>
      </c>
      <c r="M255" t="str">
        <f t="shared" si="6"/>
        <v>YOUTUBE</v>
      </c>
      <c r="N255" t="str">
        <f t="shared" si="7"/>
        <v>Sub_Urban-YOUTUBE</v>
      </c>
      <c r="O255">
        <v>17926</v>
      </c>
    </row>
    <row r="256" spans="1:15" x14ac:dyDescent="0.3">
      <c r="A256">
        <v>45</v>
      </c>
      <c r="B256" t="s">
        <v>25</v>
      </c>
      <c r="C256" s="1">
        <v>5</v>
      </c>
      <c r="D256" t="s">
        <v>19</v>
      </c>
      <c r="E256" t="s">
        <v>26</v>
      </c>
      <c r="F256" t="s">
        <v>27</v>
      </c>
      <c r="G256" t="s">
        <v>29</v>
      </c>
      <c r="H256" t="s">
        <v>17</v>
      </c>
      <c r="I256" s="2">
        <v>15131</v>
      </c>
      <c r="J256" t="b">
        <v>1</v>
      </c>
      <c r="K256" t="b">
        <v>1</v>
      </c>
      <c r="L256" t="b">
        <v>1</v>
      </c>
      <c r="M256" t="str">
        <f t="shared" si="6"/>
        <v>FACEBOOK</v>
      </c>
      <c r="N256" t="str">
        <f t="shared" si="7"/>
        <v>Rural-FACEBOOK</v>
      </c>
      <c r="O256">
        <v>15131</v>
      </c>
    </row>
    <row r="257" spans="1:15" x14ac:dyDescent="0.3">
      <c r="A257">
        <v>42</v>
      </c>
      <c r="B257" t="s">
        <v>18</v>
      </c>
      <c r="C257" s="1">
        <v>2</v>
      </c>
      <c r="D257" t="s">
        <v>13</v>
      </c>
      <c r="E257" t="s">
        <v>26</v>
      </c>
      <c r="F257" t="s">
        <v>22</v>
      </c>
      <c r="G257" t="s">
        <v>23</v>
      </c>
      <c r="H257" t="s">
        <v>24</v>
      </c>
      <c r="I257" s="2">
        <v>18697</v>
      </c>
      <c r="J257" t="b">
        <v>0</v>
      </c>
      <c r="K257" t="b">
        <v>1</v>
      </c>
      <c r="L257" t="b">
        <v>0</v>
      </c>
      <c r="M257" t="str">
        <f t="shared" si="6"/>
        <v>INSTAGRAM</v>
      </c>
      <c r="N257" t="str">
        <f t="shared" si="7"/>
        <v>Sub_Urban-INSTAGRAM</v>
      </c>
      <c r="O257">
        <v>18697</v>
      </c>
    </row>
    <row r="258" spans="1:15" x14ac:dyDescent="0.3">
      <c r="A258">
        <v>40</v>
      </c>
      <c r="B258" t="s">
        <v>18</v>
      </c>
      <c r="C258" s="1">
        <v>3</v>
      </c>
      <c r="D258" t="s">
        <v>28</v>
      </c>
      <c r="E258" t="s">
        <v>14</v>
      </c>
      <c r="F258" t="s">
        <v>22</v>
      </c>
      <c r="G258" t="s">
        <v>16</v>
      </c>
      <c r="H258" t="s">
        <v>17</v>
      </c>
      <c r="I258" s="2">
        <v>11129</v>
      </c>
      <c r="J258" t="b">
        <v>1</v>
      </c>
      <c r="K258" t="b">
        <v>1</v>
      </c>
      <c r="L258" t="b">
        <v>1</v>
      </c>
      <c r="M258" t="str">
        <f t="shared" ref="M258:M321" si="8">UPPER(D258)</f>
        <v>YOUTUBE</v>
      </c>
      <c r="N258" t="str">
        <f t="shared" ref="N258:N321" si="9">_xlfn.CONCAT(G258,"-",M258)</f>
        <v>Urban-YOUTUBE</v>
      </c>
      <c r="O258">
        <v>11129</v>
      </c>
    </row>
    <row r="259" spans="1:15" x14ac:dyDescent="0.3">
      <c r="A259">
        <v>48</v>
      </c>
      <c r="B259" t="s">
        <v>25</v>
      </c>
      <c r="C259" s="1">
        <v>6</v>
      </c>
      <c r="D259" t="s">
        <v>13</v>
      </c>
      <c r="E259" t="s">
        <v>26</v>
      </c>
      <c r="F259" t="s">
        <v>22</v>
      </c>
      <c r="G259" t="s">
        <v>16</v>
      </c>
      <c r="H259" t="s">
        <v>17</v>
      </c>
      <c r="I259" s="2">
        <v>13145</v>
      </c>
      <c r="J259" t="b">
        <v>0</v>
      </c>
      <c r="K259" t="b">
        <v>0</v>
      </c>
      <c r="L259" t="b">
        <v>1</v>
      </c>
      <c r="M259" t="str">
        <f t="shared" si="8"/>
        <v>INSTAGRAM</v>
      </c>
      <c r="N259" t="str">
        <f t="shared" si="9"/>
        <v>Urban-INSTAGRAM</v>
      </c>
      <c r="O259">
        <v>13145</v>
      </c>
    </row>
    <row r="260" spans="1:15" x14ac:dyDescent="0.3">
      <c r="A260">
        <v>47</v>
      </c>
      <c r="B260" t="s">
        <v>18</v>
      </c>
      <c r="C260" s="1">
        <v>7</v>
      </c>
      <c r="D260" t="s">
        <v>13</v>
      </c>
      <c r="E260" t="s">
        <v>20</v>
      </c>
      <c r="F260" t="s">
        <v>15</v>
      </c>
      <c r="G260" t="s">
        <v>23</v>
      </c>
      <c r="H260" t="s">
        <v>24</v>
      </c>
      <c r="I260" s="2">
        <v>18553</v>
      </c>
      <c r="J260" t="b">
        <v>1</v>
      </c>
      <c r="K260" t="b">
        <v>1</v>
      </c>
      <c r="L260" t="b">
        <v>1</v>
      </c>
      <c r="M260" t="str">
        <f t="shared" si="8"/>
        <v>INSTAGRAM</v>
      </c>
      <c r="N260" t="str">
        <f t="shared" si="9"/>
        <v>Sub_Urban-INSTAGRAM</v>
      </c>
      <c r="O260">
        <v>18553</v>
      </c>
    </row>
    <row r="261" spans="1:15" x14ac:dyDescent="0.3">
      <c r="A261">
        <v>59</v>
      </c>
      <c r="B261" t="s">
        <v>18</v>
      </c>
      <c r="C261" s="1">
        <v>9</v>
      </c>
      <c r="D261" t="s">
        <v>13</v>
      </c>
      <c r="E261" t="s">
        <v>26</v>
      </c>
      <c r="F261" t="s">
        <v>27</v>
      </c>
      <c r="G261" t="s">
        <v>16</v>
      </c>
      <c r="H261" t="s">
        <v>17</v>
      </c>
      <c r="I261" s="2">
        <v>13720</v>
      </c>
      <c r="J261" t="b">
        <v>1</v>
      </c>
      <c r="K261" t="b">
        <v>0</v>
      </c>
      <c r="L261" t="b">
        <v>0</v>
      </c>
      <c r="M261" t="str">
        <f t="shared" si="8"/>
        <v>INSTAGRAM</v>
      </c>
      <c r="N261" t="str">
        <f t="shared" si="9"/>
        <v>Urban-INSTAGRAM</v>
      </c>
      <c r="O261">
        <v>13720</v>
      </c>
    </row>
    <row r="262" spans="1:15" x14ac:dyDescent="0.3">
      <c r="A262">
        <v>52</v>
      </c>
      <c r="B262" t="s">
        <v>12</v>
      </c>
      <c r="C262" s="1">
        <v>1</v>
      </c>
      <c r="D262" t="s">
        <v>28</v>
      </c>
      <c r="E262" t="s">
        <v>14</v>
      </c>
      <c r="F262" t="s">
        <v>27</v>
      </c>
      <c r="G262" t="s">
        <v>16</v>
      </c>
      <c r="H262" t="s">
        <v>24</v>
      </c>
      <c r="I262" s="2">
        <v>19648</v>
      </c>
      <c r="J262" t="b">
        <v>1</v>
      </c>
      <c r="K262" t="b">
        <v>0</v>
      </c>
      <c r="L262" t="b">
        <v>0</v>
      </c>
      <c r="M262" t="str">
        <f t="shared" si="8"/>
        <v>YOUTUBE</v>
      </c>
      <c r="N262" t="str">
        <f t="shared" si="9"/>
        <v>Urban-YOUTUBE</v>
      </c>
      <c r="O262">
        <v>19648</v>
      </c>
    </row>
    <row r="263" spans="1:15" x14ac:dyDescent="0.3">
      <c r="A263">
        <v>24</v>
      </c>
      <c r="B263" t="s">
        <v>25</v>
      </c>
      <c r="C263" s="1">
        <v>7</v>
      </c>
      <c r="D263" t="s">
        <v>28</v>
      </c>
      <c r="E263" t="s">
        <v>20</v>
      </c>
      <c r="F263" t="s">
        <v>22</v>
      </c>
      <c r="G263" t="s">
        <v>23</v>
      </c>
      <c r="H263" t="s">
        <v>24</v>
      </c>
      <c r="I263" s="2">
        <v>14067</v>
      </c>
      <c r="J263" t="b">
        <v>0</v>
      </c>
      <c r="K263" t="b">
        <v>0</v>
      </c>
      <c r="L263" t="b">
        <v>0</v>
      </c>
      <c r="M263" t="str">
        <f t="shared" si="8"/>
        <v>YOUTUBE</v>
      </c>
      <c r="N263" t="str">
        <f t="shared" si="9"/>
        <v>Sub_Urban-YOUTUBE</v>
      </c>
      <c r="O263">
        <v>14067</v>
      </c>
    </row>
    <row r="264" spans="1:15" x14ac:dyDescent="0.3">
      <c r="A264">
        <v>33</v>
      </c>
      <c r="B264" t="s">
        <v>25</v>
      </c>
      <c r="C264" s="1">
        <v>8</v>
      </c>
      <c r="D264" t="s">
        <v>13</v>
      </c>
      <c r="E264" t="s">
        <v>26</v>
      </c>
      <c r="F264" t="s">
        <v>15</v>
      </c>
      <c r="G264" t="s">
        <v>23</v>
      </c>
      <c r="H264" t="s">
        <v>24</v>
      </c>
      <c r="I264" s="2">
        <v>14195</v>
      </c>
      <c r="J264" t="b">
        <v>1</v>
      </c>
      <c r="K264" t="b">
        <v>0</v>
      </c>
      <c r="L264" t="b">
        <v>0</v>
      </c>
      <c r="M264" t="str">
        <f t="shared" si="8"/>
        <v>INSTAGRAM</v>
      </c>
      <c r="N264" t="str">
        <f t="shared" si="9"/>
        <v>Sub_Urban-INSTAGRAM</v>
      </c>
      <c r="O264">
        <v>14195</v>
      </c>
    </row>
    <row r="265" spans="1:15" x14ac:dyDescent="0.3">
      <c r="A265">
        <v>43</v>
      </c>
      <c r="B265" t="s">
        <v>18</v>
      </c>
      <c r="C265" s="1">
        <v>3</v>
      </c>
      <c r="D265" t="s">
        <v>19</v>
      </c>
      <c r="E265" t="s">
        <v>26</v>
      </c>
      <c r="F265" t="s">
        <v>22</v>
      </c>
      <c r="G265" t="s">
        <v>23</v>
      </c>
      <c r="H265" t="s">
        <v>17</v>
      </c>
      <c r="I265" s="2">
        <v>19873</v>
      </c>
      <c r="J265" t="b">
        <v>1</v>
      </c>
      <c r="K265" t="b">
        <v>0</v>
      </c>
      <c r="L265" t="b">
        <v>0</v>
      </c>
      <c r="M265" t="str">
        <f t="shared" si="8"/>
        <v>FACEBOOK</v>
      </c>
      <c r="N265" t="str">
        <f t="shared" si="9"/>
        <v>Sub_Urban-FACEBOOK</v>
      </c>
      <c r="O265">
        <v>19873</v>
      </c>
    </row>
    <row r="266" spans="1:15" x14ac:dyDescent="0.3">
      <c r="A266">
        <v>19</v>
      </c>
      <c r="B266" t="s">
        <v>25</v>
      </c>
      <c r="C266" s="1">
        <v>4</v>
      </c>
      <c r="D266" t="s">
        <v>19</v>
      </c>
      <c r="E266" t="s">
        <v>26</v>
      </c>
      <c r="F266" t="s">
        <v>15</v>
      </c>
      <c r="G266" t="s">
        <v>16</v>
      </c>
      <c r="H266" t="s">
        <v>24</v>
      </c>
      <c r="I266" s="2">
        <v>19244</v>
      </c>
      <c r="J266" t="b">
        <v>0</v>
      </c>
      <c r="K266" t="b">
        <v>1</v>
      </c>
      <c r="L266" t="b">
        <v>1</v>
      </c>
      <c r="M266" t="str">
        <f t="shared" si="8"/>
        <v>FACEBOOK</v>
      </c>
      <c r="N266" t="str">
        <f t="shared" si="9"/>
        <v>Urban-FACEBOOK</v>
      </c>
      <c r="O266">
        <v>19244</v>
      </c>
    </row>
    <row r="267" spans="1:15" x14ac:dyDescent="0.3">
      <c r="A267">
        <v>18</v>
      </c>
      <c r="B267" t="s">
        <v>12</v>
      </c>
      <c r="C267" s="1">
        <v>6</v>
      </c>
      <c r="D267" t="s">
        <v>28</v>
      </c>
      <c r="E267" t="s">
        <v>20</v>
      </c>
      <c r="F267" t="s">
        <v>15</v>
      </c>
      <c r="G267" t="s">
        <v>16</v>
      </c>
      <c r="H267" t="s">
        <v>17</v>
      </c>
      <c r="I267" s="2">
        <v>17281</v>
      </c>
      <c r="J267" t="b">
        <v>0</v>
      </c>
      <c r="K267" t="b">
        <v>1</v>
      </c>
      <c r="L267" t="b">
        <v>1</v>
      </c>
      <c r="M267" t="str">
        <f t="shared" si="8"/>
        <v>YOUTUBE</v>
      </c>
      <c r="N267" t="str">
        <f t="shared" si="9"/>
        <v>Urban-YOUTUBE</v>
      </c>
      <c r="O267">
        <v>17281</v>
      </c>
    </row>
    <row r="268" spans="1:15" x14ac:dyDescent="0.3">
      <c r="A268">
        <v>29</v>
      </c>
      <c r="B268" t="s">
        <v>12</v>
      </c>
      <c r="C268" s="1">
        <v>7</v>
      </c>
      <c r="D268" t="s">
        <v>28</v>
      </c>
      <c r="E268" t="s">
        <v>20</v>
      </c>
      <c r="F268" t="s">
        <v>15</v>
      </c>
      <c r="G268" t="s">
        <v>29</v>
      </c>
      <c r="H268" t="s">
        <v>24</v>
      </c>
      <c r="I268" s="2">
        <v>12509</v>
      </c>
      <c r="J268" t="b">
        <v>1</v>
      </c>
      <c r="K268" t="b">
        <v>0</v>
      </c>
      <c r="L268" t="b">
        <v>1</v>
      </c>
      <c r="M268" t="str">
        <f t="shared" si="8"/>
        <v>YOUTUBE</v>
      </c>
      <c r="N268" t="str">
        <f t="shared" si="9"/>
        <v>Rural-YOUTUBE</v>
      </c>
      <c r="O268">
        <v>12509</v>
      </c>
    </row>
    <row r="269" spans="1:15" x14ac:dyDescent="0.3">
      <c r="A269">
        <v>22</v>
      </c>
      <c r="B269" t="s">
        <v>12</v>
      </c>
      <c r="C269" s="1">
        <v>4</v>
      </c>
      <c r="D269" t="s">
        <v>28</v>
      </c>
      <c r="E269" t="s">
        <v>14</v>
      </c>
      <c r="F269" t="s">
        <v>15</v>
      </c>
      <c r="G269" t="s">
        <v>29</v>
      </c>
      <c r="H269" t="s">
        <v>24</v>
      </c>
      <c r="I269" s="2">
        <v>15016</v>
      </c>
      <c r="J269" t="b">
        <v>1</v>
      </c>
      <c r="K269" t="b">
        <v>1</v>
      </c>
      <c r="L269" t="b">
        <v>1</v>
      </c>
      <c r="M269" t="str">
        <f t="shared" si="8"/>
        <v>YOUTUBE</v>
      </c>
      <c r="N269" t="str">
        <f t="shared" si="9"/>
        <v>Rural-YOUTUBE</v>
      </c>
      <c r="O269">
        <v>15016</v>
      </c>
    </row>
    <row r="270" spans="1:15" x14ac:dyDescent="0.3">
      <c r="A270">
        <v>54</v>
      </c>
      <c r="B270" t="s">
        <v>25</v>
      </c>
      <c r="C270" s="1">
        <v>8</v>
      </c>
      <c r="D270" t="s">
        <v>28</v>
      </c>
      <c r="E270" t="s">
        <v>20</v>
      </c>
      <c r="F270" t="s">
        <v>27</v>
      </c>
      <c r="G270" t="s">
        <v>23</v>
      </c>
      <c r="H270" t="s">
        <v>21</v>
      </c>
      <c r="I270" s="2">
        <v>16533</v>
      </c>
      <c r="J270" t="b">
        <v>1</v>
      </c>
      <c r="K270" t="b">
        <v>0</v>
      </c>
      <c r="L270" t="b">
        <v>1</v>
      </c>
      <c r="M270" t="str">
        <f t="shared" si="8"/>
        <v>YOUTUBE</v>
      </c>
      <c r="N270" t="str">
        <f t="shared" si="9"/>
        <v>Sub_Urban-YOUTUBE</v>
      </c>
      <c r="O270">
        <v>16533</v>
      </c>
    </row>
    <row r="271" spans="1:15" x14ac:dyDescent="0.3">
      <c r="A271">
        <v>49</v>
      </c>
      <c r="B271" t="s">
        <v>25</v>
      </c>
      <c r="C271" s="1">
        <v>5</v>
      </c>
      <c r="D271" t="s">
        <v>28</v>
      </c>
      <c r="E271" t="s">
        <v>20</v>
      </c>
      <c r="F271" t="s">
        <v>15</v>
      </c>
      <c r="G271" t="s">
        <v>29</v>
      </c>
      <c r="H271" t="s">
        <v>21</v>
      </c>
      <c r="I271" s="2">
        <v>14727</v>
      </c>
      <c r="J271" t="b">
        <v>1</v>
      </c>
      <c r="K271" t="b">
        <v>1</v>
      </c>
      <c r="L271" t="b">
        <v>0</v>
      </c>
      <c r="M271" t="str">
        <f t="shared" si="8"/>
        <v>YOUTUBE</v>
      </c>
      <c r="N271" t="str">
        <f t="shared" si="9"/>
        <v>Rural-YOUTUBE</v>
      </c>
      <c r="O271">
        <v>14727</v>
      </c>
    </row>
    <row r="272" spans="1:15" x14ac:dyDescent="0.3">
      <c r="A272">
        <v>26</v>
      </c>
      <c r="B272" t="s">
        <v>25</v>
      </c>
      <c r="C272" s="1">
        <v>1</v>
      </c>
      <c r="D272" t="s">
        <v>19</v>
      </c>
      <c r="E272" t="s">
        <v>26</v>
      </c>
      <c r="F272" t="s">
        <v>15</v>
      </c>
      <c r="G272" t="s">
        <v>16</v>
      </c>
      <c r="H272" t="s">
        <v>21</v>
      </c>
      <c r="I272" s="2">
        <v>10681</v>
      </c>
      <c r="J272" t="b">
        <v>0</v>
      </c>
      <c r="K272" t="b">
        <v>1</v>
      </c>
      <c r="L272" t="b">
        <v>1</v>
      </c>
      <c r="M272" t="str">
        <f t="shared" si="8"/>
        <v>FACEBOOK</v>
      </c>
      <c r="N272" t="str">
        <f t="shared" si="9"/>
        <v>Urban-FACEBOOK</v>
      </c>
      <c r="O272">
        <v>10681</v>
      </c>
    </row>
    <row r="273" spans="1:15" x14ac:dyDescent="0.3">
      <c r="A273">
        <v>58</v>
      </c>
      <c r="B273" t="s">
        <v>25</v>
      </c>
      <c r="C273" s="1">
        <v>4</v>
      </c>
      <c r="D273" t="s">
        <v>28</v>
      </c>
      <c r="E273" t="s">
        <v>20</v>
      </c>
      <c r="F273" t="s">
        <v>22</v>
      </c>
      <c r="G273" t="s">
        <v>29</v>
      </c>
      <c r="H273" t="s">
        <v>17</v>
      </c>
      <c r="I273" s="2">
        <v>13932</v>
      </c>
      <c r="J273" t="b">
        <v>1</v>
      </c>
      <c r="K273" t="b">
        <v>1</v>
      </c>
      <c r="L273" t="b">
        <v>0</v>
      </c>
      <c r="M273" t="str">
        <f t="shared" si="8"/>
        <v>YOUTUBE</v>
      </c>
      <c r="N273" t="str">
        <f t="shared" si="9"/>
        <v>Rural-YOUTUBE</v>
      </c>
      <c r="O273">
        <v>13932</v>
      </c>
    </row>
    <row r="274" spans="1:15" x14ac:dyDescent="0.3">
      <c r="A274">
        <v>52</v>
      </c>
      <c r="B274" t="s">
        <v>25</v>
      </c>
      <c r="C274" s="1">
        <v>3</v>
      </c>
      <c r="D274" t="s">
        <v>13</v>
      </c>
      <c r="E274" t="s">
        <v>26</v>
      </c>
      <c r="F274" t="s">
        <v>22</v>
      </c>
      <c r="G274" t="s">
        <v>16</v>
      </c>
      <c r="H274" t="s">
        <v>17</v>
      </c>
      <c r="I274" s="2">
        <v>15560</v>
      </c>
      <c r="J274" t="b">
        <v>1</v>
      </c>
      <c r="K274" t="b">
        <v>1</v>
      </c>
      <c r="L274" t="b">
        <v>1</v>
      </c>
      <c r="M274" t="str">
        <f t="shared" si="8"/>
        <v>INSTAGRAM</v>
      </c>
      <c r="N274" t="str">
        <f t="shared" si="9"/>
        <v>Urban-INSTAGRAM</v>
      </c>
      <c r="O274">
        <v>15560</v>
      </c>
    </row>
    <row r="275" spans="1:15" x14ac:dyDescent="0.3">
      <c r="A275">
        <v>36</v>
      </c>
      <c r="B275" t="s">
        <v>12</v>
      </c>
      <c r="C275" s="1">
        <v>9</v>
      </c>
      <c r="D275" t="s">
        <v>13</v>
      </c>
      <c r="E275" t="s">
        <v>26</v>
      </c>
      <c r="F275" t="s">
        <v>27</v>
      </c>
      <c r="G275" t="s">
        <v>23</v>
      </c>
      <c r="H275" t="s">
        <v>24</v>
      </c>
      <c r="I275" s="2">
        <v>14016</v>
      </c>
      <c r="J275" t="b">
        <v>0</v>
      </c>
      <c r="K275" t="b">
        <v>1</v>
      </c>
      <c r="L275" t="b">
        <v>0</v>
      </c>
      <c r="M275" t="str">
        <f t="shared" si="8"/>
        <v>INSTAGRAM</v>
      </c>
      <c r="N275" t="str">
        <f t="shared" si="9"/>
        <v>Sub_Urban-INSTAGRAM</v>
      </c>
      <c r="O275">
        <v>14016</v>
      </c>
    </row>
    <row r="276" spans="1:15" x14ac:dyDescent="0.3">
      <c r="A276">
        <v>33</v>
      </c>
      <c r="B276" t="s">
        <v>18</v>
      </c>
      <c r="C276" s="1">
        <v>8</v>
      </c>
      <c r="D276" t="s">
        <v>19</v>
      </c>
      <c r="E276" t="s">
        <v>20</v>
      </c>
      <c r="F276" t="s">
        <v>22</v>
      </c>
      <c r="G276" t="s">
        <v>23</v>
      </c>
      <c r="H276" t="s">
        <v>24</v>
      </c>
      <c r="I276" s="2">
        <v>17339</v>
      </c>
      <c r="J276" t="b">
        <v>1</v>
      </c>
      <c r="K276" t="b">
        <v>1</v>
      </c>
      <c r="L276" t="b">
        <v>0</v>
      </c>
      <c r="M276" t="str">
        <f t="shared" si="8"/>
        <v>FACEBOOK</v>
      </c>
      <c r="N276" t="str">
        <f t="shared" si="9"/>
        <v>Sub_Urban-FACEBOOK</v>
      </c>
      <c r="O276">
        <v>17339</v>
      </c>
    </row>
    <row r="277" spans="1:15" x14ac:dyDescent="0.3">
      <c r="A277">
        <v>20</v>
      </c>
      <c r="B277" t="s">
        <v>12</v>
      </c>
      <c r="C277" s="1">
        <v>1</v>
      </c>
      <c r="D277" t="s">
        <v>13</v>
      </c>
      <c r="E277" t="s">
        <v>14</v>
      </c>
      <c r="F277" t="s">
        <v>15</v>
      </c>
      <c r="G277" t="s">
        <v>16</v>
      </c>
      <c r="H277" t="s">
        <v>24</v>
      </c>
      <c r="I277" s="2">
        <v>10719</v>
      </c>
      <c r="J277" t="b">
        <v>1</v>
      </c>
      <c r="K277" t="b">
        <v>1</v>
      </c>
      <c r="L277" t="b">
        <v>0</v>
      </c>
      <c r="M277" t="str">
        <f t="shared" si="8"/>
        <v>INSTAGRAM</v>
      </c>
      <c r="N277" t="str">
        <f t="shared" si="9"/>
        <v>Urban-INSTAGRAM</v>
      </c>
      <c r="O277">
        <v>10719</v>
      </c>
    </row>
    <row r="278" spans="1:15" x14ac:dyDescent="0.3">
      <c r="A278">
        <v>37</v>
      </c>
      <c r="B278" t="s">
        <v>25</v>
      </c>
      <c r="C278" s="1">
        <v>6</v>
      </c>
      <c r="D278" t="s">
        <v>19</v>
      </c>
      <c r="E278" t="s">
        <v>14</v>
      </c>
      <c r="F278" t="s">
        <v>22</v>
      </c>
      <c r="G278" t="s">
        <v>29</v>
      </c>
      <c r="H278" t="s">
        <v>24</v>
      </c>
      <c r="I278" s="2">
        <v>10074</v>
      </c>
      <c r="J278" t="b">
        <v>1</v>
      </c>
      <c r="K278" t="b">
        <v>1</v>
      </c>
      <c r="L278" t="b">
        <v>1</v>
      </c>
      <c r="M278" t="str">
        <f t="shared" si="8"/>
        <v>FACEBOOK</v>
      </c>
      <c r="N278" t="str">
        <f t="shared" si="9"/>
        <v>Rural-FACEBOOK</v>
      </c>
      <c r="O278">
        <v>10074</v>
      </c>
    </row>
    <row r="279" spans="1:15" x14ac:dyDescent="0.3">
      <c r="A279">
        <v>41</v>
      </c>
      <c r="B279" t="s">
        <v>12</v>
      </c>
      <c r="C279" s="1">
        <v>9</v>
      </c>
      <c r="D279" t="s">
        <v>19</v>
      </c>
      <c r="E279" t="s">
        <v>20</v>
      </c>
      <c r="F279" t="s">
        <v>27</v>
      </c>
      <c r="G279" t="s">
        <v>23</v>
      </c>
      <c r="H279" t="s">
        <v>17</v>
      </c>
      <c r="I279" s="2">
        <v>19485</v>
      </c>
      <c r="J279" t="b">
        <v>0</v>
      </c>
      <c r="K279" t="b">
        <v>1</v>
      </c>
      <c r="L279" t="b">
        <v>1</v>
      </c>
      <c r="M279" t="str">
        <f t="shared" si="8"/>
        <v>FACEBOOK</v>
      </c>
      <c r="N279" t="str">
        <f t="shared" si="9"/>
        <v>Sub_Urban-FACEBOOK</v>
      </c>
      <c r="O279">
        <v>19485</v>
      </c>
    </row>
    <row r="280" spans="1:15" x14ac:dyDescent="0.3">
      <c r="A280">
        <v>50</v>
      </c>
      <c r="B280" t="s">
        <v>25</v>
      </c>
      <c r="C280" s="1">
        <v>7</v>
      </c>
      <c r="D280" t="s">
        <v>13</v>
      </c>
      <c r="E280" t="s">
        <v>14</v>
      </c>
      <c r="F280" t="s">
        <v>22</v>
      </c>
      <c r="G280" t="s">
        <v>23</v>
      </c>
      <c r="H280" t="s">
        <v>24</v>
      </c>
      <c r="I280" s="2">
        <v>14157</v>
      </c>
      <c r="J280" t="b">
        <v>0</v>
      </c>
      <c r="K280" t="b">
        <v>1</v>
      </c>
      <c r="L280" t="b">
        <v>1</v>
      </c>
      <c r="M280" t="str">
        <f t="shared" si="8"/>
        <v>INSTAGRAM</v>
      </c>
      <c r="N280" t="str">
        <f t="shared" si="9"/>
        <v>Sub_Urban-INSTAGRAM</v>
      </c>
      <c r="O280">
        <v>14157</v>
      </c>
    </row>
    <row r="281" spans="1:15" x14ac:dyDescent="0.3">
      <c r="A281">
        <v>41</v>
      </c>
      <c r="B281" t="s">
        <v>25</v>
      </c>
      <c r="C281" s="1">
        <v>4</v>
      </c>
      <c r="D281" t="s">
        <v>28</v>
      </c>
      <c r="E281" t="s">
        <v>26</v>
      </c>
      <c r="F281" t="s">
        <v>22</v>
      </c>
      <c r="G281" t="s">
        <v>29</v>
      </c>
      <c r="H281" t="s">
        <v>24</v>
      </c>
      <c r="I281" s="2">
        <v>18511</v>
      </c>
      <c r="J281" t="b">
        <v>1</v>
      </c>
      <c r="K281" t="b">
        <v>1</v>
      </c>
      <c r="L281" t="b">
        <v>1</v>
      </c>
      <c r="M281" t="str">
        <f t="shared" si="8"/>
        <v>YOUTUBE</v>
      </c>
      <c r="N281" t="str">
        <f t="shared" si="9"/>
        <v>Rural-YOUTUBE</v>
      </c>
      <c r="O281">
        <v>18511</v>
      </c>
    </row>
    <row r="282" spans="1:15" x14ac:dyDescent="0.3">
      <c r="A282">
        <v>28</v>
      </c>
      <c r="B282" t="s">
        <v>12</v>
      </c>
      <c r="C282" s="1">
        <v>1</v>
      </c>
      <c r="D282" t="s">
        <v>13</v>
      </c>
      <c r="E282" t="s">
        <v>26</v>
      </c>
      <c r="F282" t="s">
        <v>27</v>
      </c>
      <c r="G282" t="s">
        <v>29</v>
      </c>
      <c r="H282" t="s">
        <v>21</v>
      </c>
      <c r="I282" s="2">
        <v>12149</v>
      </c>
      <c r="J282" t="b">
        <v>1</v>
      </c>
      <c r="K282" t="b">
        <v>1</v>
      </c>
      <c r="L282" t="b">
        <v>0</v>
      </c>
      <c r="M282" t="str">
        <f t="shared" si="8"/>
        <v>INSTAGRAM</v>
      </c>
      <c r="N282" t="str">
        <f t="shared" si="9"/>
        <v>Rural-INSTAGRAM</v>
      </c>
      <c r="O282">
        <v>12149</v>
      </c>
    </row>
    <row r="283" spans="1:15" x14ac:dyDescent="0.3">
      <c r="A283">
        <v>25</v>
      </c>
      <c r="B283" t="s">
        <v>25</v>
      </c>
      <c r="C283" s="1">
        <v>2</v>
      </c>
      <c r="D283" t="s">
        <v>13</v>
      </c>
      <c r="E283" t="s">
        <v>20</v>
      </c>
      <c r="F283" t="s">
        <v>27</v>
      </c>
      <c r="G283" t="s">
        <v>16</v>
      </c>
      <c r="H283" t="s">
        <v>24</v>
      </c>
      <c r="I283" s="2">
        <v>19644</v>
      </c>
      <c r="J283" t="b">
        <v>0</v>
      </c>
      <c r="K283" t="b">
        <v>1</v>
      </c>
      <c r="L283" t="b">
        <v>0</v>
      </c>
      <c r="M283" t="str">
        <f t="shared" si="8"/>
        <v>INSTAGRAM</v>
      </c>
      <c r="N283" t="str">
        <f t="shared" si="9"/>
        <v>Urban-INSTAGRAM</v>
      </c>
      <c r="O283">
        <v>19644</v>
      </c>
    </row>
    <row r="284" spans="1:15" x14ac:dyDescent="0.3">
      <c r="A284">
        <v>53</v>
      </c>
      <c r="B284" t="s">
        <v>18</v>
      </c>
      <c r="C284" s="1">
        <v>5</v>
      </c>
      <c r="D284" t="s">
        <v>19</v>
      </c>
      <c r="E284" t="s">
        <v>14</v>
      </c>
      <c r="F284" t="s">
        <v>15</v>
      </c>
      <c r="G284" t="s">
        <v>29</v>
      </c>
      <c r="H284" t="s">
        <v>24</v>
      </c>
      <c r="I284" s="2">
        <v>19747</v>
      </c>
      <c r="J284" t="b">
        <v>1</v>
      </c>
      <c r="K284" t="b">
        <v>0</v>
      </c>
      <c r="L284" t="b">
        <v>0</v>
      </c>
      <c r="M284" t="str">
        <f t="shared" si="8"/>
        <v>FACEBOOK</v>
      </c>
      <c r="N284" t="str">
        <f t="shared" si="9"/>
        <v>Rural-FACEBOOK</v>
      </c>
      <c r="O284">
        <v>19747</v>
      </c>
    </row>
    <row r="285" spans="1:15" x14ac:dyDescent="0.3">
      <c r="A285">
        <v>55</v>
      </c>
      <c r="B285" t="s">
        <v>25</v>
      </c>
      <c r="C285" s="1">
        <v>5</v>
      </c>
      <c r="D285" t="s">
        <v>13</v>
      </c>
      <c r="E285" t="s">
        <v>14</v>
      </c>
      <c r="F285" t="s">
        <v>22</v>
      </c>
      <c r="G285" t="s">
        <v>29</v>
      </c>
      <c r="H285" t="s">
        <v>24</v>
      </c>
      <c r="I285" s="2">
        <v>16713</v>
      </c>
      <c r="J285" t="b">
        <v>1</v>
      </c>
      <c r="K285" t="b">
        <v>1</v>
      </c>
      <c r="L285" t="b">
        <v>0</v>
      </c>
      <c r="M285" t="str">
        <f t="shared" si="8"/>
        <v>INSTAGRAM</v>
      </c>
      <c r="N285" t="str">
        <f t="shared" si="9"/>
        <v>Rural-INSTAGRAM</v>
      </c>
      <c r="O285">
        <v>16713</v>
      </c>
    </row>
    <row r="286" spans="1:15" x14ac:dyDescent="0.3">
      <c r="A286">
        <v>57</v>
      </c>
      <c r="B286" t="s">
        <v>18</v>
      </c>
      <c r="C286" s="1">
        <v>8</v>
      </c>
      <c r="D286" t="s">
        <v>19</v>
      </c>
      <c r="E286" t="s">
        <v>26</v>
      </c>
      <c r="F286" t="s">
        <v>15</v>
      </c>
      <c r="G286" t="s">
        <v>29</v>
      </c>
      <c r="H286" t="s">
        <v>17</v>
      </c>
      <c r="I286" s="2">
        <v>14207</v>
      </c>
      <c r="J286" t="b">
        <v>0</v>
      </c>
      <c r="K286" t="b">
        <v>1</v>
      </c>
      <c r="L286" t="b">
        <v>1</v>
      </c>
      <c r="M286" t="str">
        <f t="shared" si="8"/>
        <v>FACEBOOK</v>
      </c>
      <c r="N286" t="str">
        <f t="shared" si="9"/>
        <v>Rural-FACEBOOK</v>
      </c>
      <c r="O286">
        <v>14207</v>
      </c>
    </row>
    <row r="287" spans="1:15" x14ac:dyDescent="0.3">
      <c r="A287">
        <v>37</v>
      </c>
      <c r="B287" t="s">
        <v>18</v>
      </c>
      <c r="C287" s="1">
        <v>6</v>
      </c>
      <c r="D287" t="s">
        <v>28</v>
      </c>
      <c r="E287" t="s">
        <v>20</v>
      </c>
      <c r="F287" t="s">
        <v>22</v>
      </c>
      <c r="G287" t="s">
        <v>16</v>
      </c>
      <c r="H287" t="s">
        <v>21</v>
      </c>
      <c r="I287" s="2">
        <v>17141</v>
      </c>
      <c r="J287" t="b">
        <v>0</v>
      </c>
      <c r="K287" t="b">
        <v>1</v>
      </c>
      <c r="L287" t="b">
        <v>0</v>
      </c>
      <c r="M287" t="str">
        <f t="shared" si="8"/>
        <v>YOUTUBE</v>
      </c>
      <c r="N287" t="str">
        <f t="shared" si="9"/>
        <v>Urban-YOUTUBE</v>
      </c>
      <c r="O287">
        <v>17141</v>
      </c>
    </row>
    <row r="288" spans="1:15" x14ac:dyDescent="0.3">
      <c r="A288">
        <v>52</v>
      </c>
      <c r="B288" t="s">
        <v>25</v>
      </c>
      <c r="C288" s="1">
        <v>8</v>
      </c>
      <c r="D288" t="s">
        <v>28</v>
      </c>
      <c r="E288" t="s">
        <v>14</v>
      </c>
      <c r="F288" t="s">
        <v>22</v>
      </c>
      <c r="G288" t="s">
        <v>16</v>
      </c>
      <c r="H288" t="s">
        <v>24</v>
      </c>
      <c r="I288" s="2">
        <v>18652</v>
      </c>
      <c r="J288" t="b">
        <v>0</v>
      </c>
      <c r="K288" t="b">
        <v>1</v>
      </c>
      <c r="L288" t="b">
        <v>1</v>
      </c>
      <c r="M288" t="str">
        <f t="shared" si="8"/>
        <v>YOUTUBE</v>
      </c>
      <c r="N288" t="str">
        <f t="shared" si="9"/>
        <v>Urban-YOUTUBE</v>
      </c>
      <c r="O288">
        <v>18652</v>
      </c>
    </row>
    <row r="289" spans="1:15" x14ac:dyDescent="0.3">
      <c r="A289">
        <v>42</v>
      </c>
      <c r="B289" t="s">
        <v>12</v>
      </c>
      <c r="C289" s="1">
        <v>2</v>
      </c>
      <c r="D289" t="s">
        <v>28</v>
      </c>
      <c r="E289" t="s">
        <v>20</v>
      </c>
      <c r="F289" t="s">
        <v>15</v>
      </c>
      <c r="G289" t="s">
        <v>23</v>
      </c>
      <c r="H289" t="s">
        <v>24</v>
      </c>
      <c r="I289" s="2">
        <v>19078</v>
      </c>
      <c r="J289" t="b">
        <v>1</v>
      </c>
      <c r="K289" t="b">
        <v>1</v>
      </c>
      <c r="L289" t="b">
        <v>0</v>
      </c>
      <c r="M289" t="str">
        <f t="shared" si="8"/>
        <v>YOUTUBE</v>
      </c>
      <c r="N289" t="str">
        <f t="shared" si="9"/>
        <v>Sub_Urban-YOUTUBE</v>
      </c>
      <c r="O289">
        <v>19078</v>
      </c>
    </row>
    <row r="290" spans="1:15" x14ac:dyDescent="0.3">
      <c r="A290">
        <v>52</v>
      </c>
      <c r="B290" t="s">
        <v>18</v>
      </c>
      <c r="C290" s="1">
        <v>3</v>
      </c>
      <c r="D290" t="s">
        <v>13</v>
      </c>
      <c r="E290" t="s">
        <v>14</v>
      </c>
      <c r="F290" t="s">
        <v>22</v>
      </c>
      <c r="G290" t="s">
        <v>16</v>
      </c>
      <c r="H290" t="s">
        <v>21</v>
      </c>
      <c r="I290" s="2">
        <v>13936</v>
      </c>
      <c r="J290" t="b">
        <v>1</v>
      </c>
      <c r="K290" t="b">
        <v>1</v>
      </c>
      <c r="L290" t="b">
        <v>0</v>
      </c>
      <c r="M290" t="str">
        <f t="shared" si="8"/>
        <v>INSTAGRAM</v>
      </c>
      <c r="N290" t="str">
        <f t="shared" si="9"/>
        <v>Urban-INSTAGRAM</v>
      </c>
      <c r="O290">
        <v>13936</v>
      </c>
    </row>
    <row r="291" spans="1:15" x14ac:dyDescent="0.3">
      <c r="A291">
        <v>42</v>
      </c>
      <c r="B291" t="s">
        <v>12</v>
      </c>
      <c r="C291" s="1">
        <v>6</v>
      </c>
      <c r="D291" t="s">
        <v>19</v>
      </c>
      <c r="E291" t="s">
        <v>26</v>
      </c>
      <c r="F291" t="s">
        <v>22</v>
      </c>
      <c r="G291" t="s">
        <v>23</v>
      </c>
      <c r="H291" t="s">
        <v>24</v>
      </c>
      <c r="I291" s="2">
        <v>19307</v>
      </c>
      <c r="J291" t="b">
        <v>1</v>
      </c>
      <c r="K291" t="b">
        <v>0</v>
      </c>
      <c r="L291" t="b">
        <v>0</v>
      </c>
      <c r="M291" t="str">
        <f t="shared" si="8"/>
        <v>FACEBOOK</v>
      </c>
      <c r="N291" t="str">
        <f t="shared" si="9"/>
        <v>Sub_Urban-FACEBOOK</v>
      </c>
      <c r="O291">
        <v>19307</v>
      </c>
    </row>
    <row r="292" spans="1:15" x14ac:dyDescent="0.3">
      <c r="A292">
        <v>46</v>
      </c>
      <c r="B292" t="s">
        <v>18</v>
      </c>
      <c r="C292" s="1">
        <v>3</v>
      </c>
      <c r="D292" t="s">
        <v>28</v>
      </c>
      <c r="E292" t="s">
        <v>26</v>
      </c>
      <c r="F292" t="s">
        <v>22</v>
      </c>
      <c r="G292" t="s">
        <v>29</v>
      </c>
      <c r="H292" t="s">
        <v>17</v>
      </c>
      <c r="I292" s="2">
        <v>11075</v>
      </c>
      <c r="J292" t="b">
        <v>1</v>
      </c>
      <c r="K292" t="b">
        <v>0</v>
      </c>
      <c r="L292" t="b">
        <v>1</v>
      </c>
      <c r="M292" t="str">
        <f t="shared" si="8"/>
        <v>YOUTUBE</v>
      </c>
      <c r="N292" t="str">
        <f t="shared" si="9"/>
        <v>Rural-YOUTUBE</v>
      </c>
      <c r="O292">
        <v>11075</v>
      </c>
    </row>
    <row r="293" spans="1:15" x14ac:dyDescent="0.3">
      <c r="A293">
        <v>35</v>
      </c>
      <c r="B293" t="s">
        <v>25</v>
      </c>
      <c r="C293" s="1">
        <v>6</v>
      </c>
      <c r="D293" t="s">
        <v>19</v>
      </c>
      <c r="E293" t="s">
        <v>20</v>
      </c>
      <c r="F293" t="s">
        <v>27</v>
      </c>
      <c r="G293" t="s">
        <v>23</v>
      </c>
      <c r="H293" t="s">
        <v>24</v>
      </c>
      <c r="I293" s="2">
        <v>13876</v>
      </c>
      <c r="J293" t="b">
        <v>0</v>
      </c>
      <c r="K293" t="b">
        <v>0</v>
      </c>
      <c r="L293" t="b">
        <v>1</v>
      </c>
      <c r="M293" t="str">
        <f t="shared" si="8"/>
        <v>FACEBOOK</v>
      </c>
      <c r="N293" t="str">
        <f t="shared" si="9"/>
        <v>Sub_Urban-FACEBOOK</v>
      </c>
      <c r="O293">
        <v>13876</v>
      </c>
    </row>
    <row r="294" spans="1:15" x14ac:dyDescent="0.3">
      <c r="A294">
        <v>63</v>
      </c>
      <c r="B294" t="s">
        <v>25</v>
      </c>
      <c r="C294" s="1">
        <v>6</v>
      </c>
      <c r="D294" t="s">
        <v>19</v>
      </c>
      <c r="E294" t="s">
        <v>26</v>
      </c>
      <c r="F294" t="s">
        <v>15</v>
      </c>
      <c r="G294" t="s">
        <v>23</v>
      </c>
      <c r="H294" t="s">
        <v>17</v>
      </c>
      <c r="I294" s="2">
        <v>14615</v>
      </c>
      <c r="J294" t="b">
        <v>1</v>
      </c>
      <c r="K294" t="b">
        <v>1</v>
      </c>
      <c r="L294" t="b">
        <v>0</v>
      </c>
      <c r="M294" t="str">
        <f t="shared" si="8"/>
        <v>FACEBOOK</v>
      </c>
      <c r="N294" t="str">
        <f t="shared" si="9"/>
        <v>Sub_Urban-FACEBOOK</v>
      </c>
      <c r="O294">
        <v>14615</v>
      </c>
    </row>
    <row r="295" spans="1:15" x14ac:dyDescent="0.3">
      <c r="A295">
        <v>35</v>
      </c>
      <c r="B295" t="s">
        <v>18</v>
      </c>
      <c r="C295" s="1">
        <v>2</v>
      </c>
      <c r="D295" t="s">
        <v>28</v>
      </c>
      <c r="E295" t="s">
        <v>14</v>
      </c>
      <c r="F295" t="s">
        <v>27</v>
      </c>
      <c r="G295" t="s">
        <v>29</v>
      </c>
      <c r="H295" t="s">
        <v>17</v>
      </c>
      <c r="I295" s="2">
        <v>17265</v>
      </c>
      <c r="J295" t="b">
        <v>1</v>
      </c>
      <c r="K295" t="b">
        <v>1</v>
      </c>
      <c r="L295" t="b">
        <v>0</v>
      </c>
      <c r="M295" t="str">
        <f t="shared" si="8"/>
        <v>YOUTUBE</v>
      </c>
      <c r="N295" t="str">
        <f t="shared" si="9"/>
        <v>Rural-YOUTUBE</v>
      </c>
      <c r="O295">
        <v>17265</v>
      </c>
    </row>
    <row r="296" spans="1:15" x14ac:dyDescent="0.3">
      <c r="A296">
        <v>19</v>
      </c>
      <c r="B296" t="s">
        <v>25</v>
      </c>
      <c r="C296" s="1">
        <v>7</v>
      </c>
      <c r="D296" t="s">
        <v>28</v>
      </c>
      <c r="E296" t="s">
        <v>26</v>
      </c>
      <c r="F296" t="s">
        <v>15</v>
      </c>
      <c r="G296" t="s">
        <v>23</v>
      </c>
      <c r="H296" t="s">
        <v>24</v>
      </c>
      <c r="I296" s="2">
        <v>16379</v>
      </c>
      <c r="J296" t="b">
        <v>0</v>
      </c>
      <c r="K296" t="b">
        <v>1</v>
      </c>
      <c r="L296" t="b">
        <v>0</v>
      </c>
      <c r="M296" t="str">
        <f t="shared" si="8"/>
        <v>YOUTUBE</v>
      </c>
      <c r="N296" t="str">
        <f t="shared" si="9"/>
        <v>Sub_Urban-YOUTUBE</v>
      </c>
      <c r="O296">
        <v>16379</v>
      </c>
    </row>
    <row r="297" spans="1:15" x14ac:dyDescent="0.3">
      <c r="A297">
        <v>52</v>
      </c>
      <c r="B297" t="s">
        <v>18</v>
      </c>
      <c r="C297" s="1">
        <v>2</v>
      </c>
      <c r="D297" t="s">
        <v>19</v>
      </c>
      <c r="E297" t="s">
        <v>20</v>
      </c>
      <c r="F297" t="s">
        <v>15</v>
      </c>
      <c r="G297" t="s">
        <v>16</v>
      </c>
      <c r="H297" t="s">
        <v>21</v>
      </c>
      <c r="I297" s="2">
        <v>19118</v>
      </c>
      <c r="J297" t="b">
        <v>0</v>
      </c>
      <c r="K297" t="b">
        <v>0</v>
      </c>
      <c r="L297" t="b">
        <v>1</v>
      </c>
      <c r="M297" t="str">
        <f t="shared" si="8"/>
        <v>FACEBOOK</v>
      </c>
      <c r="N297" t="str">
        <f t="shared" si="9"/>
        <v>Urban-FACEBOOK</v>
      </c>
      <c r="O297">
        <v>19118</v>
      </c>
    </row>
    <row r="298" spans="1:15" x14ac:dyDescent="0.3">
      <c r="A298">
        <v>33</v>
      </c>
      <c r="B298" t="s">
        <v>25</v>
      </c>
      <c r="C298" s="1">
        <v>6</v>
      </c>
      <c r="D298" t="s">
        <v>28</v>
      </c>
      <c r="E298" t="s">
        <v>20</v>
      </c>
      <c r="F298" t="s">
        <v>22</v>
      </c>
      <c r="G298" t="s">
        <v>16</v>
      </c>
      <c r="H298" t="s">
        <v>17</v>
      </c>
      <c r="I298" s="2">
        <v>14652</v>
      </c>
      <c r="J298" t="b">
        <v>1</v>
      </c>
      <c r="K298" t="b">
        <v>1</v>
      </c>
      <c r="L298" t="b">
        <v>1</v>
      </c>
      <c r="M298" t="str">
        <f t="shared" si="8"/>
        <v>YOUTUBE</v>
      </c>
      <c r="N298" t="str">
        <f t="shared" si="9"/>
        <v>Urban-YOUTUBE</v>
      </c>
      <c r="O298">
        <v>14652</v>
      </c>
    </row>
    <row r="299" spans="1:15" x14ac:dyDescent="0.3">
      <c r="A299">
        <v>58</v>
      </c>
      <c r="B299" t="s">
        <v>12</v>
      </c>
      <c r="C299" s="1">
        <v>1</v>
      </c>
      <c r="D299" t="s">
        <v>19</v>
      </c>
      <c r="E299" t="s">
        <v>20</v>
      </c>
      <c r="F299" t="s">
        <v>15</v>
      </c>
      <c r="G299" t="s">
        <v>16</v>
      </c>
      <c r="H299" t="s">
        <v>21</v>
      </c>
      <c r="I299" s="2">
        <v>16792</v>
      </c>
      <c r="J299" t="b">
        <v>0</v>
      </c>
      <c r="K299" t="b">
        <v>1</v>
      </c>
      <c r="L299" t="b">
        <v>1</v>
      </c>
      <c r="M299" t="str">
        <f t="shared" si="8"/>
        <v>FACEBOOK</v>
      </c>
      <c r="N299" t="str">
        <f t="shared" si="9"/>
        <v>Urban-FACEBOOK</v>
      </c>
      <c r="O299">
        <v>16792</v>
      </c>
    </row>
    <row r="300" spans="1:15" x14ac:dyDescent="0.3">
      <c r="A300">
        <v>53</v>
      </c>
      <c r="B300" t="s">
        <v>25</v>
      </c>
      <c r="C300" s="1">
        <v>3</v>
      </c>
      <c r="D300" t="s">
        <v>19</v>
      </c>
      <c r="E300" t="s">
        <v>14</v>
      </c>
      <c r="F300" t="s">
        <v>27</v>
      </c>
      <c r="G300" t="s">
        <v>16</v>
      </c>
      <c r="H300" t="s">
        <v>24</v>
      </c>
      <c r="I300" s="2">
        <v>19247</v>
      </c>
      <c r="J300" t="b">
        <v>0</v>
      </c>
      <c r="K300" t="b">
        <v>0</v>
      </c>
      <c r="L300" t="b">
        <v>0</v>
      </c>
      <c r="M300" t="str">
        <f t="shared" si="8"/>
        <v>FACEBOOK</v>
      </c>
      <c r="N300" t="str">
        <f t="shared" si="9"/>
        <v>Urban-FACEBOOK</v>
      </c>
      <c r="O300">
        <v>19247</v>
      </c>
    </row>
    <row r="301" spans="1:15" x14ac:dyDescent="0.3">
      <c r="A301">
        <v>50</v>
      </c>
      <c r="B301" t="s">
        <v>12</v>
      </c>
      <c r="C301" s="1">
        <v>2</v>
      </c>
      <c r="D301" t="s">
        <v>28</v>
      </c>
      <c r="E301" t="s">
        <v>14</v>
      </c>
      <c r="F301" t="s">
        <v>27</v>
      </c>
      <c r="G301" t="s">
        <v>23</v>
      </c>
      <c r="H301" t="s">
        <v>17</v>
      </c>
      <c r="I301" s="2">
        <v>17456</v>
      </c>
      <c r="J301" t="b">
        <v>1</v>
      </c>
      <c r="K301" t="b">
        <v>0</v>
      </c>
      <c r="L301" t="b">
        <v>1</v>
      </c>
      <c r="M301" t="str">
        <f t="shared" si="8"/>
        <v>YOUTUBE</v>
      </c>
      <c r="N301" t="str">
        <f t="shared" si="9"/>
        <v>Sub_Urban-YOUTUBE</v>
      </c>
      <c r="O301">
        <v>17456</v>
      </c>
    </row>
    <row r="302" spans="1:15" x14ac:dyDescent="0.3">
      <c r="A302">
        <v>21</v>
      </c>
      <c r="B302" t="s">
        <v>25</v>
      </c>
      <c r="C302" s="1">
        <v>7</v>
      </c>
      <c r="D302" t="s">
        <v>13</v>
      </c>
      <c r="E302" t="s">
        <v>14</v>
      </c>
      <c r="F302" t="s">
        <v>27</v>
      </c>
      <c r="G302" t="s">
        <v>23</v>
      </c>
      <c r="H302" t="s">
        <v>24</v>
      </c>
      <c r="I302" s="2">
        <v>14674</v>
      </c>
      <c r="J302" t="b">
        <v>1</v>
      </c>
      <c r="K302" t="b">
        <v>1</v>
      </c>
      <c r="L302" t="b">
        <v>0</v>
      </c>
      <c r="M302" t="str">
        <f t="shared" si="8"/>
        <v>INSTAGRAM</v>
      </c>
      <c r="N302" t="str">
        <f t="shared" si="9"/>
        <v>Sub_Urban-INSTAGRAM</v>
      </c>
      <c r="O302">
        <v>14674</v>
      </c>
    </row>
    <row r="303" spans="1:15" x14ac:dyDescent="0.3">
      <c r="A303">
        <v>50</v>
      </c>
      <c r="B303" t="s">
        <v>12</v>
      </c>
      <c r="C303" s="1">
        <v>4</v>
      </c>
      <c r="D303" t="s">
        <v>28</v>
      </c>
      <c r="E303" t="s">
        <v>14</v>
      </c>
      <c r="F303" t="s">
        <v>15</v>
      </c>
      <c r="G303" t="s">
        <v>29</v>
      </c>
      <c r="H303" t="s">
        <v>21</v>
      </c>
      <c r="I303" s="2">
        <v>10541</v>
      </c>
      <c r="J303" t="b">
        <v>1</v>
      </c>
      <c r="K303" t="b">
        <v>1</v>
      </c>
      <c r="L303" t="b">
        <v>1</v>
      </c>
      <c r="M303" t="str">
        <f t="shared" si="8"/>
        <v>YOUTUBE</v>
      </c>
      <c r="N303" t="str">
        <f t="shared" si="9"/>
        <v>Rural-YOUTUBE</v>
      </c>
      <c r="O303">
        <v>10541</v>
      </c>
    </row>
    <row r="304" spans="1:15" x14ac:dyDescent="0.3">
      <c r="A304">
        <v>31</v>
      </c>
      <c r="B304" t="s">
        <v>25</v>
      </c>
      <c r="C304" s="1">
        <v>8</v>
      </c>
      <c r="D304" t="s">
        <v>13</v>
      </c>
      <c r="E304" t="s">
        <v>14</v>
      </c>
      <c r="F304" t="s">
        <v>27</v>
      </c>
      <c r="G304" t="s">
        <v>23</v>
      </c>
      <c r="H304" t="s">
        <v>24</v>
      </c>
      <c r="I304" s="2">
        <v>12161</v>
      </c>
      <c r="J304" t="b">
        <v>1</v>
      </c>
      <c r="K304" t="b">
        <v>1</v>
      </c>
      <c r="L304" t="b">
        <v>0</v>
      </c>
      <c r="M304" t="str">
        <f t="shared" si="8"/>
        <v>INSTAGRAM</v>
      </c>
      <c r="N304" t="str">
        <f t="shared" si="9"/>
        <v>Sub_Urban-INSTAGRAM</v>
      </c>
      <c r="O304">
        <v>12161</v>
      </c>
    </row>
    <row r="305" spans="1:15" x14ac:dyDescent="0.3">
      <c r="A305">
        <v>38</v>
      </c>
      <c r="B305" t="s">
        <v>12</v>
      </c>
      <c r="C305" s="1">
        <v>6</v>
      </c>
      <c r="D305" t="s">
        <v>19</v>
      </c>
      <c r="E305" t="s">
        <v>26</v>
      </c>
      <c r="F305" t="s">
        <v>15</v>
      </c>
      <c r="G305" t="s">
        <v>23</v>
      </c>
      <c r="H305" t="s">
        <v>24</v>
      </c>
      <c r="I305" s="2">
        <v>12251</v>
      </c>
      <c r="J305" t="b">
        <v>0</v>
      </c>
      <c r="K305" t="b">
        <v>1</v>
      </c>
      <c r="L305" t="b">
        <v>0</v>
      </c>
      <c r="M305" t="str">
        <f t="shared" si="8"/>
        <v>FACEBOOK</v>
      </c>
      <c r="N305" t="str">
        <f t="shared" si="9"/>
        <v>Sub_Urban-FACEBOOK</v>
      </c>
      <c r="O305">
        <v>12251</v>
      </c>
    </row>
    <row r="306" spans="1:15" x14ac:dyDescent="0.3">
      <c r="A306">
        <v>37</v>
      </c>
      <c r="B306" t="s">
        <v>18</v>
      </c>
      <c r="C306" s="1">
        <v>4</v>
      </c>
      <c r="D306" t="s">
        <v>19</v>
      </c>
      <c r="E306" t="s">
        <v>14</v>
      </c>
      <c r="F306" t="s">
        <v>27</v>
      </c>
      <c r="G306" t="s">
        <v>23</v>
      </c>
      <c r="H306" t="s">
        <v>17</v>
      </c>
      <c r="I306" s="2">
        <v>19244</v>
      </c>
      <c r="J306" t="b">
        <v>0</v>
      </c>
      <c r="K306" t="b">
        <v>0</v>
      </c>
      <c r="L306" t="b">
        <v>1</v>
      </c>
      <c r="M306" t="str">
        <f t="shared" si="8"/>
        <v>FACEBOOK</v>
      </c>
      <c r="N306" t="str">
        <f t="shared" si="9"/>
        <v>Sub_Urban-FACEBOOK</v>
      </c>
      <c r="O306">
        <v>19244</v>
      </c>
    </row>
    <row r="307" spans="1:15" x14ac:dyDescent="0.3">
      <c r="A307">
        <v>25</v>
      </c>
      <c r="B307" t="s">
        <v>18</v>
      </c>
      <c r="C307" s="1">
        <v>5</v>
      </c>
      <c r="D307" t="s">
        <v>13</v>
      </c>
      <c r="E307" t="s">
        <v>14</v>
      </c>
      <c r="F307" t="s">
        <v>27</v>
      </c>
      <c r="G307" t="s">
        <v>29</v>
      </c>
      <c r="H307" t="s">
        <v>24</v>
      </c>
      <c r="I307" s="2">
        <v>14569</v>
      </c>
      <c r="J307" t="b">
        <v>1</v>
      </c>
      <c r="K307" t="b">
        <v>1</v>
      </c>
      <c r="L307" t="b">
        <v>0</v>
      </c>
      <c r="M307" t="str">
        <f t="shared" si="8"/>
        <v>INSTAGRAM</v>
      </c>
      <c r="N307" t="str">
        <f t="shared" si="9"/>
        <v>Rural-INSTAGRAM</v>
      </c>
      <c r="O307">
        <v>14569</v>
      </c>
    </row>
    <row r="308" spans="1:15" x14ac:dyDescent="0.3">
      <c r="A308">
        <v>24</v>
      </c>
      <c r="B308" t="s">
        <v>12</v>
      </c>
      <c r="C308" s="1">
        <v>9</v>
      </c>
      <c r="D308" t="s">
        <v>19</v>
      </c>
      <c r="E308" t="s">
        <v>26</v>
      </c>
      <c r="F308" t="s">
        <v>15</v>
      </c>
      <c r="G308" t="s">
        <v>16</v>
      </c>
      <c r="H308" t="s">
        <v>24</v>
      </c>
      <c r="I308" s="2">
        <v>12744</v>
      </c>
      <c r="J308" t="b">
        <v>1</v>
      </c>
      <c r="K308" t="b">
        <v>1</v>
      </c>
      <c r="L308" t="b">
        <v>0</v>
      </c>
      <c r="M308" t="str">
        <f t="shared" si="8"/>
        <v>FACEBOOK</v>
      </c>
      <c r="N308" t="str">
        <f t="shared" si="9"/>
        <v>Urban-FACEBOOK</v>
      </c>
      <c r="O308">
        <v>12744</v>
      </c>
    </row>
    <row r="309" spans="1:15" x14ac:dyDescent="0.3">
      <c r="A309">
        <v>20</v>
      </c>
      <c r="B309" t="s">
        <v>25</v>
      </c>
      <c r="C309" s="1">
        <v>7</v>
      </c>
      <c r="D309" t="s">
        <v>13</v>
      </c>
      <c r="E309" t="s">
        <v>14</v>
      </c>
      <c r="F309" t="s">
        <v>27</v>
      </c>
      <c r="G309" t="s">
        <v>23</v>
      </c>
      <c r="H309" t="s">
        <v>24</v>
      </c>
      <c r="I309" s="2">
        <v>16041</v>
      </c>
      <c r="J309" t="b">
        <v>0</v>
      </c>
      <c r="K309" t="b">
        <v>0</v>
      </c>
      <c r="L309" t="b">
        <v>0</v>
      </c>
      <c r="M309" t="str">
        <f t="shared" si="8"/>
        <v>INSTAGRAM</v>
      </c>
      <c r="N309" t="str">
        <f t="shared" si="9"/>
        <v>Sub_Urban-INSTAGRAM</v>
      </c>
      <c r="O309">
        <v>16041</v>
      </c>
    </row>
    <row r="310" spans="1:15" x14ac:dyDescent="0.3">
      <c r="A310">
        <v>34</v>
      </c>
      <c r="B310" t="s">
        <v>12</v>
      </c>
      <c r="C310" s="1">
        <v>9</v>
      </c>
      <c r="D310" t="s">
        <v>13</v>
      </c>
      <c r="E310" t="s">
        <v>20</v>
      </c>
      <c r="F310" t="s">
        <v>22</v>
      </c>
      <c r="G310" t="s">
        <v>29</v>
      </c>
      <c r="H310" t="s">
        <v>17</v>
      </c>
      <c r="I310" s="2">
        <v>14675</v>
      </c>
      <c r="J310" t="b">
        <v>1</v>
      </c>
      <c r="K310" t="b">
        <v>1</v>
      </c>
      <c r="L310" t="b">
        <v>1</v>
      </c>
      <c r="M310" t="str">
        <f t="shared" si="8"/>
        <v>INSTAGRAM</v>
      </c>
      <c r="N310" t="str">
        <f t="shared" si="9"/>
        <v>Rural-INSTAGRAM</v>
      </c>
      <c r="O310">
        <v>14675</v>
      </c>
    </row>
    <row r="311" spans="1:15" x14ac:dyDescent="0.3">
      <c r="A311">
        <v>50</v>
      </c>
      <c r="B311" t="s">
        <v>25</v>
      </c>
      <c r="C311" s="1">
        <v>7</v>
      </c>
      <c r="D311" t="s">
        <v>19</v>
      </c>
      <c r="E311" t="s">
        <v>14</v>
      </c>
      <c r="F311" t="s">
        <v>15</v>
      </c>
      <c r="G311" t="s">
        <v>29</v>
      </c>
      <c r="H311" t="s">
        <v>21</v>
      </c>
      <c r="I311" s="2">
        <v>11560</v>
      </c>
      <c r="J311" t="b">
        <v>1</v>
      </c>
      <c r="K311" t="b">
        <v>1</v>
      </c>
      <c r="L311" t="b">
        <v>0</v>
      </c>
      <c r="M311" t="str">
        <f t="shared" si="8"/>
        <v>FACEBOOK</v>
      </c>
      <c r="N311" t="str">
        <f t="shared" si="9"/>
        <v>Rural-FACEBOOK</v>
      </c>
      <c r="O311">
        <v>11560</v>
      </c>
    </row>
    <row r="312" spans="1:15" x14ac:dyDescent="0.3">
      <c r="A312">
        <v>29</v>
      </c>
      <c r="B312" t="s">
        <v>18</v>
      </c>
      <c r="C312" s="1">
        <v>1</v>
      </c>
      <c r="D312" t="s">
        <v>13</v>
      </c>
      <c r="E312" t="s">
        <v>14</v>
      </c>
      <c r="F312" t="s">
        <v>15</v>
      </c>
      <c r="G312" t="s">
        <v>29</v>
      </c>
      <c r="H312" t="s">
        <v>21</v>
      </c>
      <c r="I312" s="2">
        <v>11164</v>
      </c>
      <c r="J312" t="b">
        <v>1</v>
      </c>
      <c r="K312" t="b">
        <v>0</v>
      </c>
      <c r="L312" t="b">
        <v>1</v>
      </c>
      <c r="M312" t="str">
        <f t="shared" si="8"/>
        <v>INSTAGRAM</v>
      </c>
      <c r="N312" t="str">
        <f t="shared" si="9"/>
        <v>Rural-INSTAGRAM</v>
      </c>
      <c r="O312">
        <v>11164</v>
      </c>
    </row>
    <row r="313" spans="1:15" x14ac:dyDescent="0.3">
      <c r="A313">
        <v>39</v>
      </c>
      <c r="B313" t="s">
        <v>25</v>
      </c>
      <c r="C313" s="1">
        <v>8</v>
      </c>
      <c r="D313" t="s">
        <v>28</v>
      </c>
      <c r="E313" t="s">
        <v>20</v>
      </c>
      <c r="F313" t="s">
        <v>15</v>
      </c>
      <c r="G313" t="s">
        <v>16</v>
      </c>
      <c r="H313" t="s">
        <v>24</v>
      </c>
      <c r="I313" s="2">
        <v>15419</v>
      </c>
      <c r="J313" t="b">
        <v>1</v>
      </c>
      <c r="K313" t="b">
        <v>0</v>
      </c>
      <c r="L313" t="b">
        <v>1</v>
      </c>
      <c r="M313" t="str">
        <f t="shared" si="8"/>
        <v>YOUTUBE</v>
      </c>
      <c r="N313" t="str">
        <f t="shared" si="9"/>
        <v>Urban-YOUTUBE</v>
      </c>
      <c r="O313">
        <v>15419</v>
      </c>
    </row>
    <row r="314" spans="1:15" x14ac:dyDescent="0.3">
      <c r="A314">
        <v>39</v>
      </c>
      <c r="B314" t="s">
        <v>18</v>
      </c>
      <c r="C314" s="1">
        <v>4</v>
      </c>
      <c r="D314" t="s">
        <v>28</v>
      </c>
      <c r="E314" t="s">
        <v>20</v>
      </c>
      <c r="F314" t="s">
        <v>22</v>
      </c>
      <c r="G314" t="s">
        <v>23</v>
      </c>
      <c r="H314" t="s">
        <v>17</v>
      </c>
      <c r="I314" s="2">
        <v>12722</v>
      </c>
      <c r="J314" t="b">
        <v>0</v>
      </c>
      <c r="K314" t="b">
        <v>1</v>
      </c>
      <c r="L314" t="b">
        <v>0</v>
      </c>
      <c r="M314" t="str">
        <f t="shared" si="8"/>
        <v>YOUTUBE</v>
      </c>
      <c r="N314" t="str">
        <f t="shared" si="9"/>
        <v>Sub_Urban-YOUTUBE</v>
      </c>
      <c r="O314">
        <v>12722</v>
      </c>
    </row>
    <row r="315" spans="1:15" x14ac:dyDescent="0.3">
      <c r="A315">
        <v>63</v>
      </c>
      <c r="B315" t="s">
        <v>25</v>
      </c>
      <c r="C315" s="1">
        <v>3</v>
      </c>
      <c r="D315" t="s">
        <v>19</v>
      </c>
      <c r="E315" t="s">
        <v>20</v>
      </c>
      <c r="F315" t="s">
        <v>15</v>
      </c>
      <c r="G315" t="s">
        <v>29</v>
      </c>
      <c r="H315" t="s">
        <v>24</v>
      </c>
      <c r="I315" s="2">
        <v>10470</v>
      </c>
      <c r="J315" t="b">
        <v>1</v>
      </c>
      <c r="K315" t="b">
        <v>0</v>
      </c>
      <c r="L315" t="b">
        <v>1</v>
      </c>
      <c r="M315" t="str">
        <f t="shared" si="8"/>
        <v>FACEBOOK</v>
      </c>
      <c r="N315" t="str">
        <f t="shared" si="9"/>
        <v>Rural-FACEBOOK</v>
      </c>
      <c r="O315">
        <v>10470</v>
      </c>
    </row>
    <row r="316" spans="1:15" x14ac:dyDescent="0.3">
      <c r="A316">
        <v>47</v>
      </c>
      <c r="B316" t="s">
        <v>25</v>
      </c>
      <c r="C316" s="1">
        <v>7</v>
      </c>
      <c r="D316" t="s">
        <v>19</v>
      </c>
      <c r="E316" t="s">
        <v>20</v>
      </c>
      <c r="F316" t="s">
        <v>27</v>
      </c>
      <c r="G316" t="s">
        <v>16</v>
      </c>
      <c r="H316" t="s">
        <v>21</v>
      </c>
      <c r="I316" s="2">
        <v>19608</v>
      </c>
      <c r="J316" t="b">
        <v>0</v>
      </c>
      <c r="K316" t="b">
        <v>0</v>
      </c>
      <c r="L316" t="b">
        <v>0</v>
      </c>
      <c r="M316" t="str">
        <f t="shared" si="8"/>
        <v>FACEBOOK</v>
      </c>
      <c r="N316" t="str">
        <f t="shared" si="9"/>
        <v>Urban-FACEBOOK</v>
      </c>
      <c r="O316">
        <v>19608</v>
      </c>
    </row>
    <row r="317" spans="1:15" x14ac:dyDescent="0.3">
      <c r="A317">
        <v>55</v>
      </c>
      <c r="B317" t="s">
        <v>25</v>
      </c>
      <c r="C317" s="1">
        <v>3</v>
      </c>
      <c r="D317" t="s">
        <v>13</v>
      </c>
      <c r="E317" t="s">
        <v>14</v>
      </c>
      <c r="F317" t="s">
        <v>27</v>
      </c>
      <c r="G317" t="s">
        <v>29</v>
      </c>
      <c r="H317" t="s">
        <v>17</v>
      </c>
      <c r="I317" s="2">
        <v>11468</v>
      </c>
      <c r="J317" t="b">
        <v>1</v>
      </c>
      <c r="K317" t="b">
        <v>1</v>
      </c>
      <c r="L317" t="b">
        <v>1</v>
      </c>
      <c r="M317" t="str">
        <f t="shared" si="8"/>
        <v>INSTAGRAM</v>
      </c>
      <c r="N317" t="str">
        <f t="shared" si="9"/>
        <v>Rural-INSTAGRAM</v>
      </c>
      <c r="O317">
        <v>11468</v>
      </c>
    </row>
    <row r="318" spans="1:15" x14ac:dyDescent="0.3">
      <c r="A318">
        <v>55</v>
      </c>
      <c r="B318" t="s">
        <v>12</v>
      </c>
      <c r="C318" s="1">
        <v>8</v>
      </c>
      <c r="D318" t="s">
        <v>13</v>
      </c>
      <c r="E318" t="s">
        <v>20</v>
      </c>
      <c r="F318" t="s">
        <v>27</v>
      </c>
      <c r="G318" t="s">
        <v>29</v>
      </c>
      <c r="H318" t="s">
        <v>21</v>
      </c>
      <c r="I318" s="2">
        <v>17925</v>
      </c>
      <c r="J318" t="b">
        <v>1</v>
      </c>
      <c r="K318" t="b">
        <v>0</v>
      </c>
      <c r="L318" t="b">
        <v>0</v>
      </c>
      <c r="M318" t="str">
        <f t="shared" si="8"/>
        <v>INSTAGRAM</v>
      </c>
      <c r="N318" t="str">
        <f t="shared" si="9"/>
        <v>Rural-INSTAGRAM</v>
      </c>
      <c r="O318">
        <v>17925</v>
      </c>
    </row>
    <row r="319" spans="1:15" x14ac:dyDescent="0.3">
      <c r="A319">
        <v>62</v>
      </c>
      <c r="B319" t="s">
        <v>12</v>
      </c>
      <c r="C319" s="1">
        <v>6</v>
      </c>
      <c r="D319" t="s">
        <v>13</v>
      </c>
      <c r="E319" t="s">
        <v>20</v>
      </c>
      <c r="F319" t="s">
        <v>15</v>
      </c>
      <c r="G319" t="s">
        <v>29</v>
      </c>
      <c r="H319" t="s">
        <v>21</v>
      </c>
      <c r="I319" s="2">
        <v>10808</v>
      </c>
      <c r="J319" t="b">
        <v>0</v>
      </c>
      <c r="K319" t="b">
        <v>1</v>
      </c>
      <c r="L319" t="b">
        <v>1</v>
      </c>
      <c r="M319" t="str">
        <f t="shared" si="8"/>
        <v>INSTAGRAM</v>
      </c>
      <c r="N319" t="str">
        <f t="shared" si="9"/>
        <v>Rural-INSTAGRAM</v>
      </c>
      <c r="O319">
        <v>10808</v>
      </c>
    </row>
    <row r="320" spans="1:15" x14ac:dyDescent="0.3">
      <c r="A320">
        <v>25</v>
      </c>
      <c r="B320" t="s">
        <v>18</v>
      </c>
      <c r="C320" s="1">
        <v>5</v>
      </c>
      <c r="D320" t="s">
        <v>13</v>
      </c>
      <c r="E320" t="s">
        <v>26</v>
      </c>
      <c r="F320" t="s">
        <v>27</v>
      </c>
      <c r="G320" t="s">
        <v>29</v>
      </c>
      <c r="H320" t="s">
        <v>17</v>
      </c>
      <c r="I320" s="2">
        <v>18363</v>
      </c>
      <c r="J320" t="b">
        <v>1</v>
      </c>
      <c r="K320" t="b">
        <v>1</v>
      </c>
      <c r="L320" t="b">
        <v>0</v>
      </c>
      <c r="M320" t="str">
        <f t="shared" si="8"/>
        <v>INSTAGRAM</v>
      </c>
      <c r="N320" t="str">
        <f t="shared" si="9"/>
        <v>Rural-INSTAGRAM</v>
      </c>
      <c r="O320">
        <v>18363</v>
      </c>
    </row>
    <row r="321" spans="1:15" x14ac:dyDescent="0.3">
      <c r="A321">
        <v>44</v>
      </c>
      <c r="B321" t="s">
        <v>18</v>
      </c>
      <c r="C321" s="1">
        <v>4</v>
      </c>
      <c r="D321" t="s">
        <v>28</v>
      </c>
      <c r="E321" t="s">
        <v>20</v>
      </c>
      <c r="F321" t="s">
        <v>15</v>
      </c>
      <c r="G321" t="s">
        <v>29</v>
      </c>
      <c r="H321" t="s">
        <v>17</v>
      </c>
      <c r="I321" s="2">
        <v>16719</v>
      </c>
      <c r="J321" t="b">
        <v>0</v>
      </c>
      <c r="K321" t="b">
        <v>1</v>
      </c>
      <c r="L321" t="b">
        <v>0</v>
      </c>
      <c r="M321" t="str">
        <f t="shared" si="8"/>
        <v>YOUTUBE</v>
      </c>
      <c r="N321" t="str">
        <f t="shared" si="9"/>
        <v>Rural-YOUTUBE</v>
      </c>
      <c r="O321">
        <v>16719</v>
      </c>
    </row>
    <row r="322" spans="1:15" x14ac:dyDescent="0.3">
      <c r="A322">
        <v>44</v>
      </c>
      <c r="B322" t="s">
        <v>12</v>
      </c>
      <c r="C322" s="1">
        <v>8</v>
      </c>
      <c r="D322" t="s">
        <v>28</v>
      </c>
      <c r="E322" t="s">
        <v>20</v>
      </c>
      <c r="F322" t="s">
        <v>27</v>
      </c>
      <c r="G322" t="s">
        <v>16</v>
      </c>
      <c r="H322" t="s">
        <v>24</v>
      </c>
      <c r="I322" s="2">
        <v>15073</v>
      </c>
      <c r="J322" t="b">
        <v>1</v>
      </c>
      <c r="K322" t="b">
        <v>1</v>
      </c>
      <c r="L322" t="b">
        <v>0</v>
      </c>
      <c r="M322" t="str">
        <f t="shared" ref="M322:M385" si="10">UPPER(D322)</f>
        <v>YOUTUBE</v>
      </c>
      <c r="N322" t="str">
        <f t="shared" ref="N322:N385" si="11">_xlfn.CONCAT(G322,"-",M322)</f>
        <v>Urban-YOUTUBE</v>
      </c>
      <c r="O322">
        <v>15073</v>
      </c>
    </row>
    <row r="323" spans="1:15" x14ac:dyDescent="0.3">
      <c r="A323">
        <v>51</v>
      </c>
      <c r="B323" t="s">
        <v>18</v>
      </c>
      <c r="C323" s="1">
        <v>8</v>
      </c>
      <c r="D323" t="s">
        <v>19</v>
      </c>
      <c r="E323" t="s">
        <v>26</v>
      </c>
      <c r="F323" t="s">
        <v>22</v>
      </c>
      <c r="G323" t="s">
        <v>23</v>
      </c>
      <c r="H323" t="s">
        <v>24</v>
      </c>
      <c r="I323" s="2">
        <v>18012</v>
      </c>
      <c r="J323" t="b">
        <v>1</v>
      </c>
      <c r="K323" t="b">
        <v>0</v>
      </c>
      <c r="L323" t="b">
        <v>0</v>
      </c>
      <c r="M323" t="str">
        <f t="shared" si="10"/>
        <v>FACEBOOK</v>
      </c>
      <c r="N323" t="str">
        <f t="shared" si="11"/>
        <v>Sub_Urban-FACEBOOK</v>
      </c>
      <c r="O323">
        <v>18012</v>
      </c>
    </row>
    <row r="324" spans="1:15" x14ac:dyDescent="0.3">
      <c r="A324">
        <v>38</v>
      </c>
      <c r="B324" t="s">
        <v>12</v>
      </c>
      <c r="C324" s="1">
        <v>1</v>
      </c>
      <c r="D324" t="s">
        <v>13</v>
      </c>
      <c r="E324" t="s">
        <v>26</v>
      </c>
      <c r="F324" t="s">
        <v>22</v>
      </c>
      <c r="G324" t="s">
        <v>23</v>
      </c>
      <c r="H324" t="s">
        <v>21</v>
      </c>
      <c r="I324" s="2">
        <v>11645</v>
      </c>
      <c r="J324" t="b">
        <v>1</v>
      </c>
      <c r="K324" t="b">
        <v>1</v>
      </c>
      <c r="L324" t="b">
        <v>1</v>
      </c>
      <c r="M324" t="str">
        <f t="shared" si="10"/>
        <v>INSTAGRAM</v>
      </c>
      <c r="N324" t="str">
        <f t="shared" si="11"/>
        <v>Sub_Urban-INSTAGRAM</v>
      </c>
      <c r="O324">
        <v>11645</v>
      </c>
    </row>
    <row r="325" spans="1:15" x14ac:dyDescent="0.3">
      <c r="A325">
        <v>47</v>
      </c>
      <c r="B325" t="s">
        <v>25</v>
      </c>
      <c r="C325" s="1">
        <v>9</v>
      </c>
      <c r="D325" t="s">
        <v>13</v>
      </c>
      <c r="E325" t="s">
        <v>14</v>
      </c>
      <c r="F325" t="s">
        <v>22</v>
      </c>
      <c r="G325" t="s">
        <v>23</v>
      </c>
      <c r="H325" t="s">
        <v>17</v>
      </c>
      <c r="I325" s="2">
        <v>18249</v>
      </c>
      <c r="J325" t="b">
        <v>1</v>
      </c>
      <c r="K325" t="b">
        <v>1</v>
      </c>
      <c r="L325" t="b">
        <v>1</v>
      </c>
      <c r="M325" t="str">
        <f t="shared" si="10"/>
        <v>INSTAGRAM</v>
      </c>
      <c r="N325" t="str">
        <f t="shared" si="11"/>
        <v>Sub_Urban-INSTAGRAM</v>
      </c>
      <c r="O325">
        <v>18249</v>
      </c>
    </row>
    <row r="326" spans="1:15" x14ac:dyDescent="0.3">
      <c r="A326">
        <v>50</v>
      </c>
      <c r="B326" t="s">
        <v>18</v>
      </c>
      <c r="C326" s="1">
        <v>5</v>
      </c>
      <c r="D326" t="s">
        <v>19</v>
      </c>
      <c r="E326" t="s">
        <v>26</v>
      </c>
      <c r="F326" t="s">
        <v>22</v>
      </c>
      <c r="G326" t="s">
        <v>23</v>
      </c>
      <c r="H326" t="s">
        <v>17</v>
      </c>
      <c r="I326" s="2">
        <v>11129</v>
      </c>
      <c r="J326" t="b">
        <v>1</v>
      </c>
      <c r="K326" t="b">
        <v>1</v>
      </c>
      <c r="L326" t="b">
        <v>0</v>
      </c>
      <c r="M326" t="str">
        <f t="shared" si="10"/>
        <v>FACEBOOK</v>
      </c>
      <c r="N326" t="str">
        <f t="shared" si="11"/>
        <v>Sub_Urban-FACEBOOK</v>
      </c>
      <c r="O326">
        <v>11129</v>
      </c>
    </row>
    <row r="327" spans="1:15" x14ac:dyDescent="0.3">
      <c r="A327">
        <v>45</v>
      </c>
      <c r="B327" t="s">
        <v>18</v>
      </c>
      <c r="C327" s="1">
        <v>4</v>
      </c>
      <c r="D327" t="s">
        <v>13</v>
      </c>
      <c r="E327" t="s">
        <v>14</v>
      </c>
      <c r="F327" t="s">
        <v>15</v>
      </c>
      <c r="G327" t="s">
        <v>16</v>
      </c>
      <c r="H327" t="s">
        <v>24</v>
      </c>
      <c r="I327" s="2">
        <v>11353</v>
      </c>
      <c r="J327" t="b">
        <v>0</v>
      </c>
      <c r="K327" t="b">
        <v>1</v>
      </c>
      <c r="L327" t="b">
        <v>1</v>
      </c>
      <c r="M327" t="str">
        <f t="shared" si="10"/>
        <v>INSTAGRAM</v>
      </c>
      <c r="N327" t="str">
        <f t="shared" si="11"/>
        <v>Urban-INSTAGRAM</v>
      </c>
      <c r="O327">
        <v>11353</v>
      </c>
    </row>
    <row r="328" spans="1:15" x14ac:dyDescent="0.3">
      <c r="A328">
        <v>64</v>
      </c>
      <c r="B328" t="s">
        <v>12</v>
      </c>
      <c r="C328" s="1">
        <v>6</v>
      </c>
      <c r="D328" t="s">
        <v>13</v>
      </c>
      <c r="E328" t="s">
        <v>26</v>
      </c>
      <c r="F328" t="s">
        <v>27</v>
      </c>
      <c r="G328" t="s">
        <v>16</v>
      </c>
      <c r="H328" t="s">
        <v>21</v>
      </c>
      <c r="I328" s="2">
        <v>10767</v>
      </c>
      <c r="J328" t="b">
        <v>0</v>
      </c>
      <c r="K328" t="b">
        <v>0</v>
      </c>
      <c r="L328" t="b">
        <v>0</v>
      </c>
      <c r="M328" t="str">
        <f t="shared" si="10"/>
        <v>INSTAGRAM</v>
      </c>
      <c r="N328" t="str">
        <f t="shared" si="11"/>
        <v>Urban-INSTAGRAM</v>
      </c>
      <c r="O328">
        <v>10767</v>
      </c>
    </row>
    <row r="329" spans="1:15" x14ac:dyDescent="0.3">
      <c r="A329">
        <v>50</v>
      </c>
      <c r="B329" t="s">
        <v>18</v>
      </c>
      <c r="C329" s="1">
        <v>6</v>
      </c>
      <c r="D329" t="s">
        <v>13</v>
      </c>
      <c r="E329" t="s">
        <v>26</v>
      </c>
      <c r="F329" t="s">
        <v>22</v>
      </c>
      <c r="G329" t="s">
        <v>16</v>
      </c>
      <c r="H329" t="s">
        <v>21</v>
      </c>
      <c r="I329" s="2">
        <v>13895</v>
      </c>
      <c r="J329" t="b">
        <v>1</v>
      </c>
      <c r="K329" t="b">
        <v>0</v>
      </c>
      <c r="L329" t="b">
        <v>0</v>
      </c>
      <c r="M329" t="str">
        <f t="shared" si="10"/>
        <v>INSTAGRAM</v>
      </c>
      <c r="N329" t="str">
        <f t="shared" si="11"/>
        <v>Urban-INSTAGRAM</v>
      </c>
      <c r="O329">
        <v>13895</v>
      </c>
    </row>
    <row r="330" spans="1:15" x14ac:dyDescent="0.3">
      <c r="A330">
        <v>22</v>
      </c>
      <c r="B330" t="s">
        <v>18</v>
      </c>
      <c r="C330" s="1">
        <v>2</v>
      </c>
      <c r="D330" t="s">
        <v>13</v>
      </c>
      <c r="E330" t="s">
        <v>14</v>
      </c>
      <c r="F330" t="s">
        <v>15</v>
      </c>
      <c r="G330" t="s">
        <v>29</v>
      </c>
      <c r="H330" t="s">
        <v>24</v>
      </c>
      <c r="I330" s="2">
        <v>18874</v>
      </c>
      <c r="J330" t="b">
        <v>1</v>
      </c>
      <c r="K330" t="b">
        <v>0</v>
      </c>
      <c r="L330" t="b">
        <v>1</v>
      </c>
      <c r="M330" t="str">
        <f t="shared" si="10"/>
        <v>INSTAGRAM</v>
      </c>
      <c r="N330" t="str">
        <f t="shared" si="11"/>
        <v>Rural-INSTAGRAM</v>
      </c>
      <c r="O330">
        <v>18874</v>
      </c>
    </row>
    <row r="331" spans="1:15" x14ac:dyDescent="0.3">
      <c r="A331">
        <v>36</v>
      </c>
      <c r="B331" t="s">
        <v>25</v>
      </c>
      <c r="C331" s="1">
        <v>8</v>
      </c>
      <c r="D331" t="s">
        <v>13</v>
      </c>
      <c r="E331" t="s">
        <v>26</v>
      </c>
      <c r="F331" t="s">
        <v>22</v>
      </c>
      <c r="G331" t="s">
        <v>29</v>
      </c>
      <c r="H331" t="s">
        <v>17</v>
      </c>
      <c r="I331" s="2">
        <v>13454</v>
      </c>
      <c r="J331" t="b">
        <v>0</v>
      </c>
      <c r="K331" t="b">
        <v>1</v>
      </c>
      <c r="L331" t="b">
        <v>1</v>
      </c>
      <c r="M331" t="str">
        <f t="shared" si="10"/>
        <v>INSTAGRAM</v>
      </c>
      <c r="N331" t="str">
        <f t="shared" si="11"/>
        <v>Rural-INSTAGRAM</v>
      </c>
      <c r="O331">
        <v>13454</v>
      </c>
    </row>
    <row r="332" spans="1:15" x14ac:dyDescent="0.3">
      <c r="A332">
        <v>21</v>
      </c>
      <c r="B332" t="s">
        <v>18</v>
      </c>
      <c r="C332" s="1">
        <v>7</v>
      </c>
      <c r="D332" t="s">
        <v>19</v>
      </c>
      <c r="E332" t="s">
        <v>14</v>
      </c>
      <c r="F332" t="s">
        <v>22</v>
      </c>
      <c r="G332" t="s">
        <v>29</v>
      </c>
      <c r="H332" t="s">
        <v>24</v>
      </c>
      <c r="I332" s="2">
        <v>17329</v>
      </c>
      <c r="J332" t="b">
        <v>0</v>
      </c>
      <c r="K332" t="b">
        <v>0</v>
      </c>
      <c r="L332" t="b">
        <v>0</v>
      </c>
      <c r="M332" t="str">
        <f t="shared" si="10"/>
        <v>FACEBOOK</v>
      </c>
      <c r="N332" t="str">
        <f t="shared" si="11"/>
        <v>Rural-FACEBOOK</v>
      </c>
      <c r="O332">
        <v>17329</v>
      </c>
    </row>
    <row r="333" spans="1:15" x14ac:dyDescent="0.3">
      <c r="A333">
        <v>52</v>
      </c>
      <c r="B333" t="s">
        <v>25</v>
      </c>
      <c r="C333" s="1">
        <v>1</v>
      </c>
      <c r="D333" t="s">
        <v>13</v>
      </c>
      <c r="E333" t="s">
        <v>26</v>
      </c>
      <c r="F333" t="s">
        <v>15</v>
      </c>
      <c r="G333" t="s">
        <v>23</v>
      </c>
      <c r="H333" t="s">
        <v>24</v>
      </c>
      <c r="I333" s="2">
        <v>11790</v>
      </c>
      <c r="J333" t="b">
        <v>1</v>
      </c>
      <c r="K333" t="b">
        <v>0</v>
      </c>
      <c r="L333" t="b">
        <v>1</v>
      </c>
      <c r="M333" t="str">
        <f t="shared" si="10"/>
        <v>INSTAGRAM</v>
      </c>
      <c r="N333" t="str">
        <f t="shared" si="11"/>
        <v>Sub_Urban-INSTAGRAM</v>
      </c>
      <c r="O333">
        <v>11790</v>
      </c>
    </row>
    <row r="334" spans="1:15" x14ac:dyDescent="0.3">
      <c r="A334">
        <v>34</v>
      </c>
      <c r="B334" t="s">
        <v>12</v>
      </c>
      <c r="C334" s="1">
        <v>5</v>
      </c>
      <c r="D334" t="s">
        <v>19</v>
      </c>
      <c r="E334" t="s">
        <v>20</v>
      </c>
      <c r="F334" t="s">
        <v>15</v>
      </c>
      <c r="G334" t="s">
        <v>29</v>
      </c>
      <c r="H334" t="s">
        <v>24</v>
      </c>
      <c r="I334" s="2">
        <v>19669</v>
      </c>
      <c r="J334" t="b">
        <v>1</v>
      </c>
      <c r="K334" t="b">
        <v>1</v>
      </c>
      <c r="L334" t="b">
        <v>0</v>
      </c>
      <c r="M334" t="str">
        <f t="shared" si="10"/>
        <v>FACEBOOK</v>
      </c>
      <c r="N334" t="str">
        <f t="shared" si="11"/>
        <v>Rural-FACEBOOK</v>
      </c>
      <c r="O334">
        <v>19669</v>
      </c>
    </row>
    <row r="335" spans="1:15" x14ac:dyDescent="0.3">
      <c r="A335">
        <v>61</v>
      </c>
      <c r="B335" t="s">
        <v>18</v>
      </c>
      <c r="C335" s="1">
        <v>6</v>
      </c>
      <c r="D335" t="s">
        <v>13</v>
      </c>
      <c r="E335" t="s">
        <v>26</v>
      </c>
      <c r="F335" t="s">
        <v>27</v>
      </c>
      <c r="G335" t="s">
        <v>23</v>
      </c>
      <c r="H335" t="s">
        <v>24</v>
      </c>
      <c r="I335" s="2">
        <v>10885</v>
      </c>
      <c r="J335" t="b">
        <v>0</v>
      </c>
      <c r="K335" t="b">
        <v>0</v>
      </c>
      <c r="L335" t="b">
        <v>1</v>
      </c>
      <c r="M335" t="str">
        <f t="shared" si="10"/>
        <v>INSTAGRAM</v>
      </c>
      <c r="N335" t="str">
        <f t="shared" si="11"/>
        <v>Sub_Urban-INSTAGRAM</v>
      </c>
      <c r="O335">
        <v>10885</v>
      </c>
    </row>
    <row r="336" spans="1:15" x14ac:dyDescent="0.3">
      <c r="A336">
        <v>45</v>
      </c>
      <c r="B336" t="s">
        <v>25</v>
      </c>
      <c r="C336" s="1">
        <v>4</v>
      </c>
      <c r="D336" t="s">
        <v>28</v>
      </c>
      <c r="E336" t="s">
        <v>14</v>
      </c>
      <c r="F336" t="s">
        <v>27</v>
      </c>
      <c r="G336" t="s">
        <v>29</v>
      </c>
      <c r="H336" t="s">
        <v>17</v>
      </c>
      <c r="I336" s="2">
        <v>17734</v>
      </c>
      <c r="J336" t="b">
        <v>1</v>
      </c>
      <c r="K336" t="b">
        <v>1</v>
      </c>
      <c r="L336" t="b">
        <v>1</v>
      </c>
      <c r="M336" t="str">
        <f t="shared" si="10"/>
        <v>YOUTUBE</v>
      </c>
      <c r="N336" t="str">
        <f t="shared" si="11"/>
        <v>Rural-YOUTUBE</v>
      </c>
      <c r="O336">
        <v>17734</v>
      </c>
    </row>
    <row r="337" spans="1:15" x14ac:dyDescent="0.3">
      <c r="A337">
        <v>47</v>
      </c>
      <c r="B337" t="s">
        <v>12</v>
      </c>
      <c r="C337" s="1">
        <v>2</v>
      </c>
      <c r="D337" t="s">
        <v>28</v>
      </c>
      <c r="E337" t="s">
        <v>26</v>
      </c>
      <c r="F337" t="s">
        <v>22</v>
      </c>
      <c r="G337" t="s">
        <v>23</v>
      </c>
      <c r="H337" t="s">
        <v>24</v>
      </c>
      <c r="I337" s="2">
        <v>13906</v>
      </c>
      <c r="J337" t="b">
        <v>0</v>
      </c>
      <c r="K337" t="b">
        <v>0</v>
      </c>
      <c r="L337" t="b">
        <v>1</v>
      </c>
      <c r="M337" t="str">
        <f t="shared" si="10"/>
        <v>YOUTUBE</v>
      </c>
      <c r="N337" t="str">
        <f t="shared" si="11"/>
        <v>Sub_Urban-YOUTUBE</v>
      </c>
      <c r="O337">
        <v>13906</v>
      </c>
    </row>
    <row r="338" spans="1:15" x14ac:dyDescent="0.3">
      <c r="A338">
        <v>46</v>
      </c>
      <c r="B338" t="s">
        <v>18</v>
      </c>
      <c r="C338" s="1">
        <v>4</v>
      </c>
      <c r="D338" t="s">
        <v>28</v>
      </c>
      <c r="E338" t="s">
        <v>14</v>
      </c>
      <c r="F338" t="s">
        <v>22</v>
      </c>
      <c r="G338" t="s">
        <v>29</v>
      </c>
      <c r="H338" t="s">
        <v>17</v>
      </c>
      <c r="I338" s="2">
        <v>14492</v>
      </c>
      <c r="J338" t="b">
        <v>1</v>
      </c>
      <c r="K338" t="b">
        <v>0</v>
      </c>
      <c r="L338" t="b">
        <v>1</v>
      </c>
      <c r="M338" t="str">
        <f t="shared" si="10"/>
        <v>YOUTUBE</v>
      </c>
      <c r="N338" t="str">
        <f t="shared" si="11"/>
        <v>Rural-YOUTUBE</v>
      </c>
      <c r="O338">
        <v>14492</v>
      </c>
    </row>
    <row r="339" spans="1:15" x14ac:dyDescent="0.3">
      <c r="A339">
        <v>63</v>
      </c>
      <c r="B339" t="s">
        <v>12</v>
      </c>
      <c r="C339" s="1">
        <v>1</v>
      </c>
      <c r="D339" t="s">
        <v>28</v>
      </c>
      <c r="E339" t="s">
        <v>14</v>
      </c>
      <c r="F339" t="s">
        <v>27</v>
      </c>
      <c r="G339" t="s">
        <v>29</v>
      </c>
      <c r="H339" t="s">
        <v>24</v>
      </c>
      <c r="I339" s="2">
        <v>19730</v>
      </c>
      <c r="J339" t="b">
        <v>0</v>
      </c>
      <c r="K339" t="b">
        <v>0</v>
      </c>
      <c r="L339" t="b">
        <v>1</v>
      </c>
      <c r="M339" t="str">
        <f t="shared" si="10"/>
        <v>YOUTUBE</v>
      </c>
      <c r="N339" t="str">
        <f t="shared" si="11"/>
        <v>Rural-YOUTUBE</v>
      </c>
      <c r="O339">
        <v>19730</v>
      </c>
    </row>
    <row r="340" spans="1:15" x14ac:dyDescent="0.3">
      <c r="A340">
        <v>23</v>
      </c>
      <c r="B340" t="s">
        <v>18</v>
      </c>
      <c r="C340" s="1">
        <v>7</v>
      </c>
      <c r="D340" t="s">
        <v>19</v>
      </c>
      <c r="E340" t="s">
        <v>20</v>
      </c>
      <c r="F340" t="s">
        <v>27</v>
      </c>
      <c r="G340" t="s">
        <v>16</v>
      </c>
      <c r="H340" t="s">
        <v>21</v>
      </c>
      <c r="I340" s="2">
        <v>12073</v>
      </c>
      <c r="J340" t="b">
        <v>0</v>
      </c>
      <c r="K340" t="b">
        <v>0</v>
      </c>
      <c r="L340" t="b">
        <v>0</v>
      </c>
      <c r="M340" t="str">
        <f t="shared" si="10"/>
        <v>FACEBOOK</v>
      </c>
      <c r="N340" t="str">
        <f t="shared" si="11"/>
        <v>Urban-FACEBOOK</v>
      </c>
      <c r="O340">
        <v>12073</v>
      </c>
    </row>
    <row r="341" spans="1:15" x14ac:dyDescent="0.3">
      <c r="A341">
        <v>52</v>
      </c>
      <c r="B341" t="s">
        <v>12</v>
      </c>
      <c r="C341" s="1">
        <v>2</v>
      </c>
      <c r="D341" t="s">
        <v>19</v>
      </c>
      <c r="E341" t="s">
        <v>20</v>
      </c>
      <c r="F341" t="s">
        <v>15</v>
      </c>
      <c r="G341" t="s">
        <v>29</v>
      </c>
      <c r="H341" t="s">
        <v>17</v>
      </c>
      <c r="I341" s="2">
        <v>10312</v>
      </c>
      <c r="J341" t="b">
        <v>1</v>
      </c>
      <c r="K341" t="b">
        <v>1</v>
      </c>
      <c r="L341" t="b">
        <v>1</v>
      </c>
      <c r="M341" t="str">
        <f t="shared" si="10"/>
        <v>FACEBOOK</v>
      </c>
      <c r="N341" t="str">
        <f t="shared" si="11"/>
        <v>Rural-FACEBOOK</v>
      </c>
      <c r="O341">
        <v>10312</v>
      </c>
    </row>
    <row r="342" spans="1:15" x14ac:dyDescent="0.3">
      <c r="A342">
        <v>58</v>
      </c>
      <c r="B342" t="s">
        <v>12</v>
      </c>
      <c r="C342" s="1">
        <v>2</v>
      </c>
      <c r="D342" t="s">
        <v>13</v>
      </c>
      <c r="E342" t="s">
        <v>14</v>
      </c>
      <c r="F342" t="s">
        <v>27</v>
      </c>
      <c r="G342" t="s">
        <v>29</v>
      </c>
      <c r="H342" t="s">
        <v>21</v>
      </c>
      <c r="I342" s="2">
        <v>16269</v>
      </c>
      <c r="J342" t="b">
        <v>0</v>
      </c>
      <c r="K342" t="b">
        <v>1</v>
      </c>
      <c r="L342" t="b">
        <v>1</v>
      </c>
      <c r="M342" t="str">
        <f t="shared" si="10"/>
        <v>INSTAGRAM</v>
      </c>
      <c r="N342" t="str">
        <f t="shared" si="11"/>
        <v>Rural-INSTAGRAM</v>
      </c>
      <c r="O342">
        <v>16269</v>
      </c>
    </row>
    <row r="343" spans="1:15" x14ac:dyDescent="0.3">
      <c r="A343">
        <v>54</v>
      </c>
      <c r="B343" t="s">
        <v>25</v>
      </c>
      <c r="C343" s="1">
        <v>9</v>
      </c>
      <c r="D343" t="s">
        <v>28</v>
      </c>
      <c r="E343" t="s">
        <v>26</v>
      </c>
      <c r="F343" t="s">
        <v>27</v>
      </c>
      <c r="G343" t="s">
        <v>16</v>
      </c>
      <c r="H343" t="s">
        <v>24</v>
      </c>
      <c r="I343" s="2">
        <v>15317</v>
      </c>
      <c r="J343" t="b">
        <v>1</v>
      </c>
      <c r="K343" t="b">
        <v>0</v>
      </c>
      <c r="L343" t="b">
        <v>0</v>
      </c>
      <c r="M343" t="str">
        <f t="shared" si="10"/>
        <v>YOUTUBE</v>
      </c>
      <c r="N343" t="str">
        <f t="shared" si="11"/>
        <v>Urban-YOUTUBE</v>
      </c>
      <c r="O343">
        <v>15317</v>
      </c>
    </row>
    <row r="344" spans="1:15" x14ac:dyDescent="0.3">
      <c r="A344">
        <v>41</v>
      </c>
      <c r="B344" t="s">
        <v>12</v>
      </c>
      <c r="C344" s="1">
        <v>5</v>
      </c>
      <c r="D344" t="s">
        <v>19</v>
      </c>
      <c r="E344" t="s">
        <v>14</v>
      </c>
      <c r="F344" t="s">
        <v>22</v>
      </c>
      <c r="G344" t="s">
        <v>23</v>
      </c>
      <c r="H344" t="s">
        <v>24</v>
      </c>
      <c r="I344" s="2">
        <v>10810</v>
      </c>
      <c r="J344" t="b">
        <v>1</v>
      </c>
      <c r="K344" t="b">
        <v>1</v>
      </c>
      <c r="L344" t="b">
        <v>0</v>
      </c>
      <c r="M344" t="str">
        <f t="shared" si="10"/>
        <v>FACEBOOK</v>
      </c>
      <c r="N344" t="str">
        <f t="shared" si="11"/>
        <v>Sub_Urban-FACEBOOK</v>
      </c>
      <c r="O344">
        <v>10810</v>
      </c>
    </row>
    <row r="345" spans="1:15" x14ac:dyDescent="0.3">
      <c r="A345">
        <v>46</v>
      </c>
      <c r="B345" t="s">
        <v>18</v>
      </c>
      <c r="C345" s="1">
        <v>2</v>
      </c>
      <c r="D345" t="s">
        <v>13</v>
      </c>
      <c r="E345" t="s">
        <v>14</v>
      </c>
      <c r="F345" t="s">
        <v>27</v>
      </c>
      <c r="G345" t="s">
        <v>16</v>
      </c>
      <c r="H345" t="s">
        <v>24</v>
      </c>
      <c r="I345" s="2">
        <v>16841</v>
      </c>
      <c r="J345" t="b">
        <v>1</v>
      </c>
      <c r="K345" t="b">
        <v>0</v>
      </c>
      <c r="L345" t="b">
        <v>0</v>
      </c>
      <c r="M345" t="str">
        <f t="shared" si="10"/>
        <v>INSTAGRAM</v>
      </c>
      <c r="N345" t="str">
        <f t="shared" si="11"/>
        <v>Urban-INSTAGRAM</v>
      </c>
      <c r="O345">
        <v>16841</v>
      </c>
    </row>
    <row r="346" spans="1:15" x14ac:dyDescent="0.3">
      <c r="A346">
        <v>63</v>
      </c>
      <c r="B346" t="s">
        <v>18</v>
      </c>
      <c r="C346" s="1">
        <v>9</v>
      </c>
      <c r="D346" t="s">
        <v>13</v>
      </c>
      <c r="E346" t="s">
        <v>26</v>
      </c>
      <c r="F346" t="s">
        <v>22</v>
      </c>
      <c r="G346" t="s">
        <v>16</v>
      </c>
      <c r="H346" t="s">
        <v>17</v>
      </c>
      <c r="I346" s="2">
        <v>12032</v>
      </c>
      <c r="J346" t="b">
        <v>1</v>
      </c>
      <c r="K346" t="b">
        <v>0</v>
      </c>
      <c r="L346" t="b">
        <v>1</v>
      </c>
      <c r="M346" t="str">
        <f t="shared" si="10"/>
        <v>INSTAGRAM</v>
      </c>
      <c r="N346" t="str">
        <f t="shared" si="11"/>
        <v>Urban-INSTAGRAM</v>
      </c>
      <c r="O346">
        <v>12032</v>
      </c>
    </row>
    <row r="347" spans="1:15" x14ac:dyDescent="0.3">
      <c r="A347">
        <v>48</v>
      </c>
      <c r="B347" t="s">
        <v>25</v>
      </c>
      <c r="C347" s="1">
        <v>9</v>
      </c>
      <c r="D347" t="s">
        <v>19</v>
      </c>
      <c r="E347" t="s">
        <v>26</v>
      </c>
      <c r="F347" t="s">
        <v>27</v>
      </c>
      <c r="G347" t="s">
        <v>23</v>
      </c>
      <c r="H347" t="s">
        <v>21</v>
      </c>
      <c r="I347" s="2">
        <v>19699</v>
      </c>
      <c r="J347" t="b">
        <v>0</v>
      </c>
      <c r="K347" t="b">
        <v>0</v>
      </c>
      <c r="L347" t="b">
        <v>1</v>
      </c>
      <c r="M347" t="str">
        <f t="shared" si="10"/>
        <v>FACEBOOK</v>
      </c>
      <c r="N347" t="str">
        <f t="shared" si="11"/>
        <v>Sub_Urban-FACEBOOK</v>
      </c>
      <c r="O347">
        <v>19699</v>
      </c>
    </row>
    <row r="348" spans="1:15" x14ac:dyDescent="0.3">
      <c r="A348">
        <v>52</v>
      </c>
      <c r="B348" t="s">
        <v>18</v>
      </c>
      <c r="C348" s="1">
        <v>1</v>
      </c>
      <c r="D348" t="s">
        <v>28</v>
      </c>
      <c r="E348" t="s">
        <v>26</v>
      </c>
      <c r="F348" t="s">
        <v>15</v>
      </c>
      <c r="G348" t="s">
        <v>29</v>
      </c>
      <c r="H348" t="s">
        <v>17</v>
      </c>
      <c r="I348" s="2">
        <v>17129</v>
      </c>
      <c r="J348" t="b">
        <v>1</v>
      </c>
      <c r="K348" t="b">
        <v>0</v>
      </c>
      <c r="L348" t="b">
        <v>0</v>
      </c>
      <c r="M348" t="str">
        <f t="shared" si="10"/>
        <v>YOUTUBE</v>
      </c>
      <c r="N348" t="str">
        <f t="shared" si="11"/>
        <v>Rural-YOUTUBE</v>
      </c>
      <c r="O348">
        <v>17129</v>
      </c>
    </row>
    <row r="349" spans="1:15" x14ac:dyDescent="0.3">
      <c r="A349">
        <v>50</v>
      </c>
      <c r="B349" t="s">
        <v>18</v>
      </c>
      <c r="C349" s="1">
        <v>3</v>
      </c>
      <c r="D349" t="s">
        <v>13</v>
      </c>
      <c r="E349" t="s">
        <v>26</v>
      </c>
      <c r="F349" t="s">
        <v>27</v>
      </c>
      <c r="G349" t="s">
        <v>23</v>
      </c>
      <c r="H349" t="s">
        <v>17</v>
      </c>
      <c r="I349" s="2">
        <v>12705</v>
      </c>
      <c r="J349" t="b">
        <v>1</v>
      </c>
      <c r="K349" t="b">
        <v>0</v>
      </c>
      <c r="L349" t="b">
        <v>0</v>
      </c>
      <c r="M349" t="str">
        <f t="shared" si="10"/>
        <v>INSTAGRAM</v>
      </c>
      <c r="N349" t="str">
        <f t="shared" si="11"/>
        <v>Sub_Urban-INSTAGRAM</v>
      </c>
      <c r="O349">
        <v>12705</v>
      </c>
    </row>
    <row r="350" spans="1:15" x14ac:dyDescent="0.3">
      <c r="A350">
        <v>38</v>
      </c>
      <c r="B350" t="s">
        <v>18</v>
      </c>
      <c r="C350" s="1">
        <v>4</v>
      </c>
      <c r="D350" t="s">
        <v>28</v>
      </c>
      <c r="E350" t="s">
        <v>14</v>
      </c>
      <c r="F350" t="s">
        <v>27</v>
      </c>
      <c r="G350" t="s">
        <v>29</v>
      </c>
      <c r="H350" t="s">
        <v>24</v>
      </c>
      <c r="I350" s="2">
        <v>18788</v>
      </c>
      <c r="J350" t="b">
        <v>1</v>
      </c>
      <c r="K350" t="b">
        <v>0</v>
      </c>
      <c r="L350" t="b">
        <v>0</v>
      </c>
      <c r="M350" t="str">
        <f t="shared" si="10"/>
        <v>YOUTUBE</v>
      </c>
      <c r="N350" t="str">
        <f t="shared" si="11"/>
        <v>Rural-YOUTUBE</v>
      </c>
      <c r="O350">
        <v>18788</v>
      </c>
    </row>
    <row r="351" spans="1:15" x14ac:dyDescent="0.3">
      <c r="A351">
        <v>49</v>
      </c>
      <c r="B351" t="s">
        <v>12</v>
      </c>
      <c r="C351" s="1">
        <v>7</v>
      </c>
      <c r="D351" t="s">
        <v>28</v>
      </c>
      <c r="E351" t="s">
        <v>14</v>
      </c>
      <c r="F351" t="s">
        <v>27</v>
      </c>
      <c r="G351" t="s">
        <v>29</v>
      </c>
      <c r="H351" t="s">
        <v>21</v>
      </c>
      <c r="I351" s="2">
        <v>12147</v>
      </c>
      <c r="J351" t="b">
        <v>1</v>
      </c>
      <c r="K351" t="b">
        <v>1</v>
      </c>
      <c r="L351" t="b">
        <v>0</v>
      </c>
      <c r="M351" t="str">
        <f t="shared" si="10"/>
        <v>YOUTUBE</v>
      </c>
      <c r="N351" t="str">
        <f t="shared" si="11"/>
        <v>Rural-YOUTUBE</v>
      </c>
      <c r="O351">
        <v>12147</v>
      </c>
    </row>
    <row r="352" spans="1:15" x14ac:dyDescent="0.3">
      <c r="A352">
        <v>40</v>
      </c>
      <c r="B352" t="s">
        <v>12</v>
      </c>
      <c r="C352" s="1">
        <v>4</v>
      </c>
      <c r="D352" t="s">
        <v>28</v>
      </c>
      <c r="E352" t="s">
        <v>20</v>
      </c>
      <c r="F352" t="s">
        <v>22</v>
      </c>
      <c r="G352" t="s">
        <v>23</v>
      </c>
      <c r="H352" t="s">
        <v>24</v>
      </c>
      <c r="I352" s="2">
        <v>10615</v>
      </c>
      <c r="J352" t="b">
        <v>0</v>
      </c>
      <c r="K352" t="b">
        <v>1</v>
      </c>
      <c r="L352" t="b">
        <v>1</v>
      </c>
      <c r="M352" t="str">
        <f t="shared" si="10"/>
        <v>YOUTUBE</v>
      </c>
      <c r="N352" t="str">
        <f t="shared" si="11"/>
        <v>Sub_Urban-YOUTUBE</v>
      </c>
      <c r="O352">
        <v>10615</v>
      </c>
    </row>
    <row r="353" spans="1:15" x14ac:dyDescent="0.3">
      <c r="A353">
        <v>50</v>
      </c>
      <c r="B353" t="s">
        <v>18</v>
      </c>
      <c r="C353" s="1">
        <v>2</v>
      </c>
      <c r="D353" t="s">
        <v>13</v>
      </c>
      <c r="E353" t="s">
        <v>14</v>
      </c>
      <c r="F353" t="s">
        <v>15</v>
      </c>
      <c r="G353" t="s">
        <v>16</v>
      </c>
      <c r="H353" t="s">
        <v>17</v>
      </c>
      <c r="I353" s="2">
        <v>10947</v>
      </c>
      <c r="J353" t="b">
        <v>1</v>
      </c>
      <c r="K353" t="b">
        <v>0</v>
      </c>
      <c r="L353" t="b">
        <v>1</v>
      </c>
      <c r="M353" t="str">
        <f t="shared" si="10"/>
        <v>INSTAGRAM</v>
      </c>
      <c r="N353" t="str">
        <f t="shared" si="11"/>
        <v>Urban-INSTAGRAM</v>
      </c>
      <c r="O353">
        <v>10947</v>
      </c>
    </row>
    <row r="354" spans="1:15" x14ac:dyDescent="0.3">
      <c r="A354">
        <v>20</v>
      </c>
      <c r="B354" t="s">
        <v>25</v>
      </c>
      <c r="C354" s="1">
        <v>7</v>
      </c>
      <c r="D354" t="s">
        <v>28</v>
      </c>
      <c r="E354" t="s">
        <v>26</v>
      </c>
      <c r="F354" t="s">
        <v>27</v>
      </c>
      <c r="G354" t="s">
        <v>23</v>
      </c>
      <c r="H354" t="s">
        <v>24</v>
      </c>
      <c r="I354" s="2">
        <v>15677</v>
      </c>
      <c r="J354" t="b">
        <v>0</v>
      </c>
      <c r="K354" t="b">
        <v>1</v>
      </c>
      <c r="L354" t="b">
        <v>1</v>
      </c>
      <c r="M354" t="str">
        <f t="shared" si="10"/>
        <v>YOUTUBE</v>
      </c>
      <c r="N354" t="str">
        <f t="shared" si="11"/>
        <v>Sub_Urban-YOUTUBE</v>
      </c>
      <c r="O354">
        <v>15677</v>
      </c>
    </row>
    <row r="355" spans="1:15" x14ac:dyDescent="0.3">
      <c r="A355">
        <v>35</v>
      </c>
      <c r="B355" t="s">
        <v>12</v>
      </c>
      <c r="C355" s="1">
        <v>6</v>
      </c>
      <c r="D355" t="s">
        <v>13</v>
      </c>
      <c r="E355" t="s">
        <v>20</v>
      </c>
      <c r="F355" t="s">
        <v>22</v>
      </c>
      <c r="G355" t="s">
        <v>29</v>
      </c>
      <c r="H355" t="s">
        <v>21</v>
      </c>
      <c r="I355" s="2">
        <v>14651</v>
      </c>
      <c r="J355" t="b">
        <v>0</v>
      </c>
      <c r="K355" t="b">
        <v>0</v>
      </c>
      <c r="L355" t="b">
        <v>1</v>
      </c>
      <c r="M355" t="str">
        <f t="shared" si="10"/>
        <v>INSTAGRAM</v>
      </c>
      <c r="N355" t="str">
        <f t="shared" si="11"/>
        <v>Rural-INSTAGRAM</v>
      </c>
      <c r="O355">
        <v>14651</v>
      </c>
    </row>
    <row r="356" spans="1:15" x14ac:dyDescent="0.3">
      <c r="A356">
        <v>42</v>
      </c>
      <c r="B356" t="s">
        <v>25</v>
      </c>
      <c r="C356" s="1">
        <v>3</v>
      </c>
      <c r="D356" t="s">
        <v>28</v>
      </c>
      <c r="E356" t="s">
        <v>26</v>
      </c>
      <c r="F356" t="s">
        <v>15</v>
      </c>
      <c r="G356" t="s">
        <v>23</v>
      </c>
      <c r="H356" t="s">
        <v>24</v>
      </c>
      <c r="I356" s="2">
        <v>17866</v>
      </c>
      <c r="J356" t="b">
        <v>0</v>
      </c>
      <c r="K356" t="b">
        <v>1</v>
      </c>
      <c r="L356" t="b">
        <v>1</v>
      </c>
      <c r="M356" t="str">
        <f t="shared" si="10"/>
        <v>YOUTUBE</v>
      </c>
      <c r="N356" t="str">
        <f t="shared" si="11"/>
        <v>Sub_Urban-YOUTUBE</v>
      </c>
      <c r="O356">
        <v>17866</v>
      </c>
    </row>
    <row r="357" spans="1:15" x14ac:dyDescent="0.3">
      <c r="A357">
        <v>59</v>
      </c>
      <c r="B357" t="s">
        <v>18</v>
      </c>
      <c r="C357" s="1">
        <v>6</v>
      </c>
      <c r="D357" t="s">
        <v>13</v>
      </c>
      <c r="E357" t="s">
        <v>14</v>
      </c>
      <c r="F357" t="s">
        <v>22</v>
      </c>
      <c r="G357" t="s">
        <v>23</v>
      </c>
      <c r="H357" t="s">
        <v>21</v>
      </c>
      <c r="I357" s="2">
        <v>12013</v>
      </c>
      <c r="J357" t="b">
        <v>1</v>
      </c>
      <c r="K357" t="b">
        <v>1</v>
      </c>
      <c r="L357" t="b">
        <v>0</v>
      </c>
      <c r="M357" t="str">
        <f t="shared" si="10"/>
        <v>INSTAGRAM</v>
      </c>
      <c r="N357" t="str">
        <f t="shared" si="11"/>
        <v>Sub_Urban-INSTAGRAM</v>
      </c>
      <c r="O357">
        <v>12013</v>
      </c>
    </row>
    <row r="358" spans="1:15" x14ac:dyDescent="0.3">
      <c r="A358">
        <v>48</v>
      </c>
      <c r="B358" t="s">
        <v>18</v>
      </c>
      <c r="C358" s="1">
        <v>6</v>
      </c>
      <c r="D358" t="s">
        <v>28</v>
      </c>
      <c r="E358" t="s">
        <v>20</v>
      </c>
      <c r="F358" t="s">
        <v>22</v>
      </c>
      <c r="G358" t="s">
        <v>29</v>
      </c>
      <c r="H358" t="s">
        <v>21</v>
      </c>
      <c r="I358" s="2">
        <v>13697</v>
      </c>
      <c r="J358" t="b">
        <v>1</v>
      </c>
      <c r="K358" t="b">
        <v>1</v>
      </c>
      <c r="L358" t="b">
        <v>1</v>
      </c>
      <c r="M358" t="str">
        <f t="shared" si="10"/>
        <v>YOUTUBE</v>
      </c>
      <c r="N358" t="str">
        <f t="shared" si="11"/>
        <v>Rural-YOUTUBE</v>
      </c>
      <c r="O358">
        <v>13697</v>
      </c>
    </row>
    <row r="359" spans="1:15" x14ac:dyDescent="0.3">
      <c r="A359">
        <v>20</v>
      </c>
      <c r="B359" t="s">
        <v>12</v>
      </c>
      <c r="C359" s="1">
        <v>5</v>
      </c>
      <c r="D359" t="s">
        <v>19</v>
      </c>
      <c r="E359" t="s">
        <v>26</v>
      </c>
      <c r="F359" t="s">
        <v>15</v>
      </c>
      <c r="G359" t="s">
        <v>16</v>
      </c>
      <c r="H359" t="s">
        <v>24</v>
      </c>
      <c r="I359" s="2">
        <v>10490</v>
      </c>
      <c r="J359" t="b">
        <v>1</v>
      </c>
      <c r="K359" t="b">
        <v>0</v>
      </c>
      <c r="L359" t="b">
        <v>0</v>
      </c>
      <c r="M359" t="str">
        <f t="shared" si="10"/>
        <v>FACEBOOK</v>
      </c>
      <c r="N359" t="str">
        <f t="shared" si="11"/>
        <v>Urban-FACEBOOK</v>
      </c>
      <c r="O359">
        <v>10490</v>
      </c>
    </row>
    <row r="360" spans="1:15" x14ac:dyDescent="0.3">
      <c r="A360">
        <v>57</v>
      </c>
      <c r="B360" t="s">
        <v>18</v>
      </c>
      <c r="C360" s="1">
        <v>4</v>
      </c>
      <c r="D360" t="s">
        <v>28</v>
      </c>
      <c r="E360" t="s">
        <v>20</v>
      </c>
      <c r="F360" t="s">
        <v>27</v>
      </c>
      <c r="G360" t="s">
        <v>23</v>
      </c>
      <c r="H360" t="s">
        <v>17</v>
      </c>
      <c r="I360" s="2">
        <v>14350</v>
      </c>
      <c r="J360" t="b">
        <v>1</v>
      </c>
      <c r="K360" t="b">
        <v>1</v>
      </c>
      <c r="L360" t="b">
        <v>0</v>
      </c>
      <c r="M360" t="str">
        <f t="shared" si="10"/>
        <v>YOUTUBE</v>
      </c>
      <c r="N360" t="str">
        <f t="shared" si="11"/>
        <v>Sub_Urban-YOUTUBE</v>
      </c>
      <c r="O360">
        <v>14350</v>
      </c>
    </row>
    <row r="361" spans="1:15" x14ac:dyDescent="0.3">
      <c r="A361">
        <v>63</v>
      </c>
      <c r="B361" t="s">
        <v>12</v>
      </c>
      <c r="C361" s="1">
        <v>1</v>
      </c>
      <c r="D361" t="s">
        <v>28</v>
      </c>
      <c r="E361" t="s">
        <v>20</v>
      </c>
      <c r="F361" t="s">
        <v>22</v>
      </c>
      <c r="G361" t="s">
        <v>29</v>
      </c>
      <c r="H361" t="s">
        <v>24</v>
      </c>
      <c r="I361" s="2">
        <v>12428</v>
      </c>
      <c r="J361" t="b">
        <v>0</v>
      </c>
      <c r="K361" t="b">
        <v>0</v>
      </c>
      <c r="L361" t="b">
        <v>0</v>
      </c>
      <c r="M361" t="str">
        <f t="shared" si="10"/>
        <v>YOUTUBE</v>
      </c>
      <c r="N361" t="str">
        <f t="shared" si="11"/>
        <v>Rural-YOUTUBE</v>
      </c>
      <c r="O361">
        <v>12428</v>
      </c>
    </row>
    <row r="362" spans="1:15" x14ac:dyDescent="0.3">
      <c r="A362">
        <v>41</v>
      </c>
      <c r="B362" t="s">
        <v>18</v>
      </c>
      <c r="C362" s="1">
        <v>6</v>
      </c>
      <c r="D362" t="s">
        <v>13</v>
      </c>
      <c r="E362" t="s">
        <v>14</v>
      </c>
      <c r="F362" t="s">
        <v>22</v>
      </c>
      <c r="G362" t="s">
        <v>29</v>
      </c>
      <c r="H362" t="s">
        <v>17</v>
      </c>
      <c r="I362" s="2">
        <v>14987</v>
      </c>
      <c r="J362" t="b">
        <v>0</v>
      </c>
      <c r="K362" t="b">
        <v>0</v>
      </c>
      <c r="L362" t="b">
        <v>1</v>
      </c>
      <c r="M362" t="str">
        <f t="shared" si="10"/>
        <v>INSTAGRAM</v>
      </c>
      <c r="N362" t="str">
        <f t="shared" si="11"/>
        <v>Rural-INSTAGRAM</v>
      </c>
      <c r="O362">
        <v>14987</v>
      </c>
    </row>
    <row r="363" spans="1:15" x14ac:dyDescent="0.3">
      <c r="A363">
        <v>49</v>
      </c>
      <c r="B363" t="s">
        <v>18</v>
      </c>
      <c r="C363" s="1">
        <v>2</v>
      </c>
      <c r="D363" t="s">
        <v>13</v>
      </c>
      <c r="E363" t="s">
        <v>26</v>
      </c>
      <c r="F363" t="s">
        <v>27</v>
      </c>
      <c r="G363" t="s">
        <v>23</v>
      </c>
      <c r="H363" t="s">
        <v>17</v>
      </c>
      <c r="I363" s="2">
        <v>18733</v>
      </c>
      <c r="J363" t="b">
        <v>1</v>
      </c>
      <c r="K363" t="b">
        <v>0</v>
      </c>
      <c r="L363" t="b">
        <v>0</v>
      </c>
      <c r="M363" t="str">
        <f t="shared" si="10"/>
        <v>INSTAGRAM</v>
      </c>
      <c r="N363" t="str">
        <f t="shared" si="11"/>
        <v>Sub_Urban-INSTAGRAM</v>
      </c>
      <c r="O363">
        <v>18733</v>
      </c>
    </row>
    <row r="364" spans="1:15" x14ac:dyDescent="0.3">
      <c r="A364">
        <v>64</v>
      </c>
      <c r="B364" t="s">
        <v>12</v>
      </c>
      <c r="C364" s="1">
        <v>3</v>
      </c>
      <c r="D364" t="s">
        <v>28</v>
      </c>
      <c r="E364" t="s">
        <v>20</v>
      </c>
      <c r="F364" t="s">
        <v>27</v>
      </c>
      <c r="G364" t="s">
        <v>16</v>
      </c>
      <c r="H364" t="s">
        <v>24</v>
      </c>
      <c r="I364" s="2">
        <v>19479</v>
      </c>
      <c r="J364" t="b">
        <v>1</v>
      </c>
      <c r="K364" t="b">
        <v>1</v>
      </c>
      <c r="L364" t="b">
        <v>1</v>
      </c>
      <c r="M364" t="str">
        <f t="shared" si="10"/>
        <v>YOUTUBE</v>
      </c>
      <c r="N364" t="str">
        <f t="shared" si="11"/>
        <v>Urban-YOUTUBE</v>
      </c>
      <c r="O364">
        <v>19479</v>
      </c>
    </row>
    <row r="365" spans="1:15" x14ac:dyDescent="0.3">
      <c r="A365">
        <v>39</v>
      </c>
      <c r="B365" t="s">
        <v>12</v>
      </c>
      <c r="C365" s="1">
        <v>8</v>
      </c>
      <c r="D365" t="s">
        <v>19</v>
      </c>
      <c r="E365" t="s">
        <v>20</v>
      </c>
      <c r="F365" t="s">
        <v>15</v>
      </c>
      <c r="G365" t="s">
        <v>23</v>
      </c>
      <c r="H365" t="s">
        <v>17</v>
      </c>
      <c r="I365" s="2">
        <v>19825</v>
      </c>
      <c r="J365" t="b">
        <v>1</v>
      </c>
      <c r="K365" t="b">
        <v>1</v>
      </c>
      <c r="L365" t="b">
        <v>0</v>
      </c>
      <c r="M365" t="str">
        <f t="shared" si="10"/>
        <v>FACEBOOK</v>
      </c>
      <c r="N365" t="str">
        <f t="shared" si="11"/>
        <v>Sub_Urban-FACEBOOK</v>
      </c>
      <c r="O365">
        <v>19825</v>
      </c>
    </row>
    <row r="366" spans="1:15" x14ac:dyDescent="0.3">
      <c r="A366">
        <v>40</v>
      </c>
      <c r="B366" t="s">
        <v>12</v>
      </c>
      <c r="C366" s="1">
        <v>6</v>
      </c>
      <c r="D366" t="s">
        <v>19</v>
      </c>
      <c r="E366" t="s">
        <v>26</v>
      </c>
      <c r="F366" t="s">
        <v>15</v>
      </c>
      <c r="G366" t="s">
        <v>16</v>
      </c>
      <c r="H366" t="s">
        <v>17</v>
      </c>
      <c r="I366" s="2">
        <v>14920</v>
      </c>
      <c r="J366" t="b">
        <v>1</v>
      </c>
      <c r="K366" t="b">
        <v>1</v>
      </c>
      <c r="L366" t="b">
        <v>1</v>
      </c>
      <c r="M366" t="str">
        <f t="shared" si="10"/>
        <v>FACEBOOK</v>
      </c>
      <c r="N366" t="str">
        <f t="shared" si="11"/>
        <v>Urban-FACEBOOK</v>
      </c>
      <c r="O366">
        <v>14920</v>
      </c>
    </row>
    <row r="367" spans="1:15" x14ac:dyDescent="0.3">
      <c r="A367">
        <v>19</v>
      </c>
      <c r="B367" t="s">
        <v>18</v>
      </c>
      <c r="C367" s="1">
        <v>3</v>
      </c>
      <c r="D367" t="s">
        <v>13</v>
      </c>
      <c r="E367" t="s">
        <v>20</v>
      </c>
      <c r="F367" t="s">
        <v>15</v>
      </c>
      <c r="G367" t="s">
        <v>16</v>
      </c>
      <c r="H367" t="s">
        <v>24</v>
      </c>
      <c r="I367" s="2">
        <v>12926</v>
      </c>
      <c r="J367" t="b">
        <v>1</v>
      </c>
      <c r="K367" t="b">
        <v>0</v>
      </c>
      <c r="L367" t="b">
        <v>0</v>
      </c>
      <c r="M367" t="str">
        <f t="shared" si="10"/>
        <v>INSTAGRAM</v>
      </c>
      <c r="N367" t="str">
        <f t="shared" si="11"/>
        <v>Urban-INSTAGRAM</v>
      </c>
      <c r="O367">
        <v>12926</v>
      </c>
    </row>
    <row r="368" spans="1:15" x14ac:dyDescent="0.3">
      <c r="A368">
        <v>44</v>
      </c>
      <c r="B368" t="s">
        <v>18</v>
      </c>
      <c r="C368" s="1">
        <v>7</v>
      </c>
      <c r="D368" t="s">
        <v>19</v>
      </c>
      <c r="E368" t="s">
        <v>20</v>
      </c>
      <c r="F368" t="s">
        <v>27</v>
      </c>
      <c r="G368" t="s">
        <v>16</v>
      </c>
      <c r="H368" t="s">
        <v>24</v>
      </c>
      <c r="I368" s="2">
        <v>19544</v>
      </c>
      <c r="J368" t="b">
        <v>1</v>
      </c>
      <c r="K368" t="b">
        <v>0</v>
      </c>
      <c r="L368" t="b">
        <v>1</v>
      </c>
      <c r="M368" t="str">
        <f t="shared" si="10"/>
        <v>FACEBOOK</v>
      </c>
      <c r="N368" t="str">
        <f t="shared" si="11"/>
        <v>Urban-FACEBOOK</v>
      </c>
      <c r="O368">
        <v>19544</v>
      </c>
    </row>
    <row r="369" spans="1:15" x14ac:dyDescent="0.3">
      <c r="A369">
        <v>59</v>
      </c>
      <c r="B369" t="s">
        <v>25</v>
      </c>
      <c r="C369" s="1">
        <v>4</v>
      </c>
      <c r="D369" t="s">
        <v>28</v>
      </c>
      <c r="E369" t="s">
        <v>20</v>
      </c>
      <c r="F369" t="s">
        <v>22</v>
      </c>
      <c r="G369" t="s">
        <v>16</v>
      </c>
      <c r="H369" t="s">
        <v>24</v>
      </c>
      <c r="I369" s="2">
        <v>17282</v>
      </c>
      <c r="J369" t="b">
        <v>1</v>
      </c>
      <c r="K369" t="b">
        <v>1</v>
      </c>
      <c r="L369" t="b">
        <v>0</v>
      </c>
      <c r="M369" t="str">
        <f t="shared" si="10"/>
        <v>YOUTUBE</v>
      </c>
      <c r="N369" t="str">
        <f t="shared" si="11"/>
        <v>Urban-YOUTUBE</v>
      </c>
      <c r="O369">
        <v>17282</v>
      </c>
    </row>
    <row r="370" spans="1:15" x14ac:dyDescent="0.3">
      <c r="A370">
        <v>19</v>
      </c>
      <c r="B370" t="s">
        <v>12</v>
      </c>
      <c r="C370" s="1">
        <v>9</v>
      </c>
      <c r="D370" t="s">
        <v>13</v>
      </c>
      <c r="E370" t="s">
        <v>26</v>
      </c>
      <c r="F370" t="s">
        <v>22</v>
      </c>
      <c r="G370" t="s">
        <v>23</v>
      </c>
      <c r="H370" t="s">
        <v>17</v>
      </c>
      <c r="I370" s="2">
        <v>14376</v>
      </c>
      <c r="J370" t="b">
        <v>0</v>
      </c>
      <c r="K370" t="b">
        <v>0</v>
      </c>
      <c r="L370" t="b">
        <v>0</v>
      </c>
      <c r="M370" t="str">
        <f t="shared" si="10"/>
        <v>INSTAGRAM</v>
      </c>
      <c r="N370" t="str">
        <f t="shared" si="11"/>
        <v>Sub_Urban-INSTAGRAM</v>
      </c>
      <c r="O370">
        <v>14376</v>
      </c>
    </row>
    <row r="371" spans="1:15" x14ac:dyDescent="0.3">
      <c r="A371">
        <v>43</v>
      </c>
      <c r="B371" t="s">
        <v>18</v>
      </c>
      <c r="C371" s="1">
        <v>5</v>
      </c>
      <c r="D371" t="s">
        <v>28</v>
      </c>
      <c r="E371" t="s">
        <v>26</v>
      </c>
      <c r="F371" t="s">
        <v>15</v>
      </c>
      <c r="G371" t="s">
        <v>29</v>
      </c>
      <c r="H371" t="s">
        <v>21</v>
      </c>
      <c r="I371" s="2">
        <v>19490</v>
      </c>
      <c r="J371" t="b">
        <v>0</v>
      </c>
      <c r="K371" t="b">
        <v>1</v>
      </c>
      <c r="L371" t="b">
        <v>0</v>
      </c>
      <c r="M371" t="str">
        <f t="shared" si="10"/>
        <v>YOUTUBE</v>
      </c>
      <c r="N371" t="str">
        <f t="shared" si="11"/>
        <v>Rural-YOUTUBE</v>
      </c>
      <c r="O371">
        <v>19490</v>
      </c>
    </row>
    <row r="372" spans="1:15" x14ac:dyDescent="0.3">
      <c r="A372">
        <v>34</v>
      </c>
      <c r="B372" t="s">
        <v>18</v>
      </c>
      <c r="C372" s="1">
        <v>3</v>
      </c>
      <c r="D372" t="s">
        <v>13</v>
      </c>
      <c r="E372" t="s">
        <v>26</v>
      </c>
      <c r="F372" t="s">
        <v>27</v>
      </c>
      <c r="G372" t="s">
        <v>29</v>
      </c>
      <c r="H372" t="s">
        <v>17</v>
      </c>
      <c r="I372" s="2">
        <v>14868</v>
      </c>
      <c r="J372" t="b">
        <v>0</v>
      </c>
      <c r="K372" t="b">
        <v>1</v>
      </c>
      <c r="L372" t="b">
        <v>0</v>
      </c>
      <c r="M372" t="str">
        <f t="shared" si="10"/>
        <v>INSTAGRAM</v>
      </c>
      <c r="N372" t="str">
        <f t="shared" si="11"/>
        <v>Rural-INSTAGRAM</v>
      </c>
      <c r="O372">
        <v>14868</v>
      </c>
    </row>
    <row r="373" spans="1:15" x14ac:dyDescent="0.3">
      <c r="A373">
        <v>57</v>
      </c>
      <c r="B373" t="s">
        <v>12</v>
      </c>
      <c r="C373" s="1">
        <v>2</v>
      </c>
      <c r="D373" t="s">
        <v>13</v>
      </c>
      <c r="E373" t="s">
        <v>26</v>
      </c>
      <c r="F373" t="s">
        <v>22</v>
      </c>
      <c r="G373" t="s">
        <v>29</v>
      </c>
      <c r="H373" t="s">
        <v>21</v>
      </c>
      <c r="I373" s="2">
        <v>16986</v>
      </c>
      <c r="J373" t="b">
        <v>0</v>
      </c>
      <c r="K373" t="b">
        <v>1</v>
      </c>
      <c r="L373" t="b">
        <v>1</v>
      </c>
      <c r="M373" t="str">
        <f t="shared" si="10"/>
        <v>INSTAGRAM</v>
      </c>
      <c r="N373" t="str">
        <f t="shared" si="11"/>
        <v>Rural-INSTAGRAM</v>
      </c>
      <c r="O373">
        <v>16986</v>
      </c>
    </row>
    <row r="374" spans="1:15" x14ac:dyDescent="0.3">
      <c r="A374">
        <v>50</v>
      </c>
      <c r="B374" t="s">
        <v>25</v>
      </c>
      <c r="C374" s="1">
        <v>2</v>
      </c>
      <c r="D374" t="s">
        <v>13</v>
      </c>
      <c r="E374" t="s">
        <v>14</v>
      </c>
      <c r="F374" t="s">
        <v>15</v>
      </c>
      <c r="G374" t="s">
        <v>29</v>
      </c>
      <c r="H374" t="s">
        <v>24</v>
      </c>
      <c r="I374" s="2">
        <v>16862</v>
      </c>
      <c r="J374" t="b">
        <v>1</v>
      </c>
      <c r="K374" t="b">
        <v>1</v>
      </c>
      <c r="L374" t="b">
        <v>1</v>
      </c>
      <c r="M374" t="str">
        <f t="shared" si="10"/>
        <v>INSTAGRAM</v>
      </c>
      <c r="N374" t="str">
        <f t="shared" si="11"/>
        <v>Rural-INSTAGRAM</v>
      </c>
      <c r="O374">
        <v>16862</v>
      </c>
    </row>
    <row r="375" spans="1:15" x14ac:dyDescent="0.3">
      <c r="A375">
        <v>26</v>
      </c>
      <c r="B375" t="s">
        <v>12</v>
      </c>
      <c r="C375" s="1">
        <v>3</v>
      </c>
      <c r="D375" t="s">
        <v>13</v>
      </c>
      <c r="E375" t="s">
        <v>20</v>
      </c>
      <c r="F375" t="s">
        <v>22</v>
      </c>
      <c r="G375" t="s">
        <v>29</v>
      </c>
      <c r="H375" t="s">
        <v>21</v>
      </c>
      <c r="I375" s="2">
        <v>14423</v>
      </c>
      <c r="J375" t="b">
        <v>1</v>
      </c>
      <c r="K375" t="b">
        <v>0</v>
      </c>
      <c r="L375" t="b">
        <v>1</v>
      </c>
      <c r="M375" t="str">
        <f t="shared" si="10"/>
        <v>INSTAGRAM</v>
      </c>
      <c r="N375" t="str">
        <f t="shared" si="11"/>
        <v>Rural-INSTAGRAM</v>
      </c>
      <c r="O375">
        <v>14423</v>
      </c>
    </row>
    <row r="376" spans="1:15" x14ac:dyDescent="0.3">
      <c r="A376">
        <v>60</v>
      </c>
      <c r="B376" t="s">
        <v>25</v>
      </c>
      <c r="C376" s="1">
        <v>2</v>
      </c>
      <c r="D376" t="s">
        <v>19</v>
      </c>
      <c r="E376" t="s">
        <v>26</v>
      </c>
      <c r="F376" t="s">
        <v>22</v>
      </c>
      <c r="G376" t="s">
        <v>29</v>
      </c>
      <c r="H376" t="s">
        <v>24</v>
      </c>
      <c r="I376" s="2">
        <v>16870</v>
      </c>
      <c r="J376" t="b">
        <v>1</v>
      </c>
      <c r="K376" t="b">
        <v>1</v>
      </c>
      <c r="L376" t="b">
        <v>0</v>
      </c>
      <c r="M376" t="str">
        <f t="shared" si="10"/>
        <v>FACEBOOK</v>
      </c>
      <c r="N376" t="str">
        <f t="shared" si="11"/>
        <v>Rural-FACEBOOK</v>
      </c>
      <c r="O376">
        <v>16870</v>
      </c>
    </row>
    <row r="377" spans="1:15" x14ac:dyDescent="0.3">
      <c r="A377">
        <v>56</v>
      </c>
      <c r="B377" t="s">
        <v>18</v>
      </c>
      <c r="C377" s="1">
        <v>4</v>
      </c>
      <c r="D377" t="s">
        <v>28</v>
      </c>
      <c r="E377" t="s">
        <v>20</v>
      </c>
      <c r="F377" t="s">
        <v>27</v>
      </c>
      <c r="G377" t="s">
        <v>23</v>
      </c>
      <c r="H377" t="s">
        <v>24</v>
      </c>
      <c r="I377" s="2">
        <v>18159</v>
      </c>
      <c r="J377" t="b">
        <v>1</v>
      </c>
      <c r="K377" t="b">
        <v>1</v>
      </c>
      <c r="L377" t="b">
        <v>0</v>
      </c>
      <c r="M377" t="str">
        <f t="shared" si="10"/>
        <v>YOUTUBE</v>
      </c>
      <c r="N377" t="str">
        <f t="shared" si="11"/>
        <v>Sub_Urban-YOUTUBE</v>
      </c>
      <c r="O377">
        <v>18159</v>
      </c>
    </row>
    <row r="378" spans="1:15" x14ac:dyDescent="0.3">
      <c r="A378">
        <v>46</v>
      </c>
      <c r="B378" t="s">
        <v>25</v>
      </c>
      <c r="C378" s="1">
        <v>2</v>
      </c>
      <c r="D378" t="s">
        <v>28</v>
      </c>
      <c r="E378" t="s">
        <v>20</v>
      </c>
      <c r="F378" t="s">
        <v>27</v>
      </c>
      <c r="G378" t="s">
        <v>16</v>
      </c>
      <c r="H378" t="s">
        <v>21</v>
      </c>
      <c r="I378" s="2">
        <v>12073</v>
      </c>
      <c r="J378" t="b">
        <v>1</v>
      </c>
      <c r="K378" t="b">
        <v>1</v>
      </c>
      <c r="L378" t="b">
        <v>0</v>
      </c>
      <c r="M378" t="str">
        <f t="shared" si="10"/>
        <v>YOUTUBE</v>
      </c>
      <c r="N378" t="str">
        <f t="shared" si="11"/>
        <v>Urban-YOUTUBE</v>
      </c>
      <c r="O378">
        <v>12073</v>
      </c>
    </row>
    <row r="379" spans="1:15" x14ac:dyDescent="0.3">
      <c r="A379">
        <v>59</v>
      </c>
      <c r="B379" t="s">
        <v>18</v>
      </c>
      <c r="C379" s="1">
        <v>9</v>
      </c>
      <c r="D379" t="s">
        <v>28</v>
      </c>
      <c r="E379" t="s">
        <v>14</v>
      </c>
      <c r="F379" t="s">
        <v>22</v>
      </c>
      <c r="G379" t="s">
        <v>29</v>
      </c>
      <c r="H379" t="s">
        <v>24</v>
      </c>
      <c r="I379" s="2">
        <v>16170</v>
      </c>
      <c r="J379" t="b">
        <v>0</v>
      </c>
      <c r="K379" t="b">
        <v>1</v>
      </c>
      <c r="L379" t="b">
        <v>0</v>
      </c>
      <c r="M379" t="str">
        <f t="shared" si="10"/>
        <v>YOUTUBE</v>
      </c>
      <c r="N379" t="str">
        <f t="shared" si="11"/>
        <v>Rural-YOUTUBE</v>
      </c>
      <c r="O379">
        <v>16170</v>
      </c>
    </row>
    <row r="380" spans="1:15" x14ac:dyDescent="0.3">
      <c r="A380">
        <v>43</v>
      </c>
      <c r="B380" t="s">
        <v>12</v>
      </c>
      <c r="C380" s="1">
        <v>2</v>
      </c>
      <c r="D380" t="s">
        <v>13</v>
      </c>
      <c r="E380" t="s">
        <v>26</v>
      </c>
      <c r="F380" t="s">
        <v>15</v>
      </c>
      <c r="G380" t="s">
        <v>23</v>
      </c>
      <c r="H380" t="s">
        <v>21</v>
      </c>
      <c r="I380" s="2">
        <v>10701</v>
      </c>
      <c r="J380" t="b">
        <v>1</v>
      </c>
      <c r="K380" t="b">
        <v>1</v>
      </c>
      <c r="L380" t="b">
        <v>0</v>
      </c>
      <c r="M380" t="str">
        <f t="shared" si="10"/>
        <v>INSTAGRAM</v>
      </c>
      <c r="N380" t="str">
        <f t="shared" si="11"/>
        <v>Sub_Urban-INSTAGRAM</v>
      </c>
      <c r="O380">
        <v>10701</v>
      </c>
    </row>
    <row r="381" spans="1:15" x14ac:dyDescent="0.3">
      <c r="A381">
        <v>52</v>
      </c>
      <c r="B381" t="s">
        <v>12</v>
      </c>
      <c r="C381" s="1">
        <v>9</v>
      </c>
      <c r="D381" t="s">
        <v>19</v>
      </c>
      <c r="E381" t="s">
        <v>26</v>
      </c>
      <c r="F381" t="s">
        <v>27</v>
      </c>
      <c r="G381" t="s">
        <v>29</v>
      </c>
      <c r="H381" t="s">
        <v>24</v>
      </c>
      <c r="I381" s="2">
        <v>18113</v>
      </c>
      <c r="J381" t="b">
        <v>0</v>
      </c>
      <c r="K381" t="b">
        <v>1</v>
      </c>
      <c r="L381" t="b">
        <v>0</v>
      </c>
      <c r="M381" t="str">
        <f t="shared" si="10"/>
        <v>FACEBOOK</v>
      </c>
      <c r="N381" t="str">
        <f t="shared" si="11"/>
        <v>Rural-FACEBOOK</v>
      </c>
      <c r="O381">
        <v>18113</v>
      </c>
    </row>
    <row r="382" spans="1:15" x14ac:dyDescent="0.3">
      <c r="A382">
        <v>42</v>
      </c>
      <c r="B382" t="s">
        <v>12</v>
      </c>
      <c r="C382" s="1">
        <v>6</v>
      </c>
      <c r="D382" t="s">
        <v>28</v>
      </c>
      <c r="E382" t="s">
        <v>20</v>
      </c>
      <c r="F382" t="s">
        <v>22</v>
      </c>
      <c r="G382" t="s">
        <v>29</v>
      </c>
      <c r="H382" t="s">
        <v>17</v>
      </c>
      <c r="I382" s="2">
        <v>16825</v>
      </c>
      <c r="J382" t="b">
        <v>1</v>
      </c>
      <c r="K382" t="b">
        <v>1</v>
      </c>
      <c r="L382" t="b">
        <v>1</v>
      </c>
      <c r="M382" t="str">
        <f t="shared" si="10"/>
        <v>YOUTUBE</v>
      </c>
      <c r="N382" t="str">
        <f t="shared" si="11"/>
        <v>Rural-YOUTUBE</v>
      </c>
      <c r="O382">
        <v>16825</v>
      </c>
    </row>
    <row r="383" spans="1:15" x14ac:dyDescent="0.3">
      <c r="A383">
        <v>41</v>
      </c>
      <c r="B383" t="s">
        <v>25</v>
      </c>
      <c r="C383" s="1">
        <v>1</v>
      </c>
      <c r="D383" t="s">
        <v>19</v>
      </c>
      <c r="E383" t="s">
        <v>26</v>
      </c>
      <c r="F383" t="s">
        <v>27</v>
      </c>
      <c r="G383" t="s">
        <v>16</v>
      </c>
      <c r="H383" t="s">
        <v>17</v>
      </c>
      <c r="I383" s="2">
        <v>17867</v>
      </c>
      <c r="J383" t="b">
        <v>0</v>
      </c>
      <c r="K383" t="b">
        <v>0</v>
      </c>
      <c r="L383" t="b">
        <v>1</v>
      </c>
      <c r="M383" t="str">
        <f t="shared" si="10"/>
        <v>FACEBOOK</v>
      </c>
      <c r="N383" t="str">
        <f t="shared" si="11"/>
        <v>Urban-FACEBOOK</v>
      </c>
      <c r="O383">
        <v>17867</v>
      </c>
    </row>
    <row r="384" spans="1:15" x14ac:dyDescent="0.3">
      <c r="A384">
        <v>30</v>
      </c>
      <c r="B384" t="s">
        <v>18</v>
      </c>
      <c r="C384" s="1">
        <v>4</v>
      </c>
      <c r="D384" t="s">
        <v>13</v>
      </c>
      <c r="E384" t="s">
        <v>20</v>
      </c>
      <c r="F384" t="s">
        <v>27</v>
      </c>
      <c r="G384" t="s">
        <v>16</v>
      </c>
      <c r="H384" t="s">
        <v>24</v>
      </c>
      <c r="I384" s="2">
        <v>14264</v>
      </c>
      <c r="J384" t="b">
        <v>1</v>
      </c>
      <c r="K384" t="b">
        <v>0</v>
      </c>
      <c r="L384" t="b">
        <v>1</v>
      </c>
      <c r="M384" t="str">
        <f t="shared" si="10"/>
        <v>INSTAGRAM</v>
      </c>
      <c r="N384" t="str">
        <f t="shared" si="11"/>
        <v>Urban-INSTAGRAM</v>
      </c>
      <c r="O384">
        <v>14264</v>
      </c>
    </row>
    <row r="385" spans="1:15" x14ac:dyDescent="0.3">
      <c r="A385">
        <v>24</v>
      </c>
      <c r="B385" t="s">
        <v>12</v>
      </c>
      <c r="C385" s="1">
        <v>1</v>
      </c>
      <c r="D385" t="s">
        <v>28</v>
      </c>
      <c r="E385" t="s">
        <v>20</v>
      </c>
      <c r="F385" t="s">
        <v>27</v>
      </c>
      <c r="G385" t="s">
        <v>16</v>
      </c>
      <c r="H385" t="s">
        <v>24</v>
      </c>
      <c r="I385" s="2">
        <v>17968</v>
      </c>
      <c r="J385" t="b">
        <v>0</v>
      </c>
      <c r="K385" t="b">
        <v>0</v>
      </c>
      <c r="L385" t="b">
        <v>1</v>
      </c>
      <c r="M385" t="str">
        <f t="shared" si="10"/>
        <v>YOUTUBE</v>
      </c>
      <c r="N385" t="str">
        <f t="shared" si="11"/>
        <v>Urban-YOUTUBE</v>
      </c>
      <c r="O385">
        <v>17968</v>
      </c>
    </row>
    <row r="386" spans="1:15" x14ac:dyDescent="0.3">
      <c r="A386">
        <v>53</v>
      </c>
      <c r="B386" t="s">
        <v>12</v>
      </c>
      <c r="C386" s="1">
        <v>6</v>
      </c>
      <c r="D386" t="s">
        <v>19</v>
      </c>
      <c r="E386" t="s">
        <v>14</v>
      </c>
      <c r="F386" t="s">
        <v>22</v>
      </c>
      <c r="G386" t="s">
        <v>29</v>
      </c>
      <c r="H386" t="s">
        <v>21</v>
      </c>
      <c r="I386" s="2">
        <v>18146</v>
      </c>
      <c r="J386" t="b">
        <v>1</v>
      </c>
      <c r="K386" t="b">
        <v>0</v>
      </c>
      <c r="L386" t="b">
        <v>1</v>
      </c>
      <c r="M386" t="str">
        <f t="shared" ref="M386:M449" si="12">UPPER(D386)</f>
        <v>FACEBOOK</v>
      </c>
      <c r="N386" t="str">
        <f t="shared" ref="N386:N449" si="13">_xlfn.CONCAT(G386,"-",M386)</f>
        <v>Rural-FACEBOOK</v>
      </c>
      <c r="O386">
        <v>18146</v>
      </c>
    </row>
    <row r="387" spans="1:15" x14ac:dyDescent="0.3">
      <c r="A387">
        <v>62</v>
      </c>
      <c r="B387" t="s">
        <v>18</v>
      </c>
      <c r="C387" s="1">
        <v>4</v>
      </c>
      <c r="D387" t="s">
        <v>13</v>
      </c>
      <c r="E387" t="s">
        <v>14</v>
      </c>
      <c r="F387" t="s">
        <v>15</v>
      </c>
      <c r="G387" t="s">
        <v>29</v>
      </c>
      <c r="H387" t="s">
        <v>17</v>
      </c>
      <c r="I387" s="2">
        <v>17776</v>
      </c>
      <c r="J387" t="b">
        <v>1</v>
      </c>
      <c r="K387" t="b">
        <v>1</v>
      </c>
      <c r="L387" t="b">
        <v>1</v>
      </c>
      <c r="M387" t="str">
        <f t="shared" si="12"/>
        <v>INSTAGRAM</v>
      </c>
      <c r="N387" t="str">
        <f t="shared" si="13"/>
        <v>Rural-INSTAGRAM</v>
      </c>
      <c r="O387">
        <v>17776</v>
      </c>
    </row>
    <row r="388" spans="1:15" x14ac:dyDescent="0.3">
      <c r="A388">
        <v>37</v>
      </c>
      <c r="B388" t="s">
        <v>12</v>
      </c>
      <c r="C388" s="1">
        <v>3</v>
      </c>
      <c r="D388" t="s">
        <v>19</v>
      </c>
      <c r="E388" t="s">
        <v>14</v>
      </c>
      <c r="F388" t="s">
        <v>15</v>
      </c>
      <c r="G388" t="s">
        <v>29</v>
      </c>
      <c r="H388" t="s">
        <v>21</v>
      </c>
      <c r="I388" s="2">
        <v>18558</v>
      </c>
      <c r="J388" t="b">
        <v>1</v>
      </c>
      <c r="K388" t="b">
        <v>0</v>
      </c>
      <c r="L388" t="b">
        <v>1</v>
      </c>
      <c r="M388" t="str">
        <f t="shared" si="12"/>
        <v>FACEBOOK</v>
      </c>
      <c r="N388" t="str">
        <f t="shared" si="13"/>
        <v>Rural-FACEBOOK</v>
      </c>
      <c r="O388">
        <v>18558</v>
      </c>
    </row>
    <row r="389" spans="1:15" x14ac:dyDescent="0.3">
      <c r="A389">
        <v>18</v>
      </c>
      <c r="B389" t="s">
        <v>18</v>
      </c>
      <c r="C389" s="1">
        <v>3</v>
      </c>
      <c r="D389" t="s">
        <v>28</v>
      </c>
      <c r="E389" t="s">
        <v>20</v>
      </c>
      <c r="F389" t="s">
        <v>15</v>
      </c>
      <c r="G389" t="s">
        <v>16</v>
      </c>
      <c r="H389" t="s">
        <v>24</v>
      </c>
      <c r="I389" s="2">
        <v>18719</v>
      </c>
      <c r="J389" t="b">
        <v>1</v>
      </c>
      <c r="K389" t="b">
        <v>0</v>
      </c>
      <c r="L389" t="b">
        <v>1</v>
      </c>
      <c r="M389" t="str">
        <f t="shared" si="12"/>
        <v>YOUTUBE</v>
      </c>
      <c r="N389" t="str">
        <f t="shared" si="13"/>
        <v>Urban-YOUTUBE</v>
      </c>
      <c r="O389">
        <v>18719</v>
      </c>
    </row>
    <row r="390" spans="1:15" x14ac:dyDescent="0.3">
      <c r="A390">
        <v>25</v>
      </c>
      <c r="B390" t="s">
        <v>18</v>
      </c>
      <c r="C390" s="1">
        <v>9</v>
      </c>
      <c r="D390" t="s">
        <v>28</v>
      </c>
      <c r="E390" t="s">
        <v>26</v>
      </c>
      <c r="F390" t="s">
        <v>27</v>
      </c>
      <c r="G390" t="s">
        <v>23</v>
      </c>
      <c r="H390" t="s">
        <v>24</v>
      </c>
      <c r="I390" s="2">
        <v>14886</v>
      </c>
      <c r="J390" t="b">
        <v>0</v>
      </c>
      <c r="K390" t="b">
        <v>0</v>
      </c>
      <c r="L390" t="b">
        <v>0</v>
      </c>
      <c r="M390" t="str">
        <f t="shared" si="12"/>
        <v>YOUTUBE</v>
      </c>
      <c r="N390" t="str">
        <f t="shared" si="13"/>
        <v>Sub_Urban-YOUTUBE</v>
      </c>
      <c r="O390">
        <v>14886</v>
      </c>
    </row>
    <row r="391" spans="1:15" x14ac:dyDescent="0.3">
      <c r="A391">
        <v>63</v>
      </c>
      <c r="B391" t="s">
        <v>18</v>
      </c>
      <c r="C391" s="1">
        <v>6</v>
      </c>
      <c r="D391" t="s">
        <v>13</v>
      </c>
      <c r="E391" t="s">
        <v>14</v>
      </c>
      <c r="F391" t="s">
        <v>22</v>
      </c>
      <c r="G391" t="s">
        <v>29</v>
      </c>
      <c r="H391" t="s">
        <v>21</v>
      </c>
      <c r="I391" s="2">
        <v>13935</v>
      </c>
      <c r="J391" t="b">
        <v>1</v>
      </c>
      <c r="K391" t="b">
        <v>1</v>
      </c>
      <c r="L391" t="b">
        <v>0</v>
      </c>
      <c r="M391" t="str">
        <f t="shared" si="12"/>
        <v>INSTAGRAM</v>
      </c>
      <c r="N391" t="str">
        <f t="shared" si="13"/>
        <v>Rural-INSTAGRAM</v>
      </c>
      <c r="O391">
        <v>13935</v>
      </c>
    </row>
    <row r="392" spans="1:15" x14ac:dyDescent="0.3">
      <c r="A392">
        <v>33</v>
      </c>
      <c r="B392" t="s">
        <v>18</v>
      </c>
      <c r="C392" s="1">
        <v>9</v>
      </c>
      <c r="D392" t="s">
        <v>13</v>
      </c>
      <c r="E392" t="s">
        <v>26</v>
      </c>
      <c r="F392" t="s">
        <v>27</v>
      </c>
      <c r="G392" t="s">
        <v>29</v>
      </c>
      <c r="H392" t="s">
        <v>24</v>
      </c>
      <c r="I392" s="2">
        <v>14619</v>
      </c>
      <c r="J392" t="b">
        <v>0</v>
      </c>
      <c r="K392" t="b">
        <v>0</v>
      </c>
      <c r="L392" t="b">
        <v>0</v>
      </c>
      <c r="M392" t="str">
        <f t="shared" si="12"/>
        <v>INSTAGRAM</v>
      </c>
      <c r="N392" t="str">
        <f t="shared" si="13"/>
        <v>Rural-INSTAGRAM</v>
      </c>
      <c r="O392">
        <v>14619</v>
      </c>
    </row>
    <row r="393" spans="1:15" x14ac:dyDescent="0.3">
      <c r="A393">
        <v>31</v>
      </c>
      <c r="B393" t="s">
        <v>18</v>
      </c>
      <c r="C393" s="1">
        <v>5</v>
      </c>
      <c r="D393" t="s">
        <v>13</v>
      </c>
      <c r="E393" t="s">
        <v>14</v>
      </c>
      <c r="F393" t="s">
        <v>15</v>
      </c>
      <c r="G393" t="s">
        <v>29</v>
      </c>
      <c r="H393" t="s">
        <v>17</v>
      </c>
      <c r="I393" s="2">
        <v>15191</v>
      </c>
      <c r="J393" t="b">
        <v>1</v>
      </c>
      <c r="K393" t="b">
        <v>0</v>
      </c>
      <c r="L393" t="b">
        <v>0</v>
      </c>
      <c r="M393" t="str">
        <f t="shared" si="12"/>
        <v>INSTAGRAM</v>
      </c>
      <c r="N393" t="str">
        <f t="shared" si="13"/>
        <v>Rural-INSTAGRAM</v>
      </c>
      <c r="O393">
        <v>15191</v>
      </c>
    </row>
    <row r="394" spans="1:15" x14ac:dyDescent="0.3">
      <c r="A394">
        <v>29</v>
      </c>
      <c r="B394" t="s">
        <v>25</v>
      </c>
      <c r="C394" s="1">
        <v>2</v>
      </c>
      <c r="D394" t="s">
        <v>19</v>
      </c>
      <c r="E394" t="s">
        <v>14</v>
      </c>
      <c r="F394" t="s">
        <v>15</v>
      </c>
      <c r="G394" t="s">
        <v>23</v>
      </c>
      <c r="H394" t="s">
        <v>21</v>
      </c>
      <c r="I394" s="2">
        <v>16875</v>
      </c>
      <c r="J394" t="b">
        <v>0</v>
      </c>
      <c r="K394" t="b">
        <v>1</v>
      </c>
      <c r="L394" t="b">
        <v>0</v>
      </c>
      <c r="M394" t="str">
        <f t="shared" si="12"/>
        <v>FACEBOOK</v>
      </c>
      <c r="N394" t="str">
        <f t="shared" si="13"/>
        <v>Sub_Urban-FACEBOOK</v>
      </c>
      <c r="O394">
        <v>16875</v>
      </c>
    </row>
    <row r="395" spans="1:15" x14ac:dyDescent="0.3">
      <c r="A395">
        <v>40</v>
      </c>
      <c r="B395" t="s">
        <v>12</v>
      </c>
      <c r="C395" s="1">
        <v>8</v>
      </c>
      <c r="D395" t="s">
        <v>19</v>
      </c>
      <c r="E395" t="s">
        <v>20</v>
      </c>
      <c r="F395" t="s">
        <v>22</v>
      </c>
      <c r="G395" t="s">
        <v>29</v>
      </c>
      <c r="H395" t="s">
        <v>17</v>
      </c>
      <c r="I395" s="2">
        <v>17856</v>
      </c>
      <c r="J395" t="b">
        <v>1</v>
      </c>
      <c r="K395" t="b">
        <v>0</v>
      </c>
      <c r="L395" t="b">
        <v>0</v>
      </c>
      <c r="M395" t="str">
        <f t="shared" si="12"/>
        <v>FACEBOOK</v>
      </c>
      <c r="N395" t="str">
        <f t="shared" si="13"/>
        <v>Rural-FACEBOOK</v>
      </c>
      <c r="O395">
        <v>17856</v>
      </c>
    </row>
    <row r="396" spans="1:15" x14ac:dyDescent="0.3">
      <c r="A396">
        <v>32</v>
      </c>
      <c r="B396" t="s">
        <v>25</v>
      </c>
      <c r="C396" s="1">
        <v>5</v>
      </c>
      <c r="D396" t="s">
        <v>19</v>
      </c>
      <c r="E396" t="s">
        <v>14</v>
      </c>
      <c r="F396" t="s">
        <v>27</v>
      </c>
      <c r="G396" t="s">
        <v>23</v>
      </c>
      <c r="H396" t="s">
        <v>17</v>
      </c>
      <c r="I396" s="2">
        <v>15401</v>
      </c>
      <c r="J396" t="b">
        <v>1</v>
      </c>
      <c r="K396" t="b">
        <v>1</v>
      </c>
      <c r="L396" t="b">
        <v>0</v>
      </c>
      <c r="M396" t="str">
        <f t="shared" si="12"/>
        <v>FACEBOOK</v>
      </c>
      <c r="N396" t="str">
        <f t="shared" si="13"/>
        <v>Sub_Urban-FACEBOOK</v>
      </c>
      <c r="O396">
        <v>15401</v>
      </c>
    </row>
    <row r="397" spans="1:15" x14ac:dyDescent="0.3">
      <c r="A397">
        <v>45</v>
      </c>
      <c r="B397" t="s">
        <v>12</v>
      </c>
      <c r="C397" s="1">
        <v>2</v>
      </c>
      <c r="D397" t="s">
        <v>13</v>
      </c>
      <c r="E397" t="s">
        <v>14</v>
      </c>
      <c r="F397" t="s">
        <v>15</v>
      </c>
      <c r="G397" t="s">
        <v>29</v>
      </c>
      <c r="H397" t="s">
        <v>17</v>
      </c>
      <c r="I397" s="2">
        <v>13022</v>
      </c>
      <c r="J397" t="b">
        <v>0</v>
      </c>
      <c r="K397" t="b">
        <v>0</v>
      </c>
      <c r="L397" t="b">
        <v>1</v>
      </c>
      <c r="M397" t="str">
        <f t="shared" si="12"/>
        <v>INSTAGRAM</v>
      </c>
      <c r="N397" t="str">
        <f t="shared" si="13"/>
        <v>Rural-INSTAGRAM</v>
      </c>
      <c r="O397">
        <v>13022</v>
      </c>
    </row>
    <row r="398" spans="1:15" x14ac:dyDescent="0.3">
      <c r="A398">
        <v>51</v>
      </c>
      <c r="B398" t="s">
        <v>25</v>
      </c>
      <c r="C398" s="1">
        <v>4</v>
      </c>
      <c r="D398" t="s">
        <v>28</v>
      </c>
      <c r="E398" t="s">
        <v>20</v>
      </c>
      <c r="F398" t="s">
        <v>22</v>
      </c>
      <c r="G398" t="s">
        <v>23</v>
      </c>
      <c r="H398" t="s">
        <v>21</v>
      </c>
      <c r="I398" s="2">
        <v>15738</v>
      </c>
      <c r="J398" t="b">
        <v>1</v>
      </c>
      <c r="K398" t="b">
        <v>1</v>
      </c>
      <c r="L398" t="b">
        <v>1</v>
      </c>
      <c r="M398" t="str">
        <f t="shared" si="12"/>
        <v>YOUTUBE</v>
      </c>
      <c r="N398" t="str">
        <f t="shared" si="13"/>
        <v>Sub_Urban-YOUTUBE</v>
      </c>
      <c r="O398">
        <v>15738</v>
      </c>
    </row>
    <row r="399" spans="1:15" x14ac:dyDescent="0.3">
      <c r="A399">
        <v>19</v>
      </c>
      <c r="B399" t="s">
        <v>18</v>
      </c>
      <c r="C399" s="1">
        <v>9</v>
      </c>
      <c r="D399" t="s">
        <v>28</v>
      </c>
      <c r="E399" t="s">
        <v>26</v>
      </c>
      <c r="F399" t="s">
        <v>27</v>
      </c>
      <c r="G399" t="s">
        <v>29</v>
      </c>
      <c r="H399" t="s">
        <v>24</v>
      </c>
      <c r="I399" s="2">
        <v>15984</v>
      </c>
      <c r="J399" t="b">
        <v>1</v>
      </c>
      <c r="K399" t="b">
        <v>0</v>
      </c>
      <c r="L399" t="b">
        <v>0</v>
      </c>
      <c r="M399" t="str">
        <f t="shared" si="12"/>
        <v>YOUTUBE</v>
      </c>
      <c r="N399" t="str">
        <f t="shared" si="13"/>
        <v>Rural-YOUTUBE</v>
      </c>
      <c r="O399">
        <v>15984</v>
      </c>
    </row>
    <row r="400" spans="1:15" x14ac:dyDescent="0.3">
      <c r="A400">
        <v>49</v>
      </c>
      <c r="B400" t="s">
        <v>12</v>
      </c>
      <c r="C400" s="1">
        <v>4</v>
      </c>
      <c r="D400" t="s">
        <v>19</v>
      </c>
      <c r="E400" t="s">
        <v>14</v>
      </c>
      <c r="F400" t="s">
        <v>27</v>
      </c>
      <c r="G400" t="s">
        <v>16</v>
      </c>
      <c r="H400" t="s">
        <v>17</v>
      </c>
      <c r="I400" s="2">
        <v>11770</v>
      </c>
      <c r="J400" t="b">
        <v>0</v>
      </c>
      <c r="K400" t="b">
        <v>0</v>
      </c>
      <c r="L400" t="b">
        <v>1</v>
      </c>
      <c r="M400" t="str">
        <f t="shared" si="12"/>
        <v>FACEBOOK</v>
      </c>
      <c r="N400" t="str">
        <f t="shared" si="13"/>
        <v>Urban-FACEBOOK</v>
      </c>
      <c r="O400">
        <v>11770</v>
      </c>
    </row>
    <row r="401" spans="1:15" x14ac:dyDescent="0.3">
      <c r="A401">
        <v>40</v>
      </c>
      <c r="B401" t="s">
        <v>12</v>
      </c>
      <c r="C401" s="1">
        <v>4</v>
      </c>
      <c r="D401" t="s">
        <v>19</v>
      </c>
      <c r="E401" t="s">
        <v>20</v>
      </c>
      <c r="F401" t="s">
        <v>15</v>
      </c>
      <c r="G401" t="s">
        <v>16</v>
      </c>
      <c r="H401" t="s">
        <v>17</v>
      </c>
      <c r="I401" s="2">
        <v>19969</v>
      </c>
      <c r="J401" t="b">
        <v>1</v>
      </c>
      <c r="K401" t="b">
        <v>0</v>
      </c>
      <c r="L401" t="b">
        <v>1</v>
      </c>
      <c r="M401" t="str">
        <f t="shared" si="12"/>
        <v>FACEBOOK</v>
      </c>
      <c r="N401" t="str">
        <f t="shared" si="13"/>
        <v>Urban-FACEBOOK</v>
      </c>
      <c r="O401">
        <v>19969</v>
      </c>
    </row>
    <row r="402" spans="1:15" x14ac:dyDescent="0.3">
      <c r="A402">
        <v>39</v>
      </c>
      <c r="B402" t="s">
        <v>25</v>
      </c>
      <c r="C402" s="1">
        <v>2</v>
      </c>
      <c r="D402" t="s">
        <v>28</v>
      </c>
      <c r="E402" t="s">
        <v>14</v>
      </c>
      <c r="F402" t="s">
        <v>15</v>
      </c>
      <c r="G402" t="s">
        <v>16</v>
      </c>
      <c r="H402" t="s">
        <v>17</v>
      </c>
      <c r="I402" s="2">
        <v>18989</v>
      </c>
      <c r="J402" t="b">
        <v>0</v>
      </c>
      <c r="K402" t="b">
        <v>1</v>
      </c>
      <c r="L402" t="b">
        <v>1</v>
      </c>
      <c r="M402" t="str">
        <f t="shared" si="12"/>
        <v>YOUTUBE</v>
      </c>
      <c r="N402" t="str">
        <f t="shared" si="13"/>
        <v>Urban-YOUTUBE</v>
      </c>
      <c r="O402">
        <v>18989</v>
      </c>
    </row>
    <row r="403" spans="1:15" x14ac:dyDescent="0.3">
      <c r="A403">
        <v>42</v>
      </c>
      <c r="B403" t="s">
        <v>25</v>
      </c>
      <c r="C403" s="1">
        <v>6</v>
      </c>
      <c r="D403" t="s">
        <v>28</v>
      </c>
      <c r="E403" t="s">
        <v>20</v>
      </c>
      <c r="F403" t="s">
        <v>27</v>
      </c>
      <c r="G403" t="s">
        <v>16</v>
      </c>
      <c r="H403" t="s">
        <v>24</v>
      </c>
      <c r="I403" s="2">
        <v>13215</v>
      </c>
      <c r="J403" t="b">
        <v>1</v>
      </c>
      <c r="K403" t="b">
        <v>0</v>
      </c>
      <c r="L403" t="b">
        <v>1</v>
      </c>
      <c r="M403" t="str">
        <f t="shared" si="12"/>
        <v>YOUTUBE</v>
      </c>
      <c r="N403" t="str">
        <f t="shared" si="13"/>
        <v>Urban-YOUTUBE</v>
      </c>
      <c r="O403">
        <v>13215</v>
      </c>
    </row>
    <row r="404" spans="1:15" x14ac:dyDescent="0.3">
      <c r="A404">
        <v>39</v>
      </c>
      <c r="B404" t="s">
        <v>12</v>
      </c>
      <c r="C404" s="1">
        <v>2</v>
      </c>
      <c r="D404" t="s">
        <v>19</v>
      </c>
      <c r="E404" t="s">
        <v>26</v>
      </c>
      <c r="F404" t="s">
        <v>27</v>
      </c>
      <c r="G404" t="s">
        <v>29</v>
      </c>
      <c r="H404" t="s">
        <v>24</v>
      </c>
      <c r="I404" s="2">
        <v>16694</v>
      </c>
      <c r="J404" t="b">
        <v>0</v>
      </c>
      <c r="K404" t="b">
        <v>1</v>
      </c>
      <c r="L404" t="b">
        <v>1</v>
      </c>
      <c r="M404" t="str">
        <f t="shared" si="12"/>
        <v>FACEBOOK</v>
      </c>
      <c r="N404" t="str">
        <f t="shared" si="13"/>
        <v>Rural-FACEBOOK</v>
      </c>
      <c r="O404">
        <v>16694</v>
      </c>
    </row>
    <row r="405" spans="1:15" x14ac:dyDescent="0.3">
      <c r="A405">
        <v>39</v>
      </c>
      <c r="B405" t="s">
        <v>25</v>
      </c>
      <c r="C405" s="1">
        <v>7</v>
      </c>
      <c r="D405" t="s">
        <v>19</v>
      </c>
      <c r="E405" t="s">
        <v>26</v>
      </c>
      <c r="F405" t="s">
        <v>15</v>
      </c>
      <c r="G405" t="s">
        <v>16</v>
      </c>
      <c r="H405" t="s">
        <v>21</v>
      </c>
      <c r="I405" s="2">
        <v>12976</v>
      </c>
      <c r="J405" t="b">
        <v>0</v>
      </c>
      <c r="K405" t="b">
        <v>1</v>
      </c>
      <c r="L405" t="b">
        <v>0</v>
      </c>
      <c r="M405" t="str">
        <f t="shared" si="12"/>
        <v>FACEBOOK</v>
      </c>
      <c r="N405" t="str">
        <f t="shared" si="13"/>
        <v>Urban-FACEBOOK</v>
      </c>
      <c r="O405">
        <v>12976</v>
      </c>
    </row>
    <row r="406" spans="1:15" x14ac:dyDescent="0.3">
      <c r="A406">
        <v>59</v>
      </c>
      <c r="B406" t="s">
        <v>25</v>
      </c>
      <c r="C406" s="1">
        <v>3</v>
      </c>
      <c r="D406" t="s">
        <v>28</v>
      </c>
      <c r="E406" t="s">
        <v>20</v>
      </c>
      <c r="F406" t="s">
        <v>27</v>
      </c>
      <c r="G406" t="s">
        <v>23</v>
      </c>
      <c r="H406" t="s">
        <v>24</v>
      </c>
      <c r="I406" s="2">
        <v>13737</v>
      </c>
      <c r="J406" t="b">
        <v>0</v>
      </c>
      <c r="K406" t="b">
        <v>1</v>
      </c>
      <c r="L406" t="b">
        <v>1</v>
      </c>
      <c r="M406" t="str">
        <f t="shared" si="12"/>
        <v>YOUTUBE</v>
      </c>
      <c r="N406" t="str">
        <f t="shared" si="13"/>
        <v>Sub_Urban-YOUTUBE</v>
      </c>
      <c r="O406">
        <v>13737</v>
      </c>
    </row>
    <row r="407" spans="1:15" x14ac:dyDescent="0.3">
      <c r="A407">
        <v>23</v>
      </c>
      <c r="B407" t="s">
        <v>25</v>
      </c>
      <c r="C407" s="1">
        <v>3</v>
      </c>
      <c r="D407" t="s">
        <v>13</v>
      </c>
      <c r="E407" t="s">
        <v>20</v>
      </c>
      <c r="F407" t="s">
        <v>15</v>
      </c>
      <c r="G407" t="s">
        <v>16</v>
      </c>
      <c r="H407" t="s">
        <v>21</v>
      </c>
      <c r="I407" s="2">
        <v>19903</v>
      </c>
      <c r="J407" t="b">
        <v>0</v>
      </c>
      <c r="K407" t="b">
        <v>1</v>
      </c>
      <c r="L407" t="b">
        <v>0</v>
      </c>
      <c r="M407" t="str">
        <f t="shared" si="12"/>
        <v>INSTAGRAM</v>
      </c>
      <c r="N407" t="str">
        <f t="shared" si="13"/>
        <v>Urban-INSTAGRAM</v>
      </c>
      <c r="O407">
        <v>19903</v>
      </c>
    </row>
    <row r="408" spans="1:15" x14ac:dyDescent="0.3">
      <c r="A408">
        <v>32</v>
      </c>
      <c r="B408" t="s">
        <v>18</v>
      </c>
      <c r="C408" s="1">
        <v>5</v>
      </c>
      <c r="D408" t="s">
        <v>19</v>
      </c>
      <c r="E408" t="s">
        <v>20</v>
      </c>
      <c r="F408" t="s">
        <v>27</v>
      </c>
      <c r="G408" t="s">
        <v>16</v>
      </c>
      <c r="H408" t="s">
        <v>21</v>
      </c>
      <c r="I408" s="2">
        <v>10752</v>
      </c>
      <c r="J408" t="b">
        <v>1</v>
      </c>
      <c r="K408" t="b">
        <v>0</v>
      </c>
      <c r="L408" t="b">
        <v>0</v>
      </c>
      <c r="M408" t="str">
        <f t="shared" si="12"/>
        <v>FACEBOOK</v>
      </c>
      <c r="N408" t="str">
        <f t="shared" si="13"/>
        <v>Urban-FACEBOOK</v>
      </c>
      <c r="O408">
        <v>10752</v>
      </c>
    </row>
    <row r="409" spans="1:15" x14ac:dyDescent="0.3">
      <c r="A409">
        <v>60</v>
      </c>
      <c r="B409" t="s">
        <v>18</v>
      </c>
      <c r="C409" s="1">
        <v>3</v>
      </c>
      <c r="D409" t="s">
        <v>28</v>
      </c>
      <c r="E409" t="s">
        <v>26</v>
      </c>
      <c r="F409" t="s">
        <v>15</v>
      </c>
      <c r="G409" t="s">
        <v>16</v>
      </c>
      <c r="H409" t="s">
        <v>21</v>
      </c>
      <c r="I409" s="2">
        <v>11392</v>
      </c>
      <c r="J409" t="b">
        <v>1</v>
      </c>
      <c r="K409" t="b">
        <v>0</v>
      </c>
      <c r="L409" t="b">
        <v>0</v>
      </c>
      <c r="M409" t="str">
        <f t="shared" si="12"/>
        <v>YOUTUBE</v>
      </c>
      <c r="N409" t="str">
        <f t="shared" si="13"/>
        <v>Urban-YOUTUBE</v>
      </c>
      <c r="O409">
        <v>11392</v>
      </c>
    </row>
    <row r="410" spans="1:15" x14ac:dyDescent="0.3">
      <c r="A410">
        <v>54</v>
      </c>
      <c r="B410" t="s">
        <v>25</v>
      </c>
      <c r="C410" s="1">
        <v>2</v>
      </c>
      <c r="D410" t="s">
        <v>28</v>
      </c>
      <c r="E410" t="s">
        <v>14</v>
      </c>
      <c r="F410" t="s">
        <v>22</v>
      </c>
      <c r="G410" t="s">
        <v>29</v>
      </c>
      <c r="H410" t="s">
        <v>21</v>
      </c>
      <c r="I410" s="2">
        <v>16789</v>
      </c>
      <c r="J410" t="b">
        <v>0</v>
      </c>
      <c r="K410" t="b">
        <v>0</v>
      </c>
      <c r="L410" t="b">
        <v>1</v>
      </c>
      <c r="M410" t="str">
        <f t="shared" si="12"/>
        <v>YOUTUBE</v>
      </c>
      <c r="N410" t="str">
        <f t="shared" si="13"/>
        <v>Rural-YOUTUBE</v>
      </c>
      <c r="O410">
        <v>16789</v>
      </c>
    </row>
    <row r="411" spans="1:15" x14ac:dyDescent="0.3">
      <c r="A411">
        <v>50</v>
      </c>
      <c r="B411" t="s">
        <v>25</v>
      </c>
      <c r="C411" s="1">
        <v>9</v>
      </c>
      <c r="D411" t="s">
        <v>28</v>
      </c>
      <c r="E411" t="s">
        <v>26</v>
      </c>
      <c r="F411" t="s">
        <v>15</v>
      </c>
      <c r="G411" t="s">
        <v>16</v>
      </c>
      <c r="H411" t="s">
        <v>21</v>
      </c>
      <c r="I411" s="2">
        <v>10677</v>
      </c>
      <c r="J411" t="b">
        <v>1</v>
      </c>
      <c r="K411" t="b">
        <v>1</v>
      </c>
      <c r="L411" t="b">
        <v>0</v>
      </c>
      <c r="M411" t="str">
        <f t="shared" si="12"/>
        <v>YOUTUBE</v>
      </c>
      <c r="N411" t="str">
        <f t="shared" si="13"/>
        <v>Urban-YOUTUBE</v>
      </c>
      <c r="O411">
        <v>10677</v>
      </c>
    </row>
    <row r="412" spans="1:15" x14ac:dyDescent="0.3">
      <c r="A412">
        <v>25</v>
      </c>
      <c r="B412" t="s">
        <v>18</v>
      </c>
      <c r="C412" s="1">
        <v>2</v>
      </c>
      <c r="D412" t="s">
        <v>28</v>
      </c>
      <c r="E412" t="s">
        <v>20</v>
      </c>
      <c r="F412" t="s">
        <v>15</v>
      </c>
      <c r="G412" t="s">
        <v>23</v>
      </c>
      <c r="H412" t="s">
        <v>17</v>
      </c>
      <c r="I412" s="2">
        <v>10105</v>
      </c>
      <c r="J412" t="b">
        <v>1</v>
      </c>
      <c r="K412" t="b">
        <v>0</v>
      </c>
      <c r="L412" t="b">
        <v>0</v>
      </c>
      <c r="M412" t="str">
        <f t="shared" si="12"/>
        <v>YOUTUBE</v>
      </c>
      <c r="N412" t="str">
        <f t="shared" si="13"/>
        <v>Sub_Urban-YOUTUBE</v>
      </c>
      <c r="O412">
        <v>10105</v>
      </c>
    </row>
    <row r="413" spans="1:15" x14ac:dyDescent="0.3">
      <c r="A413">
        <v>61</v>
      </c>
      <c r="B413" t="s">
        <v>18</v>
      </c>
      <c r="C413" s="1">
        <v>2</v>
      </c>
      <c r="D413" t="s">
        <v>13</v>
      </c>
      <c r="E413" t="s">
        <v>20</v>
      </c>
      <c r="F413" t="s">
        <v>22</v>
      </c>
      <c r="G413" t="s">
        <v>16</v>
      </c>
      <c r="H413" t="s">
        <v>24</v>
      </c>
      <c r="I413" s="2">
        <v>14753</v>
      </c>
      <c r="J413" t="b">
        <v>1</v>
      </c>
      <c r="K413" t="b">
        <v>1</v>
      </c>
      <c r="L413" t="b">
        <v>0</v>
      </c>
      <c r="M413" t="str">
        <f t="shared" si="12"/>
        <v>INSTAGRAM</v>
      </c>
      <c r="N413" t="str">
        <f t="shared" si="13"/>
        <v>Urban-INSTAGRAM</v>
      </c>
      <c r="O413">
        <v>14753</v>
      </c>
    </row>
    <row r="414" spans="1:15" x14ac:dyDescent="0.3">
      <c r="A414">
        <v>61</v>
      </c>
      <c r="B414" t="s">
        <v>12</v>
      </c>
      <c r="C414" s="1">
        <v>8</v>
      </c>
      <c r="D414" t="s">
        <v>28</v>
      </c>
      <c r="E414" t="s">
        <v>26</v>
      </c>
      <c r="F414" t="s">
        <v>27</v>
      </c>
      <c r="G414" t="s">
        <v>16</v>
      </c>
      <c r="H414" t="s">
        <v>17</v>
      </c>
      <c r="I414" s="2">
        <v>11946</v>
      </c>
      <c r="J414" t="b">
        <v>0</v>
      </c>
      <c r="K414" t="b">
        <v>1</v>
      </c>
      <c r="L414" t="b">
        <v>0</v>
      </c>
      <c r="M414" t="str">
        <f t="shared" si="12"/>
        <v>YOUTUBE</v>
      </c>
      <c r="N414" t="str">
        <f t="shared" si="13"/>
        <v>Urban-YOUTUBE</v>
      </c>
      <c r="O414">
        <v>11946</v>
      </c>
    </row>
    <row r="415" spans="1:15" x14ac:dyDescent="0.3">
      <c r="A415">
        <v>22</v>
      </c>
      <c r="B415" t="s">
        <v>12</v>
      </c>
      <c r="C415" s="1">
        <v>9</v>
      </c>
      <c r="D415" t="s">
        <v>19</v>
      </c>
      <c r="E415" t="s">
        <v>20</v>
      </c>
      <c r="F415" t="s">
        <v>22</v>
      </c>
      <c r="G415" t="s">
        <v>16</v>
      </c>
      <c r="H415" t="s">
        <v>21</v>
      </c>
      <c r="I415" s="2">
        <v>15544</v>
      </c>
      <c r="J415" t="b">
        <v>1</v>
      </c>
      <c r="K415" t="b">
        <v>1</v>
      </c>
      <c r="L415" t="b">
        <v>1</v>
      </c>
      <c r="M415" t="str">
        <f t="shared" si="12"/>
        <v>FACEBOOK</v>
      </c>
      <c r="N415" t="str">
        <f t="shared" si="13"/>
        <v>Urban-FACEBOOK</v>
      </c>
      <c r="O415">
        <v>15544</v>
      </c>
    </row>
    <row r="416" spans="1:15" x14ac:dyDescent="0.3">
      <c r="A416">
        <v>56</v>
      </c>
      <c r="B416" t="s">
        <v>18</v>
      </c>
      <c r="C416" s="1">
        <v>7</v>
      </c>
      <c r="D416" t="s">
        <v>13</v>
      </c>
      <c r="E416" t="s">
        <v>26</v>
      </c>
      <c r="F416" t="s">
        <v>15</v>
      </c>
      <c r="G416" t="s">
        <v>23</v>
      </c>
      <c r="H416" t="s">
        <v>24</v>
      </c>
      <c r="I416" s="2">
        <v>11095</v>
      </c>
      <c r="J416" t="b">
        <v>1</v>
      </c>
      <c r="K416" t="b">
        <v>0</v>
      </c>
      <c r="L416" t="b">
        <v>0</v>
      </c>
      <c r="M416" t="str">
        <f t="shared" si="12"/>
        <v>INSTAGRAM</v>
      </c>
      <c r="N416" t="str">
        <f t="shared" si="13"/>
        <v>Sub_Urban-INSTAGRAM</v>
      </c>
      <c r="O416">
        <v>11095</v>
      </c>
    </row>
    <row r="417" spans="1:15" x14ac:dyDescent="0.3">
      <c r="A417">
        <v>21</v>
      </c>
      <c r="B417" t="s">
        <v>25</v>
      </c>
      <c r="C417" s="1">
        <v>3</v>
      </c>
      <c r="D417" t="s">
        <v>28</v>
      </c>
      <c r="E417" t="s">
        <v>20</v>
      </c>
      <c r="F417" t="s">
        <v>27</v>
      </c>
      <c r="G417" t="s">
        <v>16</v>
      </c>
      <c r="H417" t="s">
        <v>17</v>
      </c>
      <c r="I417" s="2">
        <v>16985</v>
      </c>
      <c r="J417" t="b">
        <v>0</v>
      </c>
      <c r="K417" t="b">
        <v>0</v>
      </c>
      <c r="L417" t="b">
        <v>0</v>
      </c>
      <c r="M417" t="str">
        <f t="shared" si="12"/>
        <v>YOUTUBE</v>
      </c>
      <c r="N417" t="str">
        <f t="shared" si="13"/>
        <v>Urban-YOUTUBE</v>
      </c>
      <c r="O417">
        <v>16985</v>
      </c>
    </row>
    <row r="418" spans="1:15" x14ac:dyDescent="0.3">
      <c r="A418">
        <v>23</v>
      </c>
      <c r="B418" t="s">
        <v>25</v>
      </c>
      <c r="C418" s="1">
        <v>9</v>
      </c>
      <c r="D418" t="s">
        <v>13</v>
      </c>
      <c r="E418" t="s">
        <v>14</v>
      </c>
      <c r="F418" t="s">
        <v>22</v>
      </c>
      <c r="G418" t="s">
        <v>23</v>
      </c>
      <c r="H418" t="s">
        <v>17</v>
      </c>
      <c r="I418" s="2">
        <v>11782</v>
      </c>
      <c r="J418" t="b">
        <v>1</v>
      </c>
      <c r="K418" t="b">
        <v>1</v>
      </c>
      <c r="L418" t="b">
        <v>0</v>
      </c>
      <c r="M418" t="str">
        <f t="shared" si="12"/>
        <v>INSTAGRAM</v>
      </c>
      <c r="N418" t="str">
        <f t="shared" si="13"/>
        <v>Sub_Urban-INSTAGRAM</v>
      </c>
      <c r="O418">
        <v>11782</v>
      </c>
    </row>
    <row r="419" spans="1:15" x14ac:dyDescent="0.3">
      <c r="A419">
        <v>62</v>
      </c>
      <c r="B419" t="s">
        <v>25</v>
      </c>
      <c r="C419" s="1">
        <v>3</v>
      </c>
      <c r="D419" t="s">
        <v>19</v>
      </c>
      <c r="E419" t="s">
        <v>14</v>
      </c>
      <c r="F419" t="s">
        <v>27</v>
      </c>
      <c r="G419" t="s">
        <v>23</v>
      </c>
      <c r="H419" t="s">
        <v>21</v>
      </c>
      <c r="I419" s="2">
        <v>14541</v>
      </c>
      <c r="J419" t="b">
        <v>0</v>
      </c>
      <c r="K419" t="b">
        <v>0</v>
      </c>
      <c r="L419" t="b">
        <v>0</v>
      </c>
      <c r="M419" t="str">
        <f t="shared" si="12"/>
        <v>FACEBOOK</v>
      </c>
      <c r="N419" t="str">
        <f t="shared" si="13"/>
        <v>Sub_Urban-FACEBOOK</v>
      </c>
      <c r="O419">
        <v>14541</v>
      </c>
    </row>
    <row r="420" spans="1:15" x14ac:dyDescent="0.3">
      <c r="A420">
        <v>49</v>
      </c>
      <c r="B420" t="s">
        <v>25</v>
      </c>
      <c r="C420" s="1">
        <v>5</v>
      </c>
      <c r="D420" t="s">
        <v>28</v>
      </c>
      <c r="E420" t="s">
        <v>20</v>
      </c>
      <c r="F420" t="s">
        <v>27</v>
      </c>
      <c r="G420" t="s">
        <v>16</v>
      </c>
      <c r="H420" t="s">
        <v>17</v>
      </c>
      <c r="I420" s="2">
        <v>13257</v>
      </c>
      <c r="J420" t="b">
        <v>0</v>
      </c>
      <c r="K420" t="b">
        <v>0</v>
      </c>
      <c r="L420" t="b">
        <v>1</v>
      </c>
      <c r="M420" t="str">
        <f t="shared" si="12"/>
        <v>YOUTUBE</v>
      </c>
      <c r="N420" t="str">
        <f t="shared" si="13"/>
        <v>Urban-YOUTUBE</v>
      </c>
      <c r="O420">
        <v>13257</v>
      </c>
    </row>
    <row r="421" spans="1:15" x14ac:dyDescent="0.3">
      <c r="A421">
        <v>47</v>
      </c>
      <c r="B421" t="s">
        <v>12</v>
      </c>
      <c r="C421" s="1">
        <v>9</v>
      </c>
      <c r="D421" t="s">
        <v>19</v>
      </c>
      <c r="E421" t="s">
        <v>26</v>
      </c>
      <c r="F421" t="s">
        <v>22</v>
      </c>
      <c r="G421" t="s">
        <v>23</v>
      </c>
      <c r="H421" t="s">
        <v>17</v>
      </c>
      <c r="I421" s="2">
        <v>16213</v>
      </c>
      <c r="J421" t="b">
        <v>0</v>
      </c>
      <c r="K421" t="b">
        <v>1</v>
      </c>
      <c r="L421" t="b">
        <v>0</v>
      </c>
      <c r="M421" t="str">
        <f t="shared" si="12"/>
        <v>FACEBOOK</v>
      </c>
      <c r="N421" t="str">
        <f t="shared" si="13"/>
        <v>Sub_Urban-FACEBOOK</v>
      </c>
      <c r="O421">
        <v>16213</v>
      </c>
    </row>
    <row r="422" spans="1:15" x14ac:dyDescent="0.3">
      <c r="A422">
        <v>64</v>
      </c>
      <c r="B422" t="s">
        <v>18</v>
      </c>
      <c r="C422" s="1">
        <v>3</v>
      </c>
      <c r="D422" t="s">
        <v>28</v>
      </c>
      <c r="E422" t="s">
        <v>14</v>
      </c>
      <c r="F422" t="s">
        <v>27</v>
      </c>
      <c r="G422" t="s">
        <v>29</v>
      </c>
      <c r="H422" t="s">
        <v>17</v>
      </c>
      <c r="I422" s="2">
        <v>14869</v>
      </c>
      <c r="J422" t="b">
        <v>1</v>
      </c>
      <c r="K422" t="b">
        <v>1</v>
      </c>
      <c r="L422" t="b">
        <v>0</v>
      </c>
      <c r="M422" t="str">
        <f t="shared" si="12"/>
        <v>YOUTUBE</v>
      </c>
      <c r="N422" t="str">
        <f t="shared" si="13"/>
        <v>Rural-YOUTUBE</v>
      </c>
      <c r="O422">
        <v>14869</v>
      </c>
    </row>
    <row r="423" spans="1:15" x14ac:dyDescent="0.3">
      <c r="A423">
        <v>52</v>
      </c>
      <c r="B423" t="s">
        <v>25</v>
      </c>
      <c r="C423" s="1">
        <v>7</v>
      </c>
      <c r="D423" t="s">
        <v>28</v>
      </c>
      <c r="E423" t="s">
        <v>26</v>
      </c>
      <c r="F423" t="s">
        <v>22</v>
      </c>
      <c r="G423" t="s">
        <v>16</v>
      </c>
      <c r="H423" t="s">
        <v>17</v>
      </c>
      <c r="I423" s="2">
        <v>11561</v>
      </c>
      <c r="J423" t="b">
        <v>1</v>
      </c>
      <c r="K423" t="b">
        <v>0</v>
      </c>
      <c r="L423" t="b">
        <v>0</v>
      </c>
      <c r="M423" t="str">
        <f t="shared" si="12"/>
        <v>YOUTUBE</v>
      </c>
      <c r="N423" t="str">
        <f t="shared" si="13"/>
        <v>Urban-YOUTUBE</v>
      </c>
      <c r="O423">
        <v>11561</v>
      </c>
    </row>
    <row r="424" spans="1:15" x14ac:dyDescent="0.3">
      <c r="A424">
        <v>57</v>
      </c>
      <c r="B424" t="s">
        <v>12</v>
      </c>
      <c r="C424" s="1">
        <v>1</v>
      </c>
      <c r="D424" t="s">
        <v>28</v>
      </c>
      <c r="E424" t="s">
        <v>20</v>
      </c>
      <c r="F424" t="s">
        <v>15</v>
      </c>
      <c r="G424" t="s">
        <v>16</v>
      </c>
      <c r="H424" t="s">
        <v>17</v>
      </c>
      <c r="I424" s="2">
        <v>14006</v>
      </c>
      <c r="J424" t="b">
        <v>0</v>
      </c>
      <c r="K424" t="b">
        <v>1</v>
      </c>
      <c r="L424" t="b">
        <v>0</v>
      </c>
      <c r="M424" t="str">
        <f t="shared" si="12"/>
        <v>YOUTUBE</v>
      </c>
      <c r="N424" t="str">
        <f t="shared" si="13"/>
        <v>Urban-YOUTUBE</v>
      </c>
      <c r="O424">
        <v>14006</v>
      </c>
    </row>
    <row r="425" spans="1:15" x14ac:dyDescent="0.3">
      <c r="A425">
        <v>33</v>
      </c>
      <c r="B425" t="s">
        <v>25</v>
      </c>
      <c r="C425" s="1">
        <v>4</v>
      </c>
      <c r="D425" t="s">
        <v>28</v>
      </c>
      <c r="E425" t="s">
        <v>26</v>
      </c>
      <c r="F425" t="s">
        <v>27</v>
      </c>
      <c r="G425" t="s">
        <v>23</v>
      </c>
      <c r="H425" t="s">
        <v>21</v>
      </c>
      <c r="I425" s="2">
        <v>19867</v>
      </c>
      <c r="J425" t="b">
        <v>0</v>
      </c>
      <c r="K425" t="b">
        <v>1</v>
      </c>
      <c r="L425" t="b">
        <v>0</v>
      </c>
      <c r="M425" t="str">
        <f t="shared" si="12"/>
        <v>YOUTUBE</v>
      </c>
      <c r="N425" t="str">
        <f t="shared" si="13"/>
        <v>Sub_Urban-YOUTUBE</v>
      </c>
      <c r="O425">
        <v>19867</v>
      </c>
    </row>
    <row r="426" spans="1:15" x14ac:dyDescent="0.3">
      <c r="A426">
        <v>30</v>
      </c>
      <c r="B426" t="s">
        <v>18</v>
      </c>
      <c r="C426" s="1">
        <v>4</v>
      </c>
      <c r="D426" t="s">
        <v>28</v>
      </c>
      <c r="E426" t="s">
        <v>14</v>
      </c>
      <c r="F426" t="s">
        <v>15</v>
      </c>
      <c r="G426" t="s">
        <v>23</v>
      </c>
      <c r="H426" t="s">
        <v>21</v>
      </c>
      <c r="I426" s="2">
        <v>19314</v>
      </c>
      <c r="J426" t="b">
        <v>0</v>
      </c>
      <c r="K426" t="b">
        <v>0</v>
      </c>
      <c r="L426" t="b">
        <v>0</v>
      </c>
      <c r="M426" t="str">
        <f t="shared" si="12"/>
        <v>YOUTUBE</v>
      </c>
      <c r="N426" t="str">
        <f t="shared" si="13"/>
        <v>Sub_Urban-YOUTUBE</v>
      </c>
      <c r="O426">
        <v>19314</v>
      </c>
    </row>
    <row r="427" spans="1:15" x14ac:dyDescent="0.3">
      <c r="A427">
        <v>59</v>
      </c>
      <c r="B427" t="s">
        <v>12</v>
      </c>
      <c r="C427" s="1">
        <v>7</v>
      </c>
      <c r="D427" t="s">
        <v>13</v>
      </c>
      <c r="E427" t="s">
        <v>26</v>
      </c>
      <c r="F427" t="s">
        <v>15</v>
      </c>
      <c r="G427" t="s">
        <v>16</v>
      </c>
      <c r="H427" t="s">
        <v>17</v>
      </c>
      <c r="I427" s="2">
        <v>13981</v>
      </c>
      <c r="J427" t="b">
        <v>0</v>
      </c>
      <c r="K427" t="b">
        <v>0</v>
      </c>
      <c r="L427" t="b">
        <v>1</v>
      </c>
      <c r="M427" t="str">
        <f t="shared" si="12"/>
        <v>INSTAGRAM</v>
      </c>
      <c r="N427" t="str">
        <f t="shared" si="13"/>
        <v>Urban-INSTAGRAM</v>
      </c>
      <c r="O427">
        <v>13981</v>
      </c>
    </row>
    <row r="428" spans="1:15" x14ac:dyDescent="0.3">
      <c r="A428">
        <v>47</v>
      </c>
      <c r="B428" t="s">
        <v>18</v>
      </c>
      <c r="C428" s="1">
        <v>8</v>
      </c>
      <c r="D428" t="s">
        <v>28</v>
      </c>
      <c r="E428" t="s">
        <v>26</v>
      </c>
      <c r="F428" t="s">
        <v>27</v>
      </c>
      <c r="G428" t="s">
        <v>29</v>
      </c>
      <c r="H428" t="s">
        <v>21</v>
      </c>
      <c r="I428" s="2">
        <v>19493</v>
      </c>
      <c r="J428" t="b">
        <v>0</v>
      </c>
      <c r="K428" t="b">
        <v>1</v>
      </c>
      <c r="L428" t="b">
        <v>0</v>
      </c>
      <c r="M428" t="str">
        <f t="shared" si="12"/>
        <v>YOUTUBE</v>
      </c>
      <c r="N428" t="str">
        <f t="shared" si="13"/>
        <v>Rural-YOUTUBE</v>
      </c>
      <c r="O428">
        <v>19493</v>
      </c>
    </row>
    <row r="429" spans="1:15" x14ac:dyDescent="0.3">
      <c r="A429">
        <v>36</v>
      </c>
      <c r="B429" t="s">
        <v>18</v>
      </c>
      <c r="C429" s="1">
        <v>1</v>
      </c>
      <c r="D429" t="s">
        <v>28</v>
      </c>
      <c r="E429" t="s">
        <v>20</v>
      </c>
      <c r="F429" t="s">
        <v>22</v>
      </c>
      <c r="G429" t="s">
        <v>23</v>
      </c>
      <c r="H429" t="s">
        <v>21</v>
      </c>
      <c r="I429" s="2">
        <v>15682</v>
      </c>
      <c r="J429" t="b">
        <v>0</v>
      </c>
      <c r="K429" t="b">
        <v>0</v>
      </c>
      <c r="L429" t="b">
        <v>1</v>
      </c>
      <c r="M429" t="str">
        <f t="shared" si="12"/>
        <v>YOUTUBE</v>
      </c>
      <c r="N429" t="str">
        <f t="shared" si="13"/>
        <v>Sub_Urban-YOUTUBE</v>
      </c>
      <c r="O429">
        <v>15682</v>
      </c>
    </row>
    <row r="430" spans="1:15" x14ac:dyDescent="0.3">
      <c r="A430">
        <v>34</v>
      </c>
      <c r="B430" t="s">
        <v>12</v>
      </c>
      <c r="C430" s="1">
        <v>5</v>
      </c>
      <c r="D430" t="s">
        <v>13</v>
      </c>
      <c r="E430" t="s">
        <v>20</v>
      </c>
      <c r="F430" t="s">
        <v>27</v>
      </c>
      <c r="G430" t="s">
        <v>23</v>
      </c>
      <c r="H430" t="s">
        <v>24</v>
      </c>
      <c r="I430" s="2">
        <v>15782</v>
      </c>
      <c r="J430" t="b">
        <v>1</v>
      </c>
      <c r="K430" t="b">
        <v>1</v>
      </c>
      <c r="L430" t="b">
        <v>1</v>
      </c>
      <c r="M430" t="str">
        <f t="shared" si="12"/>
        <v>INSTAGRAM</v>
      </c>
      <c r="N430" t="str">
        <f t="shared" si="13"/>
        <v>Sub_Urban-INSTAGRAM</v>
      </c>
      <c r="O430">
        <v>15782</v>
      </c>
    </row>
    <row r="431" spans="1:15" x14ac:dyDescent="0.3">
      <c r="A431">
        <v>36</v>
      </c>
      <c r="B431" t="s">
        <v>12</v>
      </c>
      <c r="C431" s="1">
        <v>7</v>
      </c>
      <c r="D431" t="s">
        <v>13</v>
      </c>
      <c r="E431" t="s">
        <v>20</v>
      </c>
      <c r="F431" t="s">
        <v>15</v>
      </c>
      <c r="G431" t="s">
        <v>29</v>
      </c>
      <c r="H431" t="s">
        <v>17</v>
      </c>
      <c r="I431" s="2">
        <v>10943</v>
      </c>
      <c r="J431" t="b">
        <v>0</v>
      </c>
      <c r="K431" t="b">
        <v>1</v>
      </c>
      <c r="L431" t="b">
        <v>0</v>
      </c>
      <c r="M431" t="str">
        <f t="shared" si="12"/>
        <v>INSTAGRAM</v>
      </c>
      <c r="N431" t="str">
        <f t="shared" si="13"/>
        <v>Rural-INSTAGRAM</v>
      </c>
      <c r="O431">
        <v>10943</v>
      </c>
    </row>
    <row r="432" spans="1:15" x14ac:dyDescent="0.3">
      <c r="A432">
        <v>45</v>
      </c>
      <c r="B432" t="s">
        <v>12</v>
      </c>
      <c r="C432" s="1">
        <v>4</v>
      </c>
      <c r="D432" t="s">
        <v>13</v>
      </c>
      <c r="E432" t="s">
        <v>14</v>
      </c>
      <c r="F432" t="s">
        <v>15</v>
      </c>
      <c r="G432" t="s">
        <v>29</v>
      </c>
      <c r="H432" t="s">
        <v>21</v>
      </c>
      <c r="I432" s="2">
        <v>14550</v>
      </c>
      <c r="J432" t="b">
        <v>0</v>
      </c>
      <c r="K432" t="b">
        <v>0</v>
      </c>
      <c r="L432" t="b">
        <v>1</v>
      </c>
      <c r="M432" t="str">
        <f t="shared" si="12"/>
        <v>INSTAGRAM</v>
      </c>
      <c r="N432" t="str">
        <f t="shared" si="13"/>
        <v>Rural-INSTAGRAM</v>
      </c>
      <c r="O432">
        <v>14550</v>
      </c>
    </row>
    <row r="433" spans="1:15" x14ac:dyDescent="0.3">
      <c r="A433">
        <v>43</v>
      </c>
      <c r="B433" t="s">
        <v>12</v>
      </c>
      <c r="C433" s="1">
        <v>4</v>
      </c>
      <c r="D433" t="s">
        <v>13</v>
      </c>
      <c r="E433" t="s">
        <v>14</v>
      </c>
      <c r="F433" t="s">
        <v>22</v>
      </c>
      <c r="G433" t="s">
        <v>16</v>
      </c>
      <c r="H433" t="s">
        <v>21</v>
      </c>
      <c r="I433" s="2">
        <v>19137</v>
      </c>
      <c r="J433" t="b">
        <v>0</v>
      </c>
      <c r="K433" t="b">
        <v>1</v>
      </c>
      <c r="L433" t="b">
        <v>0</v>
      </c>
      <c r="M433" t="str">
        <f t="shared" si="12"/>
        <v>INSTAGRAM</v>
      </c>
      <c r="N433" t="str">
        <f t="shared" si="13"/>
        <v>Urban-INSTAGRAM</v>
      </c>
      <c r="O433">
        <v>19137</v>
      </c>
    </row>
    <row r="434" spans="1:15" x14ac:dyDescent="0.3">
      <c r="A434">
        <v>54</v>
      </c>
      <c r="B434" t="s">
        <v>12</v>
      </c>
      <c r="C434" s="1">
        <v>4</v>
      </c>
      <c r="D434" t="s">
        <v>13</v>
      </c>
      <c r="E434" t="s">
        <v>20</v>
      </c>
      <c r="F434" t="s">
        <v>27</v>
      </c>
      <c r="G434" t="s">
        <v>29</v>
      </c>
      <c r="H434" t="s">
        <v>17</v>
      </c>
      <c r="I434" s="2">
        <v>10600</v>
      </c>
      <c r="J434" t="b">
        <v>1</v>
      </c>
      <c r="K434" t="b">
        <v>1</v>
      </c>
      <c r="L434" t="b">
        <v>1</v>
      </c>
      <c r="M434" t="str">
        <f t="shared" si="12"/>
        <v>INSTAGRAM</v>
      </c>
      <c r="N434" t="str">
        <f t="shared" si="13"/>
        <v>Rural-INSTAGRAM</v>
      </c>
      <c r="O434">
        <v>10600</v>
      </c>
    </row>
    <row r="435" spans="1:15" x14ac:dyDescent="0.3">
      <c r="A435">
        <v>43</v>
      </c>
      <c r="B435" t="s">
        <v>12</v>
      </c>
      <c r="C435" s="1">
        <v>6</v>
      </c>
      <c r="D435" t="s">
        <v>13</v>
      </c>
      <c r="E435" t="s">
        <v>20</v>
      </c>
      <c r="F435" t="s">
        <v>15</v>
      </c>
      <c r="G435" t="s">
        <v>16</v>
      </c>
      <c r="H435" t="s">
        <v>24</v>
      </c>
      <c r="I435" s="2">
        <v>16376</v>
      </c>
      <c r="J435" t="b">
        <v>1</v>
      </c>
      <c r="K435" t="b">
        <v>1</v>
      </c>
      <c r="L435" t="b">
        <v>0</v>
      </c>
      <c r="M435" t="str">
        <f t="shared" si="12"/>
        <v>INSTAGRAM</v>
      </c>
      <c r="N435" t="str">
        <f t="shared" si="13"/>
        <v>Urban-INSTAGRAM</v>
      </c>
      <c r="O435">
        <v>16376</v>
      </c>
    </row>
    <row r="436" spans="1:15" x14ac:dyDescent="0.3">
      <c r="A436">
        <v>40</v>
      </c>
      <c r="B436" t="s">
        <v>12</v>
      </c>
      <c r="C436" s="1">
        <v>7</v>
      </c>
      <c r="D436" t="s">
        <v>28</v>
      </c>
      <c r="E436" t="s">
        <v>14</v>
      </c>
      <c r="F436" t="s">
        <v>15</v>
      </c>
      <c r="G436" t="s">
        <v>29</v>
      </c>
      <c r="H436" t="s">
        <v>17</v>
      </c>
      <c r="I436" s="2">
        <v>19609</v>
      </c>
      <c r="J436" t="b">
        <v>1</v>
      </c>
      <c r="K436" t="b">
        <v>0</v>
      </c>
      <c r="L436" t="b">
        <v>1</v>
      </c>
      <c r="M436" t="str">
        <f t="shared" si="12"/>
        <v>YOUTUBE</v>
      </c>
      <c r="N436" t="str">
        <f t="shared" si="13"/>
        <v>Rural-YOUTUBE</v>
      </c>
      <c r="O436">
        <v>19609</v>
      </c>
    </row>
    <row r="437" spans="1:15" x14ac:dyDescent="0.3">
      <c r="A437">
        <v>26</v>
      </c>
      <c r="B437" t="s">
        <v>25</v>
      </c>
      <c r="C437" s="1">
        <v>2</v>
      </c>
      <c r="D437" t="s">
        <v>28</v>
      </c>
      <c r="E437" t="s">
        <v>14</v>
      </c>
      <c r="F437" t="s">
        <v>15</v>
      </c>
      <c r="G437" t="s">
        <v>23</v>
      </c>
      <c r="H437" t="s">
        <v>24</v>
      </c>
      <c r="I437" s="2">
        <v>11524</v>
      </c>
      <c r="J437" t="b">
        <v>1</v>
      </c>
      <c r="K437" t="b">
        <v>0</v>
      </c>
      <c r="L437" t="b">
        <v>1</v>
      </c>
      <c r="M437" t="str">
        <f t="shared" si="12"/>
        <v>YOUTUBE</v>
      </c>
      <c r="N437" t="str">
        <f t="shared" si="13"/>
        <v>Sub_Urban-YOUTUBE</v>
      </c>
      <c r="O437">
        <v>11524</v>
      </c>
    </row>
    <row r="438" spans="1:15" x14ac:dyDescent="0.3">
      <c r="A438">
        <v>29</v>
      </c>
      <c r="B438" t="s">
        <v>18</v>
      </c>
      <c r="C438" s="1">
        <v>5</v>
      </c>
      <c r="D438" t="s">
        <v>19</v>
      </c>
      <c r="E438" t="s">
        <v>14</v>
      </c>
      <c r="F438" t="s">
        <v>22</v>
      </c>
      <c r="G438" t="s">
        <v>16</v>
      </c>
      <c r="H438" t="s">
        <v>17</v>
      </c>
      <c r="I438" s="2">
        <v>13766</v>
      </c>
      <c r="J438" t="b">
        <v>0</v>
      </c>
      <c r="K438" t="b">
        <v>0</v>
      </c>
      <c r="L438" t="b">
        <v>0</v>
      </c>
      <c r="M438" t="str">
        <f t="shared" si="12"/>
        <v>FACEBOOK</v>
      </c>
      <c r="N438" t="str">
        <f t="shared" si="13"/>
        <v>Urban-FACEBOOK</v>
      </c>
      <c r="O438">
        <v>13766</v>
      </c>
    </row>
    <row r="439" spans="1:15" x14ac:dyDescent="0.3">
      <c r="A439">
        <v>18</v>
      </c>
      <c r="B439" t="s">
        <v>12</v>
      </c>
      <c r="C439" s="1">
        <v>4</v>
      </c>
      <c r="D439" t="s">
        <v>28</v>
      </c>
      <c r="E439" t="s">
        <v>14</v>
      </c>
      <c r="F439" t="s">
        <v>15</v>
      </c>
      <c r="G439" t="s">
        <v>16</v>
      </c>
      <c r="H439" t="s">
        <v>17</v>
      </c>
      <c r="I439" s="2">
        <v>10250</v>
      </c>
      <c r="J439" t="b">
        <v>1</v>
      </c>
      <c r="K439" t="b">
        <v>1</v>
      </c>
      <c r="L439" t="b">
        <v>1</v>
      </c>
      <c r="M439" t="str">
        <f t="shared" si="12"/>
        <v>YOUTUBE</v>
      </c>
      <c r="N439" t="str">
        <f t="shared" si="13"/>
        <v>Urban-YOUTUBE</v>
      </c>
      <c r="O439">
        <v>10250</v>
      </c>
    </row>
    <row r="440" spans="1:15" x14ac:dyDescent="0.3">
      <c r="A440">
        <v>18</v>
      </c>
      <c r="B440" t="s">
        <v>25</v>
      </c>
      <c r="C440" s="1">
        <v>3</v>
      </c>
      <c r="D440" t="s">
        <v>28</v>
      </c>
      <c r="E440" t="s">
        <v>20</v>
      </c>
      <c r="F440" t="s">
        <v>15</v>
      </c>
      <c r="G440" t="s">
        <v>16</v>
      </c>
      <c r="H440" t="s">
        <v>17</v>
      </c>
      <c r="I440" s="2">
        <v>19736</v>
      </c>
      <c r="J440" t="b">
        <v>0</v>
      </c>
      <c r="K440" t="b">
        <v>1</v>
      </c>
      <c r="L440" t="b">
        <v>1</v>
      </c>
      <c r="M440" t="str">
        <f t="shared" si="12"/>
        <v>YOUTUBE</v>
      </c>
      <c r="N440" t="str">
        <f t="shared" si="13"/>
        <v>Urban-YOUTUBE</v>
      </c>
      <c r="O440">
        <v>19736</v>
      </c>
    </row>
    <row r="441" spans="1:15" x14ac:dyDescent="0.3">
      <c r="A441">
        <v>64</v>
      </c>
      <c r="B441" t="s">
        <v>25</v>
      </c>
      <c r="C441" s="1">
        <v>7</v>
      </c>
      <c r="D441" t="s">
        <v>13</v>
      </c>
      <c r="E441" t="s">
        <v>14</v>
      </c>
      <c r="F441" t="s">
        <v>27</v>
      </c>
      <c r="G441" t="s">
        <v>29</v>
      </c>
      <c r="H441" t="s">
        <v>17</v>
      </c>
      <c r="I441" s="2">
        <v>10078</v>
      </c>
      <c r="J441" t="b">
        <v>0</v>
      </c>
      <c r="K441" t="b">
        <v>0</v>
      </c>
      <c r="L441" t="b">
        <v>1</v>
      </c>
      <c r="M441" t="str">
        <f t="shared" si="12"/>
        <v>INSTAGRAM</v>
      </c>
      <c r="N441" t="str">
        <f t="shared" si="13"/>
        <v>Rural-INSTAGRAM</v>
      </c>
      <c r="O441">
        <v>10078</v>
      </c>
    </row>
    <row r="442" spans="1:15" x14ac:dyDescent="0.3">
      <c r="A442">
        <v>51</v>
      </c>
      <c r="B442" t="s">
        <v>25</v>
      </c>
      <c r="C442" s="1">
        <v>6</v>
      </c>
      <c r="D442" t="s">
        <v>13</v>
      </c>
      <c r="E442" t="s">
        <v>20</v>
      </c>
      <c r="F442" t="s">
        <v>27</v>
      </c>
      <c r="G442" t="s">
        <v>23</v>
      </c>
      <c r="H442" t="s">
        <v>24</v>
      </c>
      <c r="I442" s="2">
        <v>13123</v>
      </c>
      <c r="J442" t="b">
        <v>0</v>
      </c>
      <c r="K442" t="b">
        <v>0</v>
      </c>
      <c r="L442" t="b">
        <v>1</v>
      </c>
      <c r="M442" t="str">
        <f t="shared" si="12"/>
        <v>INSTAGRAM</v>
      </c>
      <c r="N442" t="str">
        <f t="shared" si="13"/>
        <v>Sub_Urban-INSTAGRAM</v>
      </c>
      <c r="O442">
        <v>13123</v>
      </c>
    </row>
    <row r="443" spans="1:15" x14ac:dyDescent="0.3">
      <c r="A443">
        <v>49</v>
      </c>
      <c r="B443" t="s">
        <v>18</v>
      </c>
      <c r="C443" s="1">
        <v>7</v>
      </c>
      <c r="D443" t="s">
        <v>28</v>
      </c>
      <c r="E443" t="s">
        <v>26</v>
      </c>
      <c r="F443" t="s">
        <v>15</v>
      </c>
      <c r="G443" t="s">
        <v>16</v>
      </c>
      <c r="H443" t="s">
        <v>24</v>
      </c>
      <c r="I443" s="2">
        <v>19089</v>
      </c>
      <c r="J443" t="b">
        <v>0</v>
      </c>
      <c r="K443" t="b">
        <v>0</v>
      </c>
      <c r="L443" t="b">
        <v>1</v>
      </c>
      <c r="M443" t="str">
        <f t="shared" si="12"/>
        <v>YOUTUBE</v>
      </c>
      <c r="N443" t="str">
        <f t="shared" si="13"/>
        <v>Urban-YOUTUBE</v>
      </c>
      <c r="O443">
        <v>19089</v>
      </c>
    </row>
    <row r="444" spans="1:15" x14ac:dyDescent="0.3">
      <c r="A444">
        <v>42</v>
      </c>
      <c r="B444" t="s">
        <v>12</v>
      </c>
      <c r="C444" s="1">
        <v>5</v>
      </c>
      <c r="D444" t="s">
        <v>19</v>
      </c>
      <c r="E444" t="s">
        <v>26</v>
      </c>
      <c r="F444" t="s">
        <v>15</v>
      </c>
      <c r="G444" t="s">
        <v>16</v>
      </c>
      <c r="H444" t="s">
        <v>21</v>
      </c>
      <c r="I444" s="2">
        <v>17064</v>
      </c>
      <c r="J444" t="b">
        <v>0</v>
      </c>
      <c r="K444" t="b">
        <v>1</v>
      </c>
      <c r="L444" t="b">
        <v>0</v>
      </c>
      <c r="M444" t="str">
        <f t="shared" si="12"/>
        <v>FACEBOOK</v>
      </c>
      <c r="N444" t="str">
        <f t="shared" si="13"/>
        <v>Urban-FACEBOOK</v>
      </c>
      <c r="O444">
        <v>17064</v>
      </c>
    </row>
    <row r="445" spans="1:15" x14ac:dyDescent="0.3">
      <c r="A445">
        <v>57</v>
      </c>
      <c r="B445" t="s">
        <v>25</v>
      </c>
      <c r="C445" s="1">
        <v>6</v>
      </c>
      <c r="D445" t="s">
        <v>13</v>
      </c>
      <c r="E445" t="s">
        <v>14</v>
      </c>
      <c r="F445" t="s">
        <v>27</v>
      </c>
      <c r="G445" t="s">
        <v>16</v>
      </c>
      <c r="H445" t="s">
        <v>17</v>
      </c>
      <c r="I445" s="2">
        <v>18417</v>
      </c>
      <c r="J445" t="b">
        <v>0</v>
      </c>
      <c r="K445" t="b">
        <v>0</v>
      </c>
      <c r="L445" t="b">
        <v>1</v>
      </c>
      <c r="M445" t="str">
        <f t="shared" si="12"/>
        <v>INSTAGRAM</v>
      </c>
      <c r="N445" t="str">
        <f t="shared" si="13"/>
        <v>Urban-INSTAGRAM</v>
      </c>
      <c r="O445">
        <v>18417</v>
      </c>
    </row>
    <row r="446" spans="1:15" x14ac:dyDescent="0.3">
      <c r="A446">
        <v>62</v>
      </c>
      <c r="B446" t="s">
        <v>18</v>
      </c>
      <c r="C446" s="1">
        <v>5</v>
      </c>
      <c r="D446" t="s">
        <v>28</v>
      </c>
      <c r="E446" t="s">
        <v>26</v>
      </c>
      <c r="F446" t="s">
        <v>22</v>
      </c>
      <c r="G446" t="s">
        <v>16</v>
      </c>
      <c r="H446" t="s">
        <v>24</v>
      </c>
      <c r="I446" s="2">
        <v>11209</v>
      </c>
      <c r="J446" t="b">
        <v>1</v>
      </c>
      <c r="K446" t="b">
        <v>1</v>
      </c>
      <c r="L446" t="b">
        <v>1</v>
      </c>
      <c r="M446" t="str">
        <f t="shared" si="12"/>
        <v>YOUTUBE</v>
      </c>
      <c r="N446" t="str">
        <f t="shared" si="13"/>
        <v>Urban-YOUTUBE</v>
      </c>
      <c r="O446">
        <v>11209</v>
      </c>
    </row>
    <row r="447" spans="1:15" x14ac:dyDescent="0.3">
      <c r="A447">
        <v>18</v>
      </c>
      <c r="B447" t="s">
        <v>18</v>
      </c>
      <c r="C447" s="1">
        <v>7</v>
      </c>
      <c r="D447" t="s">
        <v>28</v>
      </c>
      <c r="E447" t="s">
        <v>26</v>
      </c>
      <c r="F447" t="s">
        <v>22</v>
      </c>
      <c r="G447" t="s">
        <v>23</v>
      </c>
      <c r="H447" t="s">
        <v>24</v>
      </c>
      <c r="I447" s="2">
        <v>15153</v>
      </c>
      <c r="J447" t="b">
        <v>1</v>
      </c>
      <c r="K447" t="b">
        <v>0</v>
      </c>
      <c r="L447" t="b">
        <v>0</v>
      </c>
      <c r="M447" t="str">
        <f t="shared" si="12"/>
        <v>YOUTUBE</v>
      </c>
      <c r="N447" t="str">
        <f t="shared" si="13"/>
        <v>Sub_Urban-YOUTUBE</v>
      </c>
      <c r="O447">
        <v>15153</v>
      </c>
    </row>
    <row r="448" spans="1:15" x14ac:dyDescent="0.3">
      <c r="A448">
        <v>33</v>
      </c>
      <c r="B448" t="s">
        <v>18</v>
      </c>
      <c r="C448" s="1">
        <v>2</v>
      </c>
      <c r="D448" t="s">
        <v>19</v>
      </c>
      <c r="E448" t="s">
        <v>26</v>
      </c>
      <c r="F448" t="s">
        <v>22</v>
      </c>
      <c r="G448" t="s">
        <v>29</v>
      </c>
      <c r="H448" t="s">
        <v>24</v>
      </c>
      <c r="I448" s="2">
        <v>14898</v>
      </c>
      <c r="J448" t="b">
        <v>1</v>
      </c>
      <c r="K448" t="b">
        <v>1</v>
      </c>
      <c r="L448" t="b">
        <v>0</v>
      </c>
      <c r="M448" t="str">
        <f t="shared" si="12"/>
        <v>FACEBOOK</v>
      </c>
      <c r="N448" t="str">
        <f t="shared" si="13"/>
        <v>Rural-FACEBOOK</v>
      </c>
      <c r="O448">
        <v>14898</v>
      </c>
    </row>
    <row r="449" spans="1:15" x14ac:dyDescent="0.3">
      <c r="A449">
        <v>56</v>
      </c>
      <c r="B449" t="s">
        <v>25</v>
      </c>
      <c r="C449" s="1">
        <v>5</v>
      </c>
      <c r="D449" t="s">
        <v>19</v>
      </c>
      <c r="E449" t="s">
        <v>14</v>
      </c>
      <c r="F449" t="s">
        <v>22</v>
      </c>
      <c r="G449" t="s">
        <v>23</v>
      </c>
      <c r="H449" t="s">
        <v>17</v>
      </c>
      <c r="I449" s="2">
        <v>12178</v>
      </c>
      <c r="J449" t="b">
        <v>1</v>
      </c>
      <c r="K449" t="b">
        <v>1</v>
      </c>
      <c r="L449" t="b">
        <v>0</v>
      </c>
      <c r="M449" t="str">
        <f t="shared" si="12"/>
        <v>FACEBOOK</v>
      </c>
      <c r="N449" t="str">
        <f t="shared" si="13"/>
        <v>Sub_Urban-FACEBOOK</v>
      </c>
      <c r="O449">
        <v>12178</v>
      </c>
    </row>
    <row r="450" spans="1:15" x14ac:dyDescent="0.3">
      <c r="A450">
        <v>22</v>
      </c>
      <c r="B450" t="s">
        <v>12</v>
      </c>
      <c r="C450" s="1">
        <v>6</v>
      </c>
      <c r="D450" t="s">
        <v>13</v>
      </c>
      <c r="E450" t="s">
        <v>14</v>
      </c>
      <c r="F450" t="s">
        <v>22</v>
      </c>
      <c r="G450" t="s">
        <v>16</v>
      </c>
      <c r="H450" t="s">
        <v>21</v>
      </c>
      <c r="I450" s="2">
        <v>17610</v>
      </c>
      <c r="J450" t="b">
        <v>1</v>
      </c>
      <c r="K450" t="b">
        <v>0</v>
      </c>
      <c r="L450" t="b">
        <v>1</v>
      </c>
      <c r="M450" t="str">
        <f t="shared" ref="M450:M513" si="14">UPPER(D450)</f>
        <v>INSTAGRAM</v>
      </c>
      <c r="N450" t="str">
        <f t="shared" ref="N450:N513" si="15">_xlfn.CONCAT(G450,"-",M450)</f>
        <v>Urban-INSTAGRAM</v>
      </c>
      <c r="O450">
        <v>17610</v>
      </c>
    </row>
    <row r="451" spans="1:15" x14ac:dyDescent="0.3">
      <c r="A451">
        <v>39</v>
      </c>
      <c r="B451" t="s">
        <v>25</v>
      </c>
      <c r="C451" s="1">
        <v>6</v>
      </c>
      <c r="D451" t="s">
        <v>19</v>
      </c>
      <c r="E451" t="s">
        <v>26</v>
      </c>
      <c r="F451" t="s">
        <v>22</v>
      </c>
      <c r="G451" t="s">
        <v>23</v>
      </c>
      <c r="H451" t="s">
        <v>24</v>
      </c>
      <c r="I451" s="2">
        <v>18895</v>
      </c>
      <c r="J451" t="b">
        <v>0</v>
      </c>
      <c r="K451" t="b">
        <v>1</v>
      </c>
      <c r="L451" t="b">
        <v>1</v>
      </c>
      <c r="M451" t="str">
        <f t="shared" si="14"/>
        <v>FACEBOOK</v>
      </c>
      <c r="N451" t="str">
        <f t="shared" si="15"/>
        <v>Sub_Urban-FACEBOOK</v>
      </c>
      <c r="O451">
        <v>18895</v>
      </c>
    </row>
    <row r="452" spans="1:15" x14ac:dyDescent="0.3">
      <c r="A452">
        <v>46</v>
      </c>
      <c r="B452" t="s">
        <v>25</v>
      </c>
      <c r="C452" s="1">
        <v>5</v>
      </c>
      <c r="D452" t="s">
        <v>28</v>
      </c>
      <c r="E452" t="s">
        <v>20</v>
      </c>
      <c r="F452" t="s">
        <v>22</v>
      </c>
      <c r="G452" t="s">
        <v>16</v>
      </c>
      <c r="H452" t="s">
        <v>17</v>
      </c>
      <c r="I452" s="2">
        <v>12544</v>
      </c>
      <c r="J452" t="b">
        <v>1</v>
      </c>
      <c r="K452" t="b">
        <v>0</v>
      </c>
      <c r="L452" t="b">
        <v>1</v>
      </c>
      <c r="M452" t="str">
        <f t="shared" si="14"/>
        <v>YOUTUBE</v>
      </c>
      <c r="N452" t="str">
        <f t="shared" si="15"/>
        <v>Urban-YOUTUBE</v>
      </c>
      <c r="O452">
        <v>12544</v>
      </c>
    </row>
    <row r="453" spans="1:15" x14ac:dyDescent="0.3">
      <c r="A453">
        <v>20</v>
      </c>
      <c r="B453" t="s">
        <v>12</v>
      </c>
      <c r="C453" s="1">
        <v>7</v>
      </c>
      <c r="D453" t="s">
        <v>28</v>
      </c>
      <c r="E453" t="s">
        <v>26</v>
      </c>
      <c r="F453" t="s">
        <v>22</v>
      </c>
      <c r="G453" t="s">
        <v>29</v>
      </c>
      <c r="H453" t="s">
        <v>24</v>
      </c>
      <c r="I453" s="2">
        <v>15522</v>
      </c>
      <c r="J453" t="b">
        <v>1</v>
      </c>
      <c r="K453" t="b">
        <v>1</v>
      </c>
      <c r="L453" t="b">
        <v>1</v>
      </c>
      <c r="M453" t="str">
        <f t="shared" si="14"/>
        <v>YOUTUBE</v>
      </c>
      <c r="N453" t="str">
        <f t="shared" si="15"/>
        <v>Rural-YOUTUBE</v>
      </c>
      <c r="O453">
        <v>15522</v>
      </c>
    </row>
    <row r="454" spans="1:15" x14ac:dyDescent="0.3">
      <c r="A454">
        <v>29</v>
      </c>
      <c r="B454" t="s">
        <v>12</v>
      </c>
      <c r="C454" s="1">
        <v>8</v>
      </c>
      <c r="D454" t="s">
        <v>19</v>
      </c>
      <c r="E454" t="s">
        <v>14</v>
      </c>
      <c r="F454" t="s">
        <v>27</v>
      </c>
      <c r="G454" t="s">
        <v>29</v>
      </c>
      <c r="H454" t="s">
        <v>24</v>
      </c>
      <c r="I454" s="2">
        <v>12370</v>
      </c>
      <c r="J454" t="b">
        <v>1</v>
      </c>
      <c r="K454" t="b">
        <v>1</v>
      </c>
      <c r="L454" t="b">
        <v>0</v>
      </c>
      <c r="M454" t="str">
        <f t="shared" si="14"/>
        <v>FACEBOOK</v>
      </c>
      <c r="N454" t="str">
        <f t="shared" si="15"/>
        <v>Rural-FACEBOOK</v>
      </c>
      <c r="O454">
        <v>12370</v>
      </c>
    </row>
    <row r="455" spans="1:15" x14ac:dyDescent="0.3">
      <c r="A455">
        <v>43</v>
      </c>
      <c r="B455" t="s">
        <v>12</v>
      </c>
      <c r="C455" s="1">
        <v>7</v>
      </c>
      <c r="D455" t="s">
        <v>19</v>
      </c>
      <c r="E455" t="s">
        <v>14</v>
      </c>
      <c r="F455" t="s">
        <v>22</v>
      </c>
      <c r="G455" t="s">
        <v>29</v>
      </c>
      <c r="H455" t="s">
        <v>21</v>
      </c>
      <c r="I455" s="2">
        <v>13281</v>
      </c>
      <c r="J455" t="b">
        <v>0</v>
      </c>
      <c r="K455" t="b">
        <v>0</v>
      </c>
      <c r="L455" t="b">
        <v>0</v>
      </c>
      <c r="M455" t="str">
        <f t="shared" si="14"/>
        <v>FACEBOOK</v>
      </c>
      <c r="N455" t="str">
        <f t="shared" si="15"/>
        <v>Rural-FACEBOOK</v>
      </c>
      <c r="O455">
        <v>13281</v>
      </c>
    </row>
    <row r="456" spans="1:15" x14ac:dyDescent="0.3">
      <c r="A456">
        <v>33</v>
      </c>
      <c r="B456" t="s">
        <v>18</v>
      </c>
      <c r="C456" s="1">
        <v>5</v>
      </c>
      <c r="D456" t="s">
        <v>19</v>
      </c>
      <c r="E456" t="s">
        <v>14</v>
      </c>
      <c r="F456" t="s">
        <v>22</v>
      </c>
      <c r="G456" t="s">
        <v>16</v>
      </c>
      <c r="H456" t="s">
        <v>24</v>
      </c>
      <c r="I456" s="2">
        <v>14710</v>
      </c>
      <c r="J456" t="b">
        <v>0</v>
      </c>
      <c r="K456" t="b">
        <v>1</v>
      </c>
      <c r="L456" t="b">
        <v>1</v>
      </c>
      <c r="M456" t="str">
        <f t="shared" si="14"/>
        <v>FACEBOOK</v>
      </c>
      <c r="N456" t="str">
        <f t="shared" si="15"/>
        <v>Urban-FACEBOOK</v>
      </c>
      <c r="O456">
        <v>14710</v>
      </c>
    </row>
    <row r="457" spans="1:15" x14ac:dyDescent="0.3">
      <c r="A457">
        <v>54</v>
      </c>
      <c r="B457" t="s">
        <v>12</v>
      </c>
      <c r="C457" s="1">
        <v>1</v>
      </c>
      <c r="D457" t="s">
        <v>19</v>
      </c>
      <c r="E457" t="s">
        <v>26</v>
      </c>
      <c r="F457" t="s">
        <v>22</v>
      </c>
      <c r="G457" t="s">
        <v>23</v>
      </c>
      <c r="H457" t="s">
        <v>24</v>
      </c>
      <c r="I457" s="2">
        <v>10328</v>
      </c>
      <c r="J457" t="b">
        <v>0</v>
      </c>
      <c r="K457" t="b">
        <v>0</v>
      </c>
      <c r="L457" t="b">
        <v>1</v>
      </c>
      <c r="M457" t="str">
        <f t="shared" si="14"/>
        <v>FACEBOOK</v>
      </c>
      <c r="N457" t="str">
        <f t="shared" si="15"/>
        <v>Sub_Urban-FACEBOOK</v>
      </c>
      <c r="O457">
        <v>10328</v>
      </c>
    </row>
    <row r="458" spans="1:15" x14ac:dyDescent="0.3">
      <c r="A458">
        <v>39</v>
      </c>
      <c r="B458" t="s">
        <v>25</v>
      </c>
      <c r="C458" s="1">
        <v>5</v>
      </c>
      <c r="D458" t="s">
        <v>13</v>
      </c>
      <c r="E458" t="s">
        <v>20</v>
      </c>
      <c r="F458" t="s">
        <v>15</v>
      </c>
      <c r="G458" t="s">
        <v>29</v>
      </c>
      <c r="H458" t="s">
        <v>17</v>
      </c>
      <c r="I458" s="2">
        <v>15579</v>
      </c>
      <c r="J458" t="b">
        <v>1</v>
      </c>
      <c r="K458" t="b">
        <v>0</v>
      </c>
      <c r="L458" t="b">
        <v>1</v>
      </c>
      <c r="M458" t="str">
        <f t="shared" si="14"/>
        <v>INSTAGRAM</v>
      </c>
      <c r="N458" t="str">
        <f t="shared" si="15"/>
        <v>Rural-INSTAGRAM</v>
      </c>
      <c r="O458">
        <v>15579</v>
      </c>
    </row>
    <row r="459" spans="1:15" x14ac:dyDescent="0.3">
      <c r="A459">
        <v>46</v>
      </c>
      <c r="B459" t="s">
        <v>12</v>
      </c>
      <c r="C459" s="1">
        <v>2</v>
      </c>
      <c r="D459" t="s">
        <v>19</v>
      </c>
      <c r="E459" t="s">
        <v>14</v>
      </c>
      <c r="F459" t="s">
        <v>27</v>
      </c>
      <c r="G459" t="s">
        <v>16</v>
      </c>
      <c r="H459" t="s">
        <v>17</v>
      </c>
      <c r="I459" s="2">
        <v>14228</v>
      </c>
      <c r="J459" t="b">
        <v>1</v>
      </c>
      <c r="K459" t="b">
        <v>0</v>
      </c>
      <c r="L459" t="b">
        <v>1</v>
      </c>
      <c r="M459" t="str">
        <f t="shared" si="14"/>
        <v>FACEBOOK</v>
      </c>
      <c r="N459" t="str">
        <f t="shared" si="15"/>
        <v>Urban-FACEBOOK</v>
      </c>
      <c r="O459">
        <v>14228</v>
      </c>
    </row>
    <row r="460" spans="1:15" x14ac:dyDescent="0.3">
      <c r="A460">
        <v>31</v>
      </c>
      <c r="B460" t="s">
        <v>25</v>
      </c>
      <c r="C460" s="1">
        <v>5</v>
      </c>
      <c r="D460" t="s">
        <v>13</v>
      </c>
      <c r="E460" t="s">
        <v>14</v>
      </c>
      <c r="F460" t="s">
        <v>27</v>
      </c>
      <c r="G460" t="s">
        <v>16</v>
      </c>
      <c r="H460" t="s">
        <v>21</v>
      </c>
      <c r="I460" s="2">
        <v>16794</v>
      </c>
      <c r="J460" t="b">
        <v>1</v>
      </c>
      <c r="K460" t="b">
        <v>1</v>
      </c>
      <c r="L460" t="b">
        <v>0</v>
      </c>
      <c r="M460" t="str">
        <f t="shared" si="14"/>
        <v>INSTAGRAM</v>
      </c>
      <c r="N460" t="str">
        <f t="shared" si="15"/>
        <v>Urban-INSTAGRAM</v>
      </c>
      <c r="O460">
        <v>16794</v>
      </c>
    </row>
    <row r="461" spans="1:15" x14ac:dyDescent="0.3">
      <c r="A461">
        <v>45</v>
      </c>
      <c r="B461" t="s">
        <v>18</v>
      </c>
      <c r="C461" s="1">
        <v>5</v>
      </c>
      <c r="D461" t="s">
        <v>28</v>
      </c>
      <c r="E461" t="s">
        <v>26</v>
      </c>
      <c r="F461" t="s">
        <v>27</v>
      </c>
      <c r="G461" t="s">
        <v>23</v>
      </c>
      <c r="H461" t="s">
        <v>17</v>
      </c>
      <c r="I461" s="2">
        <v>10120</v>
      </c>
      <c r="J461" t="b">
        <v>1</v>
      </c>
      <c r="K461" t="b">
        <v>1</v>
      </c>
      <c r="L461" t="b">
        <v>0</v>
      </c>
      <c r="M461" t="str">
        <f t="shared" si="14"/>
        <v>YOUTUBE</v>
      </c>
      <c r="N461" t="str">
        <f t="shared" si="15"/>
        <v>Sub_Urban-YOUTUBE</v>
      </c>
      <c r="O461">
        <v>10120</v>
      </c>
    </row>
    <row r="462" spans="1:15" x14ac:dyDescent="0.3">
      <c r="A462">
        <v>22</v>
      </c>
      <c r="B462" t="s">
        <v>25</v>
      </c>
      <c r="C462" s="1">
        <v>2</v>
      </c>
      <c r="D462" t="s">
        <v>19</v>
      </c>
      <c r="E462" t="s">
        <v>20</v>
      </c>
      <c r="F462" t="s">
        <v>22</v>
      </c>
      <c r="G462" t="s">
        <v>29</v>
      </c>
      <c r="H462" t="s">
        <v>17</v>
      </c>
      <c r="I462" s="2">
        <v>16749</v>
      </c>
      <c r="J462" t="b">
        <v>1</v>
      </c>
      <c r="K462" t="b">
        <v>1</v>
      </c>
      <c r="L462" t="b">
        <v>1</v>
      </c>
      <c r="M462" t="str">
        <f t="shared" si="14"/>
        <v>FACEBOOK</v>
      </c>
      <c r="N462" t="str">
        <f t="shared" si="15"/>
        <v>Rural-FACEBOOK</v>
      </c>
      <c r="O462">
        <v>16749</v>
      </c>
    </row>
    <row r="463" spans="1:15" x14ac:dyDescent="0.3">
      <c r="A463">
        <v>64</v>
      </c>
      <c r="B463" t="s">
        <v>25</v>
      </c>
      <c r="C463" s="1">
        <v>5</v>
      </c>
      <c r="D463" t="s">
        <v>13</v>
      </c>
      <c r="E463" t="s">
        <v>26</v>
      </c>
      <c r="F463" t="s">
        <v>22</v>
      </c>
      <c r="G463" t="s">
        <v>16</v>
      </c>
      <c r="H463" t="s">
        <v>21</v>
      </c>
      <c r="I463" s="2">
        <v>10964</v>
      </c>
      <c r="J463" t="b">
        <v>0</v>
      </c>
      <c r="K463" t="b">
        <v>0</v>
      </c>
      <c r="L463" t="b">
        <v>0</v>
      </c>
      <c r="M463" t="str">
        <f t="shared" si="14"/>
        <v>INSTAGRAM</v>
      </c>
      <c r="N463" t="str">
        <f t="shared" si="15"/>
        <v>Urban-INSTAGRAM</v>
      </c>
      <c r="O463">
        <v>10964</v>
      </c>
    </row>
    <row r="464" spans="1:15" x14ac:dyDescent="0.3">
      <c r="A464">
        <v>47</v>
      </c>
      <c r="B464" t="s">
        <v>12</v>
      </c>
      <c r="C464" s="1">
        <v>4</v>
      </c>
      <c r="D464" t="s">
        <v>19</v>
      </c>
      <c r="E464" t="s">
        <v>14</v>
      </c>
      <c r="F464" t="s">
        <v>15</v>
      </c>
      <c r="G464" t="s">
        <v>23</v>
      </c>
      <c r="H464" t="s">
        <v>24</v>
      </c>
      <c r="I464" s="2">
        <v>14224</v>
      </c>
      <c r="J464" t="b">
        <v>1</v>
      </c>
      <c r="K464" t="b">
        <v>0</v>
      </c>
      <c r="L464" t="b">
        <v>1</v>
      </c>
      <c r="M464" t="str">
        <f t="shared" si="14"/>
        <v>FACEBOOK</v>
      </c>
      <c r="N464" t="str">
        <f t="shared" si="15"/>
        <v>Sub_Urban-FACEBOOK</v>
      </c>
      <c r="O464">
        <v>14224</v>
      </c>
    </row>
    <row r="465" spans="1:15" x14ac:dyDescent="0.3">
      <c r="A465">
        <v>63</v>
      </c>
      <c r="B465" t="s">
        <v>12</v>
      </c>
      <c r="C465" s="1">
        <v>1</v>
      </c>
      <c r="D465" t="s">
        <v>28</v>
      </c>
      <c r="E465" t="s">
        <v>20</v>
      </c>
      <c r="F465" t="s">
        <v>27</v>
      </c>
      <c r="G465" t="s">
        <v>29</v>
      </c>
      <c r="H465" t="s">
        <v>21</v>
      </c>
      <c r="I465" s="2">
        <v>13675</v>
      </c>
      <c r="J465" t="b">
        <v>0</v>
      </c>
      <c r="K465" t="b">
        <v>1</v>
      </c>
      <c r="L465" t="b">
        <v>1</v>
      </c>
      <c r="M465" t="str">
        <f t="shared" si="14"/>
        <v>YOUTUBE</v>
      </c>
      <c r="N465" t="str">
        <f t="shared" si="15"/>
        <v>Rural-YOUTUBE</v>
      </c>
      <c r="O465">
        <v>13675</v>
      </c>
    </row>
    <row r="466" spans="1:15" x14ac:dyDescent="0.3">
      <c r="A466">
        <v>22</v>
      </c>
      <c r="B466" t="s">
        <v>25</v>
      </c>
      <c r="C466" s="1">
        <v>3</v>
      </c>
      <c r="D466" t="s">
        <v>28</v>
      </c>
      <c r="E466" t="s">
        <v>20</v>
      </c>
      <c r="F466" t="s">
        <v>22</v>
      </c>
      <c r="G466" t="s">
        <v>23</v>
      </c>
      <c r="H466" t="s">
        <v>17</v>
      </c>
      <c r="I466" s="2">
        <v>15694</v>
      </c>
      <c r="J466" t="b">
        <v>1</v>
      </c>
      <c r="K466" t="b">
        <v>1</v>
      </c>
      <c r="L466" t="b">
        <v>0</v>
      </c>
      <c r="M466" t="str">
        <f t="shared" si="14"/>
        <v>YOUTUBE</v>
      </c>
      <c r="N466" t="str">
        <f t="shared" si="15"/>
        <v>Sub_Urban-YOUTUBE</v>
      </c>
      <c r="O466">
        <v>15694</v>
      </c>
    </row>
    <row r="467" spans="1:15" x14ac:dyDescent="0.3">
      <c r="A467">
        <v>29</v>
      </c>
      <c r="B467" t="s">
        <v>12</v>
      </c>
      <c r="C467" s="1">
        <v>1</v>
      </c>
      <c r="D467" t="s">
        <v>28</v>
      </c>
      <c r="E467" t="s">
        <v>14</v>
      </c>
      <c r="F467" t="s">
        <v>27</v>
      </c>
      <c r="G467" t="s">
        <v>23</v>
      </c>
      <c r="H467" t="s">
        <v>21</v>
      </c>
      <c r="I467" s="2">
        <v>12076</v>
      </c>
      <c r="J467" t="b">
        <v>0</v>
      </c>
      <c r="K467" t="b">
        <v>0</v>
      </c>
      <c r="L467" t="b">
        <v>1</v>
      </c>
      <c r="M467" t="str">
        <f t="shared" si="14"/>
        <v>YOUTUBE</v>
      </c>
      <c r="N467" t="str">
        <f t="shared" si="15"/>
        <v>Sub_Urban-YOUTUBE</v>
      </c>
      <c r="O467">
        <v>12076</v>
      </c>
    </row>
    <row r="468" spans="1:15" x14ac:dyDescent="0.3">
      <c r="A468">
        <v>33</v>
      </c>
      <c r="B468" t="s">
        <v>18</v>
      </c>
      <c r="C468" s="1">
        <v>5</v>
      </c>
      <c r="D468" t="s">
        <v>19</v>
      </c>
      <c r="E468" t="s">
        <v>20</v>
      </c>
      <c r="F468" t="s">
        <v>15</v>
      </c>
      <c r="G468" t="s">
        <v>16</v>
      </c>
      <c r="H468" t="s">
        <v>24</v>
      </c>
      <c r="I468" s="2">
        <v>16865</v>
      </c>
      <c r="J468" t="b">
        <v>0</v>
      </c>
      <c r="K468" t="b">
        <v>1</v>
      </c>
      <c r="L468" t="b">
        <v>0</v>
      </c>
      <c r="M468" t="str">
        <f t="shared" si="14"/>
        <v>FACEBOOK</v>
      </c>
      <c r="N468" t="str">
        <f t="shared" si="15"/>
        <v>Urban-FACEBOOK</v>
      </c>
      <c r="O468">
        <v>16865</v>
      </c>
    </row>
    <row r="469" spans="1:15" x14ac:dyDescent="0.3">
      <c r="A469">
        <v>43</v>
      </c>
      <c r="B469" t="s">
        <v>18</v>
      </c>
      <c r="C469" s="1">
        <v>4</v>
      </c>
      <c r="D469" t="s">
        <v>19</v>
      </c>
      <c r="E469" t="s">
        <v>20</v>
      </c>
      <c r="F469" t="s">
        <v>15</v>
      </c>
      <c r="G469" t="s">
        <v>16</v>
      </c>
      <c r="H469" t="s">
        <v>21</v>
      </c>
      <c r="I469" s="2">
        <v>15643</v>
      </c>
      <c r="J469" t="b">
        <v>0</v>
      </c>
      <c r="K469" t="b">
        <v>0</v>
      </c>
      <c r="L469" t="b">
        <v>1</v>
      </c>
      <c r="M469" t="str">
        <f t="shared" si="14"/>
        <v>FACEBOOK</v>
      </c>
      <c r="N469" t="str">
        <f t="shared" si="15"/>
        <v>Urban-FACEBOOK</v>
      </c>
      <c r="O469">
        <v>15643</v>
      </c>
    </row>
    <row r="470" spans="1:15" x14ac:dyDescent="0.3">
      <c r="A470">
        <v>43</v>
      </c>
      <c r="B470" t="s">
        <v>12</v>
      </c>
      <c r="C470" s="1">
        <v>7</v>
      </c>
      <c r="D470" t="s">
        <v>13</v>
      </c>
      <c r="E470" t="s">
        <v>26</v>
      </c>
      <c r="F470" t="s">
        <v>15</v>
      </c>
      <c r="G470" t="s">
        <v>16</v>
      </c>
      <c r="H470" t="s">
        <v>17</v>
      </c>
      <c r="I470" s="2">
        <v>18524</v>
      </c>
      <c r="J470" t="b">
        <v>0</v>
      </c>
      <c r="K470" t="b">
        <v>1</v>
      </c>
      <c r="L470" t="b">
        <v>0</v>
      </c>
      <c r="M470" t="str">
        <f t="shared" si="14"/>
        <v>INSTAGRAM</v>
      </c>
      <c r="N470" t="str">
        <f t="shared" si="15"/>
        <v>Urban-INSTAGRAM</v>
      </c>
      <c r="O470">
        <v>18524</v>
      </c>
    </row>
    <row r="471" spans="1:15" x14ac:dyDescent="0.3">
      <c r="A471">
        <v>38</v>
      </c>
      <c r="B471" t="s">
        <v>18</v>
      </c>
      <c r="C471" s="1">
        <v>5</v>
      </c>
      <c r="D471" t="s">
        <v>28</v>
      </c>
      <c r="E471" t="s">
        <v>14</v>
      </c>
      <c r="F471" t="s">
        <v>27</v>
      </c>
      <c r="G471" t="s">
        <v>23</v>
      </c>
      <c r="H471" t="s">
        <v>17</v>
      </c>
      <c r="I471" s="2">
        <v>15249</v>
      </c>
      <c r="J471" t="b">
        <v>1</v>
      </c>
      <c r="K471" t="b">
        <v>0</v>
      </c>
      <c r="L471" t="b">
        <v>1</v>
      </c>
      <c r="M471" t="str">
        <f t="shared" si="14"/>
        <v>YOUTUBE</v>
      </c>
      <c r="N471" t="str">
        <f t="shared" si="15"/>
        <v>Sub_Urban-YOUTUBE</v>
      </c>
      <c r="O471">
        <v>15249</v>
      </c>
    </row>
    <row r="472" spans="1:15" x14ac:dyDescent="0.3">
      <c r="A472">
        <v>56</v>
      </c>
      <c r="B472" t="s">
        <v>12</v>
      </c>
      <c r="C472" s="1">
        <v>4</v>
      </c>
      <c r="D472" t="s">
        <v>19</v>
      </c>
      <c r="E472" t="s">
        <v>14</v>
      </c>
      <c r="F472" t="s">
        <v>22</v>
      </c>
      <c r="G472" t="s">
        <v>16</v>
      </c>
      <c r="H472" t="s">
        <v>21</v>
      </c>
      <c r="I472" s="2">
        <v>11316</v>
      </c>
      <c r="J472" t="b">
        <v>1</v>
      </c>
      <c r="K472" t="b">
        <v>1</v>
      </c>
      <c r="L472" t="b">
        <v>0</v>
      </c>
      <c r="M472" t="str">
        <f t="shared" si="14"/>
        <v>FACEBOOK</v>
      </c>
      <c r="N472" t="str">
        <f t="shared" si="15"/>
        <v>Urban-FACEBOOK</v>
      </c>
      <c r="O472">
        <v>11316</v>
      </c>
    </row>
    <row r="473" spans="1:15" x14ac:dyDescent="0.3">
      <c r="A473">
        <v>53</v>
      </c>
      <c r="B473" t="s">
        <v>25</v>
      </c>
      <c r="C473" s="1">
        <v>2</v>
      </c>
      <c r="D473" t="s">
        <v>28</v>
      </c>
      <c r="E473" t="s">
        <v>14</v>
      </c>
      <c r="F473" t="s">
        <v>22</v>
      </c>
      <c r="G473" t="s">
        <v>23</v>
      </c>
      <c r="H473" t="s">
        <v>24</v>
      </c>
      <c r="I473" s="2">
        <v>11196</v>
      </c>
      <c r="J473" t="b">
        <v>1</v>
      </c>
      <c r="K473" t="b">
        <v>1</v>
      </c>
      <c r="L473" t="b">
        <v>1</v>
      </c>
      <c r="M473" t="str">
        <f t="shared" si="14"/>
        <v>YOUTUBE</v>
      </c>
      <c r="N473" t="str">
        <f t="shared" si="15"/>
        <v>Sub_Urban-YOUTUBE</v>
      </c>
      <c r="O473">
        <v>11196</v>
      </c>
    </row>
    <row r="474" spans="1:15" x14ac:dyDescent="0.3">
      <c r="A474">
        <v>50</v>
      </c>
      <c r="B474" t="s">
        <v>25</v>
      </c>
      <c r="C474" s="1">
        <v>4</v>
      </c>
      <c r="D474" t="s">
        <v>28</v>
      </c>
      <c r="E474" t="s">
        <v>14</v>
      </c>
      <c r="F474" t="s">
        <v>15</v>
      </c>
      <c r="G474" t="s">
        <v>23</v>
      </c>
      <c r="H474" t="s">
        <v>21</v>
      </c>
      <c r="I474" s="2">
        <v>13170</v>
      </c>
      <c r="J474" t="b">
        <v>0</v>
      </c>
      <c r="K474" t="b">
        <v>0</v>
      </c>
      <c r="L474" t="b">
        <v>1</v>
      </c>
      <c r="M474" t="str">
        <f t="shared" si="14"/>
        <v>YOUTUBE</v>
      </c>
      <c r="N474" t="str">
        <f t="shared" si="15"/>
        <v>Sub_Urban-YOUTUBE</v>
      </c>
      <c r="O474">
        <v>13170</v>
      </c>
    </row>
    <row r="475" spans="1:15" x14ac:dyDescent="0.3">
      <c r="A475">
        <v>47</v>
      </c>
      <c r="B475" t="s">
        <v>18</v>
      </c>
      <c r="C475" s="1">
        <v>2</v>
      </c>
      <c r="D475" t="s">
        <v>13</v>
      </c>
      <c r="E475" t="s">
        <v>14</v>
      </c>
      <c r="F475" t="s">
        <v>22</v>
      </c>
      <c r="G475" t="s">
        <v>16</v>
      </c>
      <c r="H475" t="s">
        <v>24</v>
      </c>
      <c r="I475" s="2">
        <v>19621</v>
      </c>
      <c r="J475" t="b">
        <v>1</v>
      </c>
      <c r="K475" t="b">
        <v>0</v>
      </c>
      <c r="L475" t="b">
        <v>0</v>
      </c>
      <c r="M475" t="str">
        <f t="shared" si="14"/>
        <v>INSTAGRAM</v>
      </c>
      <c r="N475" t="str">
        <f t="shared" si="15"/>
        <v>Urban-INSTAGRAM</v>
      </c>
      <c r="O475">
        <v>19621</v>
      </c>
    </row>
    <row r="476" spans="1:15" x14ac:dyDescent="0.3">
      <c r="A476">
        <v>54</v>
      </c>
      <c r="B476" t="s">
        <v>12</v>
      </c>
      <c r="C476" s="1">
        <v>8</v>
      </c>
      <c r="D476" t="s">
        <v>13</v>
      </c>
      <c r="E476" t="s">
        <v>20</v>
      </c>
      <c r="F476" t="s">
        <v>15</v>
      </c>
      <c r="G476" t="s">
        <v>29</v>
      </c>
      <c r="H476" t="s">
        <v>24</v>
      </c>
      <c r="I476" s="2">
        <v>10355</v>
      </c>
      <c r="J476" t="b">
        <v>1</v>
      </c>
      <c r="K476" t="b">
        <v>0</v>
      </c>
      <c r="L476" t="b">
        <v>1</v>
      </c>
      <c r="M476" t="str">
        <f t="shared" si="14"/>
        <v>INSTAGRAM</v>
      </c>
      <c r="N476" t="str">
        <f t="shared" si="15"/>
        <v>Rural-INSTAGRAM</v>
      </c>
      <c r="O476">
        <v>10355</v>
      </c>
    </row>
    <row r="477" spans="1:15" x14ac:dyDescent="0.3">
      <c r="A477">
        <v>40</v>
      </c>
      <c r="B477" t="s">
        <v>12</v>
      </c>
      <c r="C477" s="1">
        <v>3</v>
      </c>
      <c r="D477" t="s">
        <v>13</v>
      </c>
      <c r="E477" t="s">
        <v>26</v>
      </c>
      <c r="F477" t="s">
        <v>27</v>
      </c>
      <c r="G477" t="s">
        <v>29</v>
      </c>
      <c r="H477" t="s">
        <v>21</v>
      </c>
      <c r="I477" s="2">
        <v>19718</v>
      </c>
      <c r="J477" t="b">
        <v>1</v>
      </c>
      <c r="K477" t="b">
        <v>1</v>
      </c>
      <c r="L477" t="b">
        <v>0</v>
      </c>
      <c r="M477" t="str">
        <f t="shared" si="14"/>
        <v>INSTAGRAM</v>
      </c>
      <c r="N477" t="str">
        <f t="shared" si="15"/>
        <v>Rural-INSTAGRAM</v>
      </c>
      <c r="O477">
        <v>19718</v>
      </c>
    </row>
    <row r="478" spans="1:15" x14ac:dyDescent="0.3">
      <c r="A478">
        <v>27</v>
      </c>
      <c r="B478" t="s">
        <v>18</v>
      </c>
      <c r="C478" s="1">
        <v>9</v>
      </c>
      <c r="D478" t="s">
        <v>13</v>
      </c>
      <c r="E478" t="s">
        <v>14</v>
      </c>
      <c r="F478" t="s">
        <v>15</v>
      </c>
      <c r="G478" t="s">
        <v>29</v>
      </c>
      <c r="H478" t="s">
        <v>24</v>
      </c>
      <c r="I478" s="2">
        <v>10028</v>
      </c>
      <c r="J478" t="b">
        <v>1</v>
      </c>
      <c r="K478" t="b">
        <v>0</v>
      </c>
      <c r="L478" t="b">
        <v>0</v>
      </c>
      <c r="M478" t="str">
        <f t="shared" si="14"/>
        <v>INSTAGRAM</v>
      </c>
      <c r="N478" t="str">
        <f t="shared" si="15"/>
        <v>Rural-INSTAGRAM</v>
      </c>
      <c r="O478">
        <v>10028</v>
      </c>
    </row>
    <row r="479" spans="1:15" x14ac:dyDescent="0.3">
      <c r="A479">
        <v>22</v>
      </c>
      <c r="B479" t="s">
        <v>25</v>
      </c>
      <c r="C479" s="1">
        <v>4</v>
      </c>
      <c r="D479" t="s">
        <v>28</v>
      </c>
      <c r="E479" t="s">
        <v>26</v>
      </c>
      <c r="F479" t="s">
        <v>27</v>
      </c>
      <c r="G479" t="s">
        <v>23</v>
      </c>
      <c r="H479" t="s">
        <v>17</v>
      </c>
      <c r="I479" s="2">
        <v>11013</v>
      </c>
      <c r="J479" t="b">
        <v>0</v>
      </c>
      <c r="K479" t="b">
        <v>0</v>
      </c>
      <c r="L479" t="b">
        <v>1</v>
      </c>
      <c r="M479" t="str">
        <f t="shared" si="14"/>
        <v>YOUTUBE</v>
      </c>
      <c r="N479" t="str">
        <f t="shared" si="15"/>
        <v>Sub_Urban-YOUTUBE</v>
      </c>
      <c r="O479">
        <v>11013</v>
      </c>
    </row>
    <row r="480" spans="1:15" x14ac:dyDescent="0.3">
      <c r="A480">
        <v>53</v>
      </c>
      <c r="B480" t="s">
        <v>18</v>
      </c>
      <c r="C480" s="1">
        <v>6</v>
      </c>
      <c r="D480" t="s">
        <v>13</v>
      </c>
      <c r="E480" t="s">
        <v>26</v>
      </c>
      <c r="F480" t="s">
        <v>15</v>
      </c>
      <c r="G480" t="s">
        <v>23</v>
      </c>
      <c r="H480" t="s">
        <v>21</v>
      </c>
      <c r="I480" s="2">
        <v>19019</v>
      </c>
      <c r="J480" t="b">
        <v>0</v>
      </c>
      <c r="K480" t="b">
        <v>1</v>
      </c>
      <c r="L480" t="b">
        <v>1</v>
      </c>
      <c r="M480" t="str">
        <f t="shared" si="14"/>
        <v>INSTAGRAM</v>
      </c>
      <c r="N480" t="str">
        <f t="shared" si="15"/>
        <v>Sub_Urban-INSTAGRAM</v>
      </c>
      <c r="O480">
        <v>19019</v>
      </c>
    </row>
    <row r="481" spans="1:15" x14ac:dyDescent="0.3">
      <c r="A481">
        <v>51</v>
      </c>
      <c r="B481" t="s">
        <v>25</v>
      </c>
      <c r="C481" s="1">
        <v>5</v>
      </c>
      <c r="D481" t="s">
        <v>13</v>
      </c>
      <c r="E481" t="s">
        <v>20</v>
      </c>
      <c r="F481" t="s">
        <v>22</v>
      </c>
      <c r="G481" t="s">
        <v>23</v>
      </c>
      <c r="H481" t="s">
        <v>24</v>
      </c>
      <c r="I481" s="2">
        <v>12024</v>
      </c>
      <c r="J481" t="b">
        <v>1</v>
      </c>
      <c r="K481" t="b">
        <v>0</v>
      </c>
      <c r="L481" t="b">
        <v>1</v>
      </c>
      <c r="M481" t="str">
        <f t="shared" si="14"/>
        <v>INSTAGRAM</v>
      </c>
      <c r="N481" t="str">
        <f t="shared" si="15"/>
        <v>Sub_Urban-INSTAGRAM</v>
      </c>
      <c r="O481">
        <v>12024</v>
      </c>
    </row>
    <row r="482" spans="1:15" x14ac:dyDescent="0.3">
      <c r="A482">
        <v>48</v>
      </c>
      <c r="B482" t="s">
        <v>12</v>
      </c>
      <c r="C482" s="1">
        <v>1</v>
      </c>
      <c r="D482" t="s">
        <v>13</v>
      </c>
      <c r="E482" t="s">
        <v>14</v>
      </c>
      <c r="F482" t="s">
        <v>22</v>
      </c>
      <c r="G482" t="s">
        <v>16</v>
      </c>
      <c r="H482" t="s">
        <v>17</v>
      </c>
      <c r="I482" s="2">
        <v>18490</v>
      </c>
      <c r="J482" t="b">
        <v>1</v>
      </c>
      <c r="K482" t="b">
        <v>0</v>
      </c>
      <c r="L482" t="b">
        <v>1</v>
      </c>
      <c r="M482" t="str">
        <f t="shared" si="14"/>
        <v>INSTAGRAM</v>
      </c>
      <c r="N482" t="str">
        <f t="shared" si="15"/>
        <v>Urban-INSTAGRAM</v>
      </c>
      <c r="O482">
        <v>18490</v>
      </c>
    </row>
    <row r="483" spans="1:15" x14ac:dyDescent="0.3">
      <c r="A483">
        <v>27</v>
      </c>
      <c r="B483" t="s">
        <v>25</v>
      </c>
      <c r="C483" s="1">
        <v>9</v>
      </c>
      <c r="D483" t="s">
        <v>13</v>
      </c>
      <c r="E483" t="s">
        <v>20</v>
      </c>
      <c r="F483" t="s">
        <v>15</v>
      </c>
      <c r="G483" t="s">
        <v>23</v>
      </c>
      <c r="H483" t="s">
        <v>21</v>
      </c>
      <c r="I483" s="2">
        <v>15839</v>
      </c>
      <c r="J483" t="b">
        <v>1</v>
      </c>
      <c r="K483" t="b">
        <v>0</v>
      </c>
      <c r="L483" t="b">
        <v>0</v>
      </c>
      <c r="M483" t="str">
        <f t="shared" si="14"/>
        <v>INSTAGRAM</v>
      </c>
      <c r="N483" t="str">
        <f t="shared" si="15"/>
        <v>Sub_Urban-INSTAGRAM</v>
      </c>
      <c r="O483">
        <v>15839</v>
      </c>
    </row>
    <row r="484" spans="1:15" x14ac:dyDescent="0.3">
      <c r="A484">
        <v>36</v>
      </c>
      <c r="B484" t="s">
        <v>18</v>
      </c>
      <c r="C484" s="1">
        <v>1</v>
      </c>
      <c r="D484" t="s">
        <v>28</v>
      </c>
      <c r="E484" t="s">
        <v>14</v>
      </c>
      <c r="F484" t="s">
        <v>22</v>
      </c>
      <c r="G484" t="s">
        <v>16</v>
      </c>
      <c r="H484" t="s">
        <v>17</v>
      </c>
      <c r="I484" s="2">
        <v>15791</v>
      </c>
      <c r="J484" t="b">
        <v>0</v>
      </c>
      <c r="K484" t="b">
        <v>1</v>
      </c>
      <c r="L484" t="b">
        <v>1</v>
      </c>
      <c r="M484" t="str">
        <f t="shared" si="14"/>
        <v>YOUTUBE</v>
      </c>
      <c r="N484" t="str">
        <f t="shared" si="15"/>
        <v>Urban-YOUTUBE</v>
      </c>
      <c r="O484">
        <v>15791</v>
      </c>
    </row>
    <row r="485" spans="1:15" x14ac:dyDescent="0.3">
      <c r="A485">
        <v>49</v>
      </c>
      <c r="B485" t="s">
        <v>12</v>
      </c>
      <c r="C485" s="1">
        <v>8</v>
      </c>
      <c r="D485" t="s">
        <v>13</v>
      </c>
      <c r="E485" t="s">
        <v>20</v>
      </c>
      <c r="F485" t="s">
        <v>22</v>
      </c>
      <c r="G485" t="s">
        <v>16</v>
      </c>
      <c r="H485" t="s">
        <v>17</v>
      </c>
      <c r="I485" s="2">
        <v>10754</v>
      </c>
      <c r="J485" t="b">
        <v>0</v>
      </c>
      <c r="K485" t="b">
        <v>1</v>
      </c>
      <c r="L485" t="b">
        <v>1</v>
      </c>
      <c r="M485" t="str">
        <f t="shared" si="14"/>
        <v>INSTAGRAM</v>
      </c>
      <c r="N485" t="str">
        <f t="shared" si="15"/>
        <v>Urban-INSTAGRAM</v>
      </c>
      <c r="O485">
        <v>10754</v>
      </c>
    </row>
    <row r="486" spans="1:15" x14ac:dyDescent="0.3">
      <c r="A486">
        <v>18</v>
      </c>
      <c r="B486" t="s">
        <v>18</v>
      </c>
      <c r="C486" s="1">
        <v>9</v>
      </c>
      <c r="D486" t="s">
        <v>28</v>
      </c>
      <c r="E486" t="s">
        <v>26</v>
      </c>
      <c r="F486" t="s">
        <v>22</v>
      </c>
      <c r="G486" t="s">
        <v>29</v>
      </c>
      <c r="H486" t="s">
        <v>17</v>
      </c>
      <c r="I486" s="2">
        <v>18961</v>
      </c>
      <c r="J486" t="b">
        <v>0</v>
      </c>
      <c r="K486" t="b">
        <v>1</v>
      </c>
      <c r="L486" t="b">
        <v>1</v>
      </c>
      <c r="M486" t="str">
        <f t="shared" si="14"/>
        <v>YOUTUBE</v>
      </c>
      <c r="N486" t="str">
        <f t="shared" si="15"/>
        <v>Rural-YOUTUBE</v>
      </c>
      <c r="O486">
        <v>18961</v>
      </c>
    </row>
    <row r="487" spans="1:15" x14ac:dyDescent="0.3">
      <c r="A487">
        <v>22</v>
      </c>
      <c r="B487" t="s">
        <v>18</v>
      </c>
      <c r="C487" s="1">
        <v>9</v>
      </c>
      <c r="D487" t="s">
        <v>19</v>
      </c>
      <c r="E487" t="s">
        <v>14</v>
      </c>
      <c r="F487" t="s">
        <v>27</v>
      </c>
      <c r="G487" t="s">
        <v>29</v>
      </c>
      <c r="H487" t="s">
        <v>24</v>
      </c>
      <c r="I487" s="2">
        <v>13735</v>
      </c>
      <c r="J487" t="b">
        <v>1</v>
      </c>
      <c r="K487" t="b">
        <v>0</v>
      </c>
      <c r="L487" t="b">
        <v>0</v>
      </c>
      <c r="M487" t="str">
        <f t="shared" si="14"/>
        <v>FACEBOOK</v>
      </c>
      <c r="N487" t="str">
        <f t="shared" si="15"/>
        <v>Rural-FACEBOOK</v>
      </c>
      <c r="O487">
        <v>13735</v>
      </c>
    </row>
    <row r="488" spans="1:15" x14ac:dyDescent="0.3">
      <c r="A488">
        <v>62</v>
      </c>
      <c r="B488" t="s">
        <v>25</v>
      </c>
      <c r="C488" s="1">
        <v>1</v>
      </c>
      <c r="D488" t="s">
        <v>28</v>
      </c>
      <c r="E488" t="s">
        <v>26</v>
      </c>
      <c r="F488" t="s">
        <v>22</v>
      </c>
      <c r="G488" t="s">
        <v>29</v>
      </c>
      <c r="H488" t="s">
        <v>21</v>
      </c>
      <c r="I488" s="2">
        <v>11238</v>
      </c>
      <c r="J488" t="b">
        <v>0</v>
      </c>
      <c r="K488" t="b">
        <v>1</v>
      </c>
      <c r="L488" t="b">
        <v>1</v>
      </c>
      <c r="M488" t="str">
        <f t="shared" si="14"/>
        <v>YOUTUBE</v>
      </c>
      <c r="N488" t="str">
        <f t="shared" si="15"/>
        <v>Rural-YOUTUBE</v>
      </c>
      <c r="O488">
        <v>11238</v>
      </c>
    </row>
    <row r="489" spans="1:15" x14ac:dyDescent="0.3">
      <c r="A489">
        <v>21</v>
      </c>
      <c r="B489" t="s">
        <v>18</v>
      </c>
      <c r="C489" s="1">
        <v>2</v>
      </c>
      <c r="D489" t="s">
        <v>28</v>
      </c>
      <c r="E489" t="s">
        <v>26</v>
      </c>
      <c r="F489" t="s">
        <v>27</v>
      </c>
      <c r="G489" t="s">
        <v>16</v>
      </c>
      <c r="H489" t="s">
        <v>21</v>
      </c>
      <c r="I489" s="2">
        <v>11906</v>
      </c>
      <c r="J489" t="b">
        <v>0</v>
      </c>
      <c r="K489" t="b">
        <v>0</v>
      </c>
      <c r="L489" t="b">
        <v>0</v>
      </c>
      <c r="M489" t="str">
        <f t="shared" si="14"/>
        <v>YOUTUBE</v>
      </c>
      <c r="N489" t="str">
        <f t="shared" si="15"/>
        <v>Urban-YOUTUBE</v>
      </c>
      <c r="O489">
        <v>11906</v>
      </c>
    </row>
    <row r="490" spans="1:15" x14ac:dyDescent="0.3">
      <c r="A490">
        <v>33</v>
      </c>
      <c r="B490" t="s">
        <v>25</v>
      </c>
      <c r="C490" s="1">
        <v>1</v>
      </c>
      <c r="D490" t="s">
        <v>13</v>
      </c>
      <c r="E490" t="s">
        <v>20</v>
      </c>
      <c r="F490" t="s">
        <v>15</v>
      </c>
      <c r="G490" t="s">
        <v>16</v>
      </c>
      <c r="H490" t="s">
        <v>24</v>
      </c>
      <c r="I490" s="2">
        <v>17399</v>
      </c>
      <c r="J490" t="b">
        <v>0</v>
      </c>
      <c r="K490" t="b">
        <v>0</v>
      </c>
      <c r="L490" t="b">
        <v>1</v>
      </c>
      <c r="M490" t="str">
        <f t="shared" si="14"/>
        <v>INSTAGRAM</v>
      </c>
      <c r="N490" t="str">
        <f t="shared" si="15"/>
        <v>Urban-INSTAGRAM</v>
      </c>
      <c r="O490">
        <v>17399</v>
      </c>
    </row>
    <row r="491" spans="1:15" x14ac:dyDescent="0.3">
      <c r="A491">
        <v>41</v>
      </c>
      <c r="B491" t="s">
        <v>12</v>
      </c>
      <c r="C491" s="1">
        <v>2</v>
      </c>
      <c r="D491" t="s">
        <v>19</v>
      </c>
      <c r="E491" t="s">
        <v>14</v>
      </c>
      <c r="F491" t="s">
        <v>22</v>
      </c>
      <c r="G491" t="s">
        <v>16</v>
      </c>
      <c r="H491" t="s">
        <v>21</v>
      </c>
      <c r="I491" s="2">
        <v>17961</v>
      </c>
      <c r="J491" t="b">
        <v>0</v>
      </c>
      <c r="K491" t="b">
        <v>0</v>
      </c>
      <c r="L491" t="b">
        <v>0</v>
      </c>
      <c r="M491" t="str">
        <f t="shared" si="14"/>
        <v>FACEBOOK</v>
      </c>
      <c r="N491" t="str">
        <f t="shared" si="15"/>
        <v>Urban-FACEBOOK</v>
      </c>
      <c r="O491">
        <v>17961</v>
      </c>
    </row>
    <row r="492" spans="1:15" x14ac:dyDescent="0.3">
      <c r="A492">
        <v>33</v>
      </c>
      <c r="B492" t="s">
        <v>25</v>
      </c>
      <c r="C492" s="1">
        <v>8</v>
      </c>
      <c r="D492" t="s">
        <v>19</v>
      </c>
      <c r="E492" t="s">
        <v>26</v>
      </c>
      <c r="F492" t="s">
        <v>22</v>
      </c>
      <c r="G492" t="s">
        <v>23</v>
      </c>
      <c r="H492" t="s">
        <v>17</v>
      </c>
      <c r="I492" s="2">
        <v>19756</v>
      </c>
      <c r="J492" t="b">
        <v>0</v>
      </c>
      <c r="K492" t="b">
        <v>1</v>
      </c>
      <c r="L492" t="b">
        <v>1</v>
      </c>
      <c r="M492" t="str">
        <f t="shared" si="14"/>
        <v>FACEBOOK</v>
      </c>
      <c r="N492" t="str">
        <f t="shared" si="15"/>
        <v>Sub_Urban-FACEBOOK</v>
      </c>
      <c r="O492">
        <v>19756</v>
      </c>
    </row>
    <row r="493" spans="1:15" x14ac:dyDescent="0.3">
      <c r="A493">
        <v>19</v>
      </c>
      <c r="B493" t="s">
        <v>12</v>
      </c>
      <c r="C493" s="1">
        <v>5</v>
      </c>
      <c r="D493" t="s">
        <v>19</v>
      </c>
      <c r="E493" t="s">
        <v>20</v>
      </c>
      <c r="F493" t="s">
        <v>22</v>
      </c>
      <c r="G493" t="s">
        <v>16</v>
      </c>
      <c r="H493" t="s">
        <v>21</v>
      </c>
      <c r="I493" s="2">
        <v>19410</v>
      </c>
      <c r="J493" t="b">
        <v>1</v>
      </c>
      <c r="K493" t="b">
        <v>1</v>
      </c>
      <c r="L493" t="b">
        <v>1</v>
      </c>
      <c r="M493" t="str">
        <f t="shared" si="14"/>
        <v>FACEBOOK</v>
      </c>
      <c r="N493" t="str">
        <f t="shared" si="15"/>
        <v>Urban-FACEBOOK</v>
      </c>
      <c r="O493">
        <v>19410</v>
      </c>
    </row>
    <row r="494" spans="1:15" x14ac:dyDescent="0.3">
      <c r="A494">
        <v>45</v>
      </c>
      <c r="B494" t="s">
        <v>25</v>
      </c>
      <c r="C494" s="1">
        <v>7</v>
      </c>
      <c r="D494" t="s">
        <v>19</v>
      </c>
      <c r="E494" t="s">
        <v>14</v>
      </c>
      <c r="F494" t="s">
        <v>15</v>
      </c>
      <c r="G494" t="s">
        <v>29</v>
      </c>
      <c r="H494" t="s">
        <v>24</v>
      </c>
      <c r="I494" s="2">
        <v>14601</v>
      </c>
      <c r="J494" t="b">
        <v>1</v>
      </c>
      <c r="K494" t="b">
        <v>0</v>
      </c>
      <c r="L494" t="b">
        <v>0</v>
      </c>
      <c r="M494" t="str">
        <f t="shared" si="14"/>
        <v>FACEBOOK</v>
      </c>
      <c r="N494" t="str">
        <f t="shared" si="15"/>
        <v>Rural-FACEBOOK</v>
      </c>
      <c r="O494">
        <v>14601</v>
      </c>
    </row>
    <row r="495" spans="1:15" x14ac:dyDescent="0.3">
      <c r="A495">
        <v>49</v>
      </c>
      <c r="B495" t="s">
        <v>18</v>
      </c>
      <c r="C495" s="1">
        <v>2</v>
      </c>
      <c r="D495" t="s">
        <v>28</v>
      </c>
      <c r="E495" t="s">
        <v>14</v>
      </c>
      <c r="F495" t="s">
        <v>27</v>
      </c>
      <c r="G495" t="s">
        <v>29</v>
      </c>
      <c r="H495" t="s">
        <v>17</v>
      </c>
      <c r="I495" s="2">
        <v>19549</v>
      </c>
      <c r="J495" t="b">
        <v>1</v>
      </c>
      <c r="K495" t="b">
        <v>0</v>
      </c>
      <c r="L495" t="b">
        <v>1</v>
      </c>
      <c r="M495" t="str">
        <f t="shared" si="14"/>
        <v>YOUTUBE</v>
      </c>
      <c r="N495" t="str">
        <f t="shared" si="15"/>
        <v>Rural-YOUTUBE</v>
      </c>
      <c r="O495">
        <v>19549</v>
      </c>
    </row>
    <row r="496" spans="1:15" x14ac:dyDescent="0.3">
      <c r="A496">
        <v>44</v>
      </c>
      <c r="B496" t="s">
        <v>25</v>
      </c>
      <c r="C496" s="1">
        <v>8</v>
      </c>
      <c r="D496" t="s">
        <v>19</v>
      </c>
      <c r="E496" t="s">
        <v>26</v>
      </c>
      <c r="F496" t="s">
        <v>27</v>
      </c>
      <c r="G496" t="s">
        <v>16</v>
      </c>
      <c r="H496" t="s">
        <v>24</v>
      </c>
      <c r="I496" s="2">
        <v>11460</v>
      </c>
      <c r="J496" t="b">
        <v>1</v>
      </c>
      <c r="K496" t="b">
        <v>1</v>
      </c>
      <c r="L496" t="b">
        <v>1</v>
      </c>
      <c r="M496" t="str">
        <f t="shared" si="14"/>
        <v>FACEBOOK</v>
      </c>
      <c r="N496" t="str">
        <f t="shared" si="15"/>
        <v>Urban-FACEBOOK</v>
      </c>
      <c r="O496">
        <v>11460</v>
      </c>
    </row>
    <row r="497" spans="1:15" x14ac:dyDescent="0.3">
      <c r="A497">
        <v>37</v>
      </c>
      <c r="B497" t="s">
        <v>25</v>
      </c>
      <c r="C497" s="1">
        <v>6</v>
      </c>
      <c r="D497" t="s">
        <v>28</v>
      </c>
      <c r="E497" t="s">
        <v>14</v>
      </c>
      <c r="F497" t="s">
        <v>22</v>
      </c>
      <c r="G497" t="s">
        <v>16</v>
      </c>
      <c r="H497" t="s">
        <v>17</v>
      </c>
      <c r="I497" s="2">
        <v>17669</v>
      </c>
      <c r="J497" t="b">
        <v>0</v>
      </c>
      <c r="K497" t="b">
        <v>1</v>
      </c>
      <c r="L497" t="b">
        <v>1</v>
      </c>
      <c r="M497" t="str">
        <f t="shared" si="14"/>
        <v>YOUTUBE</v>
      </c>
      <c r="N497" t="str">
        <f t="shared" si="15"/>
        <v>Urban-YOUTUBE</v>
      </c>
      <c r="O497">
        <v>17669</v>
      </c>
    </row>
    <row r="498" spans="1:15" x14ac:dyDescent="0.3">
      <c r="A498">
        <v>41</v>
      </c>
      <c r="B498" t="s">
        <v>12</v>
      </c>
      <c r="C498" s="1">
        <v>8</v>
      </c>
      <c r="D498" t="s">
        <v>28</v>
      </c>
      <c r="E498" t="s">
        <v>26</v>
      </c>
      <c r="F498" t="s">
        <v>15</v>
      </c>
      <c r="G498" t="s">
        <v>29</v>
      </c>
      <c r="H498" t="s">
        <v>17</v>
      </c>
      <c r="I498" s="2">
        <v>11416</v>
      </c>
      <c r="J498" t="b">
        <v>1</v>
      </c>
      <c r="K498" t="b">
        <v>1</v>
      </c>
      <c r="L498" t="b">
        <v>0</v>
      </c>
      <c r="M498" t="str">
        <f t="shared" si="14"/>
        <v>YOUTUBE</v>
      </c>
      <c r="N498" t="str">
        <f t="shared" si="15"/>
        <v>Rural-YOUTUBE</v>
      </c>
      <c r="O498">
        <v>11416</v>
      </c>
    </row>
    <row r="499" spans="1:15" x14ac:dyDescent="0.3">
      <c r="A499">
        <v>29</v>
      </c>
      <c r="B499" t="s">
        <v>18</v>
      </c>
      <c r="C499" s="1">
        <v>1</v>
      </c>
      <c r="D499" t="s">
        <v>28</v>
      </c>
      <c r="E499" t="s">
        <v>14</v>
      </c>
      <c r="F499" t="s">
        <v>15</v>
      </c>
      <c r="G499" t="s">
        <v>16</v>
      </c>
      <c r="H499" t="s">
        <v>21</v>
      </c>
      <c r="I499" s="2">
        <v>17766</v>
      </c>
      <c r="J499" t="b">
        <v>1</v>
      </c>
      <c r="K499" t="b">
        <v>0</v>
      </c>
      <c r="L499" t="b">
        <v>1</v>
      </c>
      <c r="M499" t="str">
        <f t="shared" si="14"/>
        <v>YOUTUBE</v>
      </c>
      <c r="N499" t="str">
        <f t="shared" si="15"/>
        <v>Urban-YOUTUBE</v>
      </c>
      <c r="O499">
        <v>17766</v>
      </c>
    </row>
    <row r="500" spans="1:15" x14ac:dyDescent="0.3">
      <c r="A500">
        <v>52</v>
      </c>
      <c r="B500" t="s">
        <v>25</v>
      </c>
      <c r="C500" s="1">
        <v>1</v>
      </c>
      <c r="D500" t="s">
        <v>19</v>
      </c>
      <c r="E500" t="s">
        <v>20</v>
      </c>
      <c r="F500" t="s">
        <v>15</v>
      </c>
      <c r="G500" t="s">
        <v>29</v>
      </c>
      <c r="H500" t="s">
        <v>17</v>
      </c>
      <c r="I500" s="2">
        <v>11428</v>
      </c>
      <c r="J500" t="b">
        <v>1</v>
      </c>
      <c r="K500" t="b">
        <v>1</v>
      </c>
      <c r="L500" t="b">
        <v>0</v>
      </c>
      <c r="M500" t="str">
        <f t="shared" si="14"/>
        <v>FACEBOOK</v>
      </c>
      <c r="N500" t="str">
        <f t="shared" si="15"/>
        <v>Rural-FACEBOOK</v>
      </c>
      <c r="O500">
        <v>11428</v>
      </c>
    </row>
    <row r="501" spans="1:15" x14ac:dyDescent="0.3">
      <c r="A501">
        <v>50</v>
      </c>
      <c r="B501" t="s">
        <v>18</v>
      </c>
      <c r="C501" s="1">
        <v>7</v>
      </c>
      <c r="D501" t="s">
        <v>13</v>
      </c>
      <c r="E501" t="s">
        <v>26</v>
      </c>
      <c r="F501" t="s">
        <v>15</v>
      </c>
      <c r="G501" t="s">
        <v>23</v>
      </c>
      <c r="H501" t="s">
        <v>24</v>
      </c>
      <c r="I501" s="2">
        <v>14378</v>
      </c>
      <c r="J501" t="b">
        <v>0</v>
      </c>
      <c r="K501" t="b">
        <v>1</v>
      </c>
      <c r="L501" t="b">
        <v>0</v>
      </c>
      <c r="M501" t="str">
        <f t="shared" si="14"/>
        <v>INSTAGRAM</v>
      </c>
      <c r="N501" t="str">
        <f t="shared" si="15"/>
        <v>Sub_Urban-INSTAGRAM</v>
      </c>
      <c r="O501">
        <v>14378</v>
      </c>
    </row>
    <row r="502" spans="1:15" x14ac:dyDescent="0.3">
      <c r="A502">
        <v>50</v>
      </c>
      <c r="B502" t="s">
        <v>25</v>
      </c>
      <c r="C502" s="1">
        <v>8</v>
      </c>
      <c r="D502" t="s">
        <v>13</v>
      </c>
      <c r="E502" t="s">
        <v>26</v>
      </c>
      <c r="F502" t="s">
        <v>15</v>
      </c>
      <c r="G502" t="s">
        <v>29</v>
      </c>
      <c r="H502" t="s">
        <v>21</v>
      </c>
      <c r="I502" s="2">
        <v>17529</v>
      </c>
      <c r="J502" t="b">
        <v>1</v>
      </c>
      <c r="K502" t="b">
        <v>1</v>
      </c>
      <c r="L502" t="b">
        <v>0</v>
      </c>
      <c r="M502" t="str">
        <f t="shared" si="14"/>
        <v>INSTAGRAM</v>
      </c>
      <c r="N502" t="str">
        <f t="shared" si="15"/>
        <v>Rural-INSTAGRAM</v>
      </c>
      <c r="O502">
        <v>17529</v>
      </c>
    </row>
    <row r="503" spans="1:15" x14ac:dyDescent="0.3">
      <c r="A503">
        <v>60</v>
      </c>
      <c r="B503" t="s">
        <v>25</v>
      </c>
      <c r="C503" s="1">
        <v>3</v>
      </c>
      <c r="D503" t="s">
        <v>19</v>
      </c>
      <c r="E503" t="s">
        <v>14</v>
      </c>
      <c r="F503" t="s">
        <v>27</v>
      </c>
      <c r="G503" t="s">
        <v>23</v>
      </c>
      <c r="H503" t="s">
        <v>24</v>
      </c>
      <c r="I503" s="2">
        <v>14474</v>
      </c>
      <c r="J503" t="b">
        <v>0</v>
      </c>
      <c r="K503" t="b">
        <v>0</v>
      </c>
      <c r="L503" t="b">
        <v>1</v>
      </c>
      <c r="M503" t="str">
        <f t="shared" si="14"/>
        <v>FACEBOOK</v>
      </c>
      <c r="N503" t="str">
        <f t="shared" si="15"/>
        <v>Sub_Urban-FACEBOOK</v>
      </c>
      <c r="O503">
        <v>14474</v>
      </c>
    </row>
    <row r="504" spans="1:15" x14ac:dyDescent="0.3">
      <c r="A504">
        <v>54</v>
      </c>
      <c r="B504" t="s">
        <v>18</v>
      </c>
      <c r="C504" s="1">
        <v>5</v>
      </c>
      <c r="D504" t="s">
        <v>13</v>
      </c>
      <c r="E504" t="s">
        <v>14</v>
      </c>
      <c r="F504" t="s">
        <v>27</v>
      </c>
      <c r="G504" t="s">
        <v>16</v>
      </c>
      <c r="H504" t="s">
        <v>17</v>
      </c>
      <c r="I504" s="2">
        <v>13071</v>
      </c>
      <c r="J504" t="b">
        <v>0</v>
      </c>
      <c r="K504" t="b">
        <v>1</v>
      </c>
      <c r="L504" t="b">
        <v>0</v>
      </c>
      <c r="M504" t="str">
        <f t="shared" si="14"/>
        <v>INSTAGRAM</v>
      </c>
      <c r="N504" t="str">
        <f t="shared" si="15"/>
        <v>Urban-INSTAGRAM</v>
      </c>
      <c r="O504">
        <v>13071</v>
      </c>
    </row>
    <row r="505" spans="1:15" x14ac:dyDescent="0.3">
      <c r="A505">
        <v>29</v>
      </c>
      <c r="B505" t="s">
        <v>25</v>
      </c>
      <c r="C505" s="1">
        <v>1</v>
      </c>
      <c r="D505" t="s">
        <v>13</v>
      </c>
      <c r="E505" t="s">
        <v>26</v>
      </c>
      <c r="F505" t="s">
        <v>27</v>
      </c>
      <c r="G505" t="s">
        <v>16</v>
      </c>
      <c r="H505" t="s">
        <v>24</v>
      </c>
      <c r="I505" s="2">
        <v>10555</v>
      </c>
      <c r="J505" t="b">
        <v>0</v>
      </c>
      <c r="K505" t="b">
        <v>0</v>
      </c>
      <c r="L505" t="b">
        <v>0</v>
      </c>
      <c r="M505" t="str">
        <f t="shared" si="14"/>
        <v>INSTAGRAM</v>
      </c>
      <c r="N505" t="str">
        <f t="shared" si="15"/>
        <v>Urban-INSTAGRAM</v>
      </c>
      <c r="O505">
        <v>10555</v>
      </c>
    </row>
    <row r="506" spans="1:15" x14ac:dyDescent="0.3">
      <c r="A506">
        <v>20</v>
      </c>
      <c r="B506" t="s">
        <v>18</v>
      </c>
      <c r="C506" s="1">
        <v>7</v>
      </c>
      <c r="D506" t="s">
        <v>28</v>
      </c>
      <c r="E506" t="s">
        <v>14</v>
      </c>
      <c r="F506" t="s">
        <v>22</v>
      </c>
      <c r="G506" t="s">
        <v>23</v>
      </c>
      <c r="H506" t="s">
        <v>24</v>
      </c>
      <c r="I506" s="2">
        <v>18547</v>
      </c>
      <c r="J506" t="b">
        <v>1</v>
      </c>
      <c r="K506" t="b">
        <v>0</v>
      </c>
      <c r="L506" t="b">
        <v>1</v>
      </c>
      <c r="M506" t="str">
        <f t="shared" si="14"/>
        <v>YOUTUBE</v>
      </c>
      <c r="N506" t="str">
        <f t="shared" si="15"/>
        <v>Sub_Urban-YOUTUBE</v>
      </c>
      <c r="O506">
        <v>18547</v>
      </c>
    </row>
    <row r="507" spans="1:15" x14ac:dyDescent="0.3">
      <c r="A507">
        <v>18</v>
      </c>
      <c r="B507" t="s">
        <v>25</v>
      </c>
      <c r="C507" s="1">
        <v>5</v>
      </c>
      <c r="D507" t="s">
        <v>28</v>
      </c>
      <c r="E507" t="s">
        <v>20</v>
      </c>
      <c r="F507" t="s">
        <v>15</v>
      </c>
      <c r="G507" t="s">
        <v>16</v>
      </c>
      <c r="H507" t="s">
        <v>17</v>
      </c>
      <c r="I507" s="2">
        <v>11563</v>
      </c>
      <c r="J507" t="b">
        <v>0</v>
      </c>
      <c r="K507" t="b">
        <v>0</v>
      </c>
      <c r="L507" t="b">
        <v>0</v>
      </c>
      <c r="M507" t="str">
        <f t="shared" si="14"/>
        <v>YOUTUBE</v>
      </c>
      <c r="N507" t="str">
        <f t="shared" si="15"/>
        <v>Urban-YOUTUBE</v>
      </c>
      <c r="O507">
        <v>11563</v>
      </c>
    </row>
    <row r="508" spans="1:15" x14ac:dyDescent="0.3">
      <c r="A508">
        <v>50</v>
      </c>
      <c r="B508" t="s">
        <v>12</v>
      </c>
      <c r="C508" s="1">
        <v>8</v>
      </c>
      <c r="D508" t="s">
        <v>19</v>
      </c>
      <c r="E508" t="s">
        <v>14</v>
      </c>
      <c r="F508" t="s">
        <v>22</v>
      </c>
      <c r="G508" t="s">
        <v>23</v>
      </c>
      <c r="H508" t="s">
        <v>21</v>
      </c>
      <c r="I508" s="2">
        <v>11040</v>
      </c>
      <c r="J508" t="b">
        <v>1</v>
      </c>
      <c r="K508" t="b">
        <v>1</v>
      </c>
      <c r="L508" t="b">
        <v>0</v>
      </c>
      <c r="M508" t="str">
        <f t="shared" si="14"/>
        <v>FACEBOOK</v>
      </c>
      <c r="N508" t="str">
        <f t="shared" si="15"/>
        <v>Sub_Urban-FACEBOOK</v>
      </c>
      <c r="O508">
        <v>11040</v>
      </c>
    </row>
    <row r="509" spans="1:15" x14ac:dyDescent="0.3">
      <c r="A509">
        <v>57</v>
      </c>
      <c r="B509" t="s">
        <v>18</v>
      </c>
      <c r="C509" s="1">
        <v>8</v>
      </c>
      <c r="D509" t="s">
        <v>19</v>
      </c>
      <c r="E509" t="s">
        <v>20</v>
      </c>
      <c r="F509" t="s">
        <v>15</v>
      </c>
      <c r="G509" t="s">
        <v>16</v>
      </c>
      <c r="H509" t="s">
        <v>24</v>
      </c>
      <c r="I509" s="2">
        <v>12686</v>
      </c>
      <c r="J509" t="b">
        <v>1</v>
      </c>
      <c r="K509" t="b">
        <v>1</v>
      </c>
      <c r="L509" t="b">
        <v>1</v>
      </c>
      <c r="M509" t="str">
        <f t="shared" si="14"/>
        <v>FACEBOOK</v>
      </c>
      <c r="N509" t="str">
        <f t="shared" si="15"/>
        <v>Urban-FACEBOOK</v>
      </c>
      <c r="O509">
        <v>12686</v>
      </c>
    </row>
    <row r="510" spans="1:15" x14ac:dyDescent="0.3">
      <c r="A510">
        <v>27</v>
      </c>
      <c r="B510" t="s">
        <v>25</v>
      </c>
      <c r="C510" s="1">
        <v>9</v>
      </c>
      <c r="D510" t="s">
        <v>13</v>
      </c>
      <c r="E510" t="s">
        <v>20</v>
      </c>
      <c r="F510" t="s">
        <v>27</v>
      </c>
      <c r="G510" t="s">
        <v>29</v>
      </c>
      <c r="H510" t="s">
        <v>17</v>
      </c>
      <c r="I510" s="2">
        <v>12553</v>
      </c>
      <c r="J510" t="b">
        <v>1</v>
      </c>
      <c r="K510" t="b">
        <v>1</v>
      </c>
      <c r="L510" t="b">
        <v>1</v>
      </c>
      <c r="M510" t="str">
        <f t="shared" si="14"/>
        <v>INSTAGRAM</v>
      </c>
      <c r="N510" t="str">
        <f t="shared" si="15"/>
        <v>Rural-INSTAGRAM</v>
      </c>
      <c r="O510">
        <v>12553</v>
      </c>
    </row>
    <row r="511" spans="1:15" x14ac:dyDescent="0.3">
      <c r="A511">
        <v>60</v>
      </c>
      <c r="B511" t="s">
        <v>25</v>
      </c>
      <c r="C511" s="1">
        <v>7</v>
      </c>
      <c r="D511" t="s">
        <v>28</v>
      </c>
      <c r="E511" t="s">
        <v>20</v>
      </c>
      <c r="F511" t="s">
        <v>22</v>
      </c>
      <c r="G511" t="s">
        <v>16</v>
      </c>
      <c r="H511" t="s">
        <v>21</v>
      </c>
      <c r="I511" s="2">
        <v>11779</v>
      </c>
      <c r="J511" t="b">
        <v>0</v>
      </c>
      <c r="K511" t="b">
        <v>0</v>
      </c>
      <c r="L511" t="b">
        <v>0</v>
      </c>
      <c r="M511" t="str">
        <f t="shared" si="14"/>
        <v>YOUTUBE</v>
      </c>
      <c r="N511" t="str">
        <f t="shared" si="15"/>
        <v>Urban-YOUTUBE</v>
      </c>
      <c r="O511">
        <v>11779</v>
      </c>
    </row>
    <row r="512" spans="1:15" x14ac:dyDescent="0.3">
      <c r="A512">
        <v>61</v>
      </c>
      <c r="B512" t="s">
        <v>12</v>
      </c>
      <c r="C512" s="1">
        <v>1</v>
      </c>
      <c r="D512" t="s">
        <v>19</v>
      </c>
      <c r="E512" t="s">
        <v>20</v>
      </c>
      <c r="F512" t="s">
        <v>27</v>
      </c>
      <c r="G512" t="s">
        <v>29</v>
      </c>
      <c r="H512" t="s">
        <v>21</v>
      </c>
      <c r="I512" s="2">
        <v>10075</v>
      </c>
      <c r="J512" t="b">
        <v>0</v>
      </c>
      <c r="K512" t="b">
        <v>1</v>
      </c>
      <c r="L512" t="b">
        <v>1</v>
      </c>
      <c r="M512" t="str">
        <f t="shared" si="14"/>
        <v>FACEBOOK</v>
      </c>
      <c r="N512" t="str">
        <f t="shared" si="15"/>
        <v>Rural-FACEBOOK</v>
      </c>
      <c r="O512">
        <v>10075</v>
      </c>
    </row>
    <row r="513" spans="1:15" x14ac:dyDescent="0.3">
      <c r="A513">
        <v>46</v>
      </c>
      <c r="B513" t="s">
        <v>18</v>
      </c>
      <c r="C513" s="1">
        <v>3</v>
      </c>
      <c r="D513" t="s">
        <v>19</v>
      </c>
      <c r="E513" t="s">
        <v>20</v>
      </c>
      <c r="F513" t="s">
        <v>15</v>
      </c>
      <c r="G513" t="s">
        <v>29</v>
      </c>
      <c r="H513" t="s">
        <v>21</v>
      </c>
      <c r="I513" s="2">
        <v>14326</v>
      </c>
      <c r="J513" t="b">
        <v>1</v>
      </c>
      <c r="K513" t="b">
        <v>0</v>
      </c>
      <c r="L513" t="b">
        <v>1</v>
      </c>
      <c r="M513" t="str">
        <f t="shared" si="14"/>
        <v>FACEBOOK</v>
      </c>
      <c r="N513" t="str">
        <f t="shared" si="15"/>
        <v>Rural-FACEBOOK</v>
      </c>
      <c r="O513">
        <v>14326</v>
      </c>
    </row>
    <row r="514" spans="1:15" x14ac:dyDescent="0.3">
      <c r="A514">
        <v>30</v>
      </c>
      <c r="B514" t="s">
        <v>25</v>
      </c>
      <c r="C514" s="1">
        <v>8</v>
      </c>
      <c r="D514" t="s">
        <v>19</v>
      </c>
      <c r="E514" t="s">
        <v>14</v>
      </c>
      <c r="F514" t="s">
        <v>15</v>
      </c>
      <c r="G514" t="s">
        <v>23</v>
      </c>
      <c r="H514" t="s">
        <v>24</v>
      </c>
      <c r="I514" s="2">
        <v>15835</v>
      </c>
      <c r="J514" t="b">
        <v>0</v>
      </c>
      <c r="K514" t="b">
        <v>1</v>
      </c>
      <c r="L514" t="b">
        <v>1</v>
      </c>
      <c r="M514" t="str">
        <f t="shared" ref="M514:M577" si="16">UPPER(D514)</f>
        <v>FACEBOOK</v>
      </c>
      <c r="N514" t="str">
        <f t="shared" ref="N514:N577" si="17">_xlfn.CONCAT(G514,"-",M514)</f>
        <v>Sub_Urban-FACEBOOK</v>
      </c>
      <c r="O514">
        <v>15835</v>
      </c>
    </row>
    <row r="515" spans="1:15" x14ac:dyDescent="0.3">
      <c r="A515">
        <v>29</v>
      </c>
      <c r="B515" t="s">
        <v>12</v>
      </c>
      <c r="C515" s="1">
        <v>3</v>
      </c>
      <c r="D515" t="s">
        <v>19</v>
      </c>
      <c r="E515" t="s">
        <v>20</v>
      </c>
      <c r="F515" t="s">
        <v>15</v>
      </c>
      <c r="G515" t="s">
        <v>16</v>
      </c>
      <c r="H515" t="s">
        <v>24</v>
      </c>
      <c r="I515" s="2">
        <v>15057</v>
      </c>
      <c r="J515" t="b">
        <v>0</v>
      </c>
      <c r="K515" t="b">
        <v>1</v>
      </c>
      <c r="L515" t="b">
        <v>0</v>
      </c>
      <c r="M515" t="str">
        <f t="shared" si="16"/>
        <v>FACEBOOK</v>
      </c>
      <c r="N515" t="str">
        <f t="shared" si="17"/>
        <v>Urban-FACEBOOK</v>
      </c>
      <c r="O515">
        <v>15057</v>
      </c>
    </row>
    <row r="516" spans="1:15" x14ac:dyDescent="0.3">
      <c r="A516">
        <v>48</v>
      </c>
      <c r="B516" t="s">
        <v>25</v>
      </c>
      <c r="C516" s="1">
        <v>8</v>
      </c>
      <c r="D516" t="s">
        <v>19</v>
      </c>
      <c r="E516" t="s">
        <v>14</v>
      </c>
      <c r="F516" t="s">
        <v>27</v>
      </c>
      <c r="G516" t="s">
        <v>23</v>
      </c>
      <c r="H516" t="s">
        <v>24</v>
      </c>
      <c r="I516" s="2">
        <v>12349</v>
      </c>
      <c r="J516" t="b">
        <v>0</v>
      </c>
      <c r="K516" t="b">
        <v>1</v>
      </c>
      <c r="L516" t="b">
        <v>0</v>
      </c>
      <c r="M516" t="str">
        <f t="shared" si="16"/>
        <v>FACEBOOK</v>
      </c>
      <c r="N516" t="str">
        <f t="shared" si="17"/>
        <v>Sub_Urban-FACEBOOK</v>
      </c>
      <c r="O516">
        <v>12349</v>
      </c>
    </row>
    <row r="517" spans="1:15" x14ac:dyDescent="0.3">
      <c r="A517">
        <v>63</v>
      </c>
      <c r="B517" t="s">
        <v>18</v>
      </c>
      <c r="C517" s="1">
        <v>1</v>
      </c>
      <c r="D517" t="s">
        <v>19</v>
      </c>
      <c r="E517" t="s">
        <v>20</v>
      </c>
      <c r="F517" t="s">
        <v>15</v>
      </c>
      <c r="G517" t="s">
        <v>16</v>
      </c>
      <c r="H517" t="s">
        <v>21</v>
      </c>
      <c r="I517" s="2">
        <v>12773</v>
      </c>
      <c r="J517" t="b">
        <v>1</v>
      </c>
      <c r="K517" t="b">
        <v>1</v>
      </c>
      <c r="L517" t="b">
        <v>1</v>
      </c>
      <c r="M517" t="str">
        <f t="shared" si="16"/>
        <v>FACEBOOK</v>
      </c>
      <c r="N517" t="str">
        <f t="shared" si="17"/>
        <v>Urban-FACEBOOK</v>
      </c>
      <c r="O517">
        <v>12773</v>
      </c>
    </row>
    <row r="518" spans="1:15" x14ac:dyDescent="0.3">
      <c r="A518">
        <v>19</v>
      </c>
      <c r="B518" t="s">
        <v>25</v>
      </c>
      <c r="C518" s="1">
        <v>5</v>
      </c>
      <c r="D518" t="s">
        <v>13</v>
      </c>
      <c r="E518" t="s">
        <v>26</v>
      </c>
      <c r="F518" t="s">
        <v>27</v>
      </c>
      <c r="G518" t="s">
        <v>29</v>
      </c>
      <c r="H518" t="s">
        <v>24</v>
      </c>
      <c r="I518" s="2">
        <v>12262</v>
      </c>
      <c r="J518" t="b">
        <v>0</v>
      </c>
      <c r="K518" t="b">
        <v>0</v>
      </c>
      <c r="L518" t="b">
        <v>0</v>
      </c>
      <c r="M518" t="str">
        <f t="shared" si="16"/>
        <v>INSTAGRAM</v>
      </c>
      <c r="N518" t="str">
        <f t="shared" si="17"/>
        <v>Rural-INSTAGRAM</v>
      </c>
      <c r="O518">
        <v>12262</v>
      </c>
    </row>
    <row r="519" spans="1:15" x14ac:dyDescent="0.3">
      <c r="A519">
        <v>52</v>
      </c>
      <c r="B519" t="s">
        <v>25</v>
      </c>
      <c r="C519" s="1">
        <v>4</v>
      </c>
      <c r="D519" t="s">
        <v>28</v>
      </c>
      <c r="E519" t="s">
        <v>20</v>
      </c>
      <c r="F519" t="s">
        <v>22</v>
      </c>
      <c r="G519" t="s">
        <v>29</v>
      </c>
      <c r="H519" t="s">
        <v>17</v>
      </c>
      <c r="I519" s="2">
        <v>13229</v>
      </c>
      <c r="J519" t="b">
        <v>0</v>
      </c>
      <c r="K519" t="b">
        <v>0</v>
      </c>
      <c r="L519" t="b">
        <v>1</v>
      </c>
      <c r="M519" t="str">
        <f t="shared" si="16"/>
        <v>YOUTUBE</v>
      </c>
      <c r="N519" t="str">
        <f t="shared" si="17"/>
        <v>Rural-YOUTUBE</v>
      </c>
      <c r="O519">
        <v>13229</v>
      </c>
    </row>
    <row r="520" spans="1:15" x14ac:dyDescent="0.3">
      <c r="A520">
        <v>40</v>
      </c>
      <c r="B520" t="s">
        <v>25</v>
      </c>
      <c r="C520" s="1">
        <v>5</v>
      </c>
      <c r="D520" t="s">
        <v>28</v>
      </c>
      <c r="E520" t="s">
        <v>26</v>
      </c>
      <c r="F520" t="s">
        <v>15</v>
      </c>
      <c r="G520" t="s">
        <v>16</v>
      </c>
      <c r="H520" t="s">
        <v>24</v>
      </c>
      <c r="I520" s="2">
        <v>10392</v>
      </c>
      <c r="J520" t="b">
        <v>1</v>
      </c>
      <c r="K520" t="b">
        <v>0</v>
      </c>
      <c r="L520" t="b">
        <v>1</v>
      </c>
      <c r="M520" t="str">
        <f t="shared" si="16"/>
        <v>YOUTUBE</v>
      </c>
      <c r="N520" t="str">
        <f t="shared" si="17"/>
        <v>Urban-YOUTUBE</v>
      </c>
      <c r="O520">
        <v>10392</v>
      </c>
    </row>
    <row r="521" spans="1:15" x14ac:dyDescent="0.3">
      <c r="A521">
        <v>34</v>
      </c>
      <c r="B521" t="s">
        <v>25</v>
      </c>
      <c r="C521" s="1">
        <v>8</v>
      </c>
      <c r="D521" t="s">
        <v>19</v>
      </c>
      <c r="E521" t="s">
        <v>20</v>
      </c>
      <c r="F521" t="s">
        <v>15</v>
      </c>
      <c r="G521" t="s">
        <v>16</v>
      </c>
      <c r="H521" t="s">
        <v>24</v>
      </c>
      <c r="I521" s="2">
        <v>11108</v>
      </c>
      <c r="J521" t="b">
        <v>0</v>
      </c>
      <c r="K521" t="b">
        <v>0</v>
      </c>
      <c r="L521" t="b">
        <v>1</v>
      </c>
      <c r="M521" t="str">
        <f t="shared" si="16"/>
        <v>FACEBOOK</v>
      </c>
      <c r="N521" t="str">
        <f t="shared" si="17"/>
        <v>Urban-FACEBOOK</v>
      </c>
      <c r="O521">
        <v>11108</v>
      </c>
    </row>
    <row r="522" spans="1:15" x14ac:dyDescent="0.3">
      <c r="A522">
        <v>43</v>
      </c>
      <c r="B522" t="s">
        <v>12</v>
      </c>
      <c r="C522" s="1">
        <v>4</v>
      </c>
      <c r="D522" t="s">
        <v>28</v>
      </c>
      <c r="E522" t="s">
        <v>20</v>
      </c>
      <c r="F522" t="s">
        <v>15</v>
      </c>
      <c r="G522" t="s">
        <v>23</v>
      </c>
      <c r="H522" t="s">
        <v>21</v>
      </c>
      <c r="I522" s="2">
        <v>14362</v>
      </c>
      <c r="J522" t="b">
        <v>1</v>
      </c>
      <c r="K522" t="b">
        <v>1</v>
      </c>
      <c r="L522" t="b">
        <v>1</v>
      </c>
      <c r="M522" t="str">
        <f t="shared" si="16"/>
        <v>YOUTUBE</v>
      </c>
      <c r="N522" t="str">
        <f t="shared" si="17"/>
        <v>Sub_Urban-YOUTUBE</v>
      </c>
      <c r="O522">
        <v>14362</v>
      </c>
    </row>
    <row r="523" spans="1:15" x14ac:dyDescent="0.3">
      <c r="A523">
        <v>25</v>
      </c>
      <c r="B523" t="s">
        <v>12</v>
      </c>
      <c r="C523" s="1">
        <v>4</v>
      </c>
      <c r="D523" t="s">
        <v>28</v>
      </c>
      <c r="E523" t="s">
        <v>20</v>
      </c>
      <c r="F523" t="s">
        <v>22</v>
      </c>
      <c r="G523" t="s">
        <v>16</v>
      </c>
      <c r="H523" t="s">
        <v>24</v>
      </c>
      <c r="I523" s="2">
        <v>15188</v>
      </c>
      <c r="J523" t="b">
        <v>0</v>
      </c>
      <c r="K523" t="b">
        <v>0</v>
      </c>
      <c r="L523" t="b">
        <v>1</v>
      </c>
      <c r="M523" t="str">
        <f t="shared" si="16"/>
        <v>YOUTUBE</v>
      </c>
      <c r="N523" t="str">
        <f t="shared" si="17"/>
        <v>Urban-YOUTUBE</v>
      </c>
      <c r="O523">
        <v>15188</v>
      </c>
    </row>
    <row r="524" spans="1:15" x14ac:dyDescent="0.3">
      <c r="A524">
        <v>46</v>
      </c>
      <c r="B524" t="s">
        <v>18</v>
      </c>
      <c r="C524" s="1">
        <v>3</v>
      </c>
      <c r="D524" t="s">
        <v>28</v>
      </c>
      <c r="E524" t="s">
        <v>26</v>
      </c>
      <c r="F524" t="s">
        <v>15</v>
      </c>
      <c r="G524" t="s">
        <v>16</v>
      </c>
      <c r="H524" t="s">
        <v>17</v>
      </c>
      <c r="I524" s="2">
        <v>18802</v>
      </c>
      <c r="J524" t="b">
        <v>0</v>
      </c>
      <c r="K524" t="b">
        <v>0</v>
      </c>
      <c r="L524" t="b">
        <v>0</v>
      </c>
      <c r="M524" t="str">
        <f t="shared" si="16"/>
        <v>YOUTUBE</v>
      </c>
      <c r="N524" t="str">
        <f t="shared" si="17"/>
        <v>Urban-YOUTUBE</v>
      </c>
      <c r="O524">
        <v>18802</v>
      </c>
    </row>
    <row r="525" spans="1:15" x14ac:dyDescent="0.3">
      <c r="A525">
        <v>43</v>
      </c>
      <c r="B525" t="s">
        <v>12</v>
      </c>
      <c r="C525" s="1">
        <v>7</v>
      </c>
      <c r="D525" t="s">
        <v>19</v>
      </c>
      <c r="E525" t="s">
        <v>26</v>
      </c>
      <c r="F525" t="s">
        <v>27</v>
      </c>
      <c r="G525" t="s">
        <v>16</v>
      </c>
      <c r="H525" t="s">
        <v>21</v>
      </c>
      <c r="I525" s="2">
        <v>15057</v>
      </c>
      <c r="J525" t="b">
        <v>0</v>
      </c>
      <c r="K525" t="b">
        <v>0</v>
      </c>
      <c r="L525" t="b">
        <v>0</v>
      </c>
      <c r="M525" t="str">
        <f t="shared" si="16"/>
        <v>FACEBOOK</v>
      </c>
      <c r="N525" t="str">
        <f t="shared" si="17"/>
        <v>Urban-FACEBOOK</v>
      </c>
      <c r="O525">
        <v>15057</v>
      </c>
    </row>
    <row r="526" spans="1:15" x14ac:dyDescent="0.3">
      <c r="A526">
        <v>27</v>
      </c>
      <c r="B526" t="s">
        <v>12</v>
      </c>
      <c r="C526" s="1">
        <v>3</v>
      </c>
      <c r="D526" t="s">
        <v>19</v>
      </c>
      <c r="E526" t="s">
        <v>20</v>
      </c>
      <c r="F526" t="s">
        <v>27</v>
      </c>
      <c r="G526" t="s">
        <v>23</v>
      </c>
      <c r="H526" t="s">
        <v>17</v>
      </c>
      <c r="I526" s="2">
        <v>13998</v>
      </c>
      <c r="J526" t="b">
        <v>0</v>
      </c>
      <c r="K526" t="b">
        <v>1</v>
      </c>
      <c r="L526" t="b">
        <v>0</v>
      </c>
      <c r="M526" t="str">
        <f t="shared" si="16"/>
        <v>FACEBOOK</v>
      </c>
      <c r="N526" t="str">
        <f t="shared" si="17"/>
        <v>Sub_Urban-FACEBOOK</v>
      </c>
      <c r="O526">
        <v>13998</v>
      </c>
    </row>
    <row r="527" spans="1:15" x14ac:dyDescent="0.3">
      <c r="A527">
        <v>43</v>
      </c>
      <c r="B527" t="s">
        <v>18</v>
      </c>
      <c r="C527" s="1">
        <v>3</v>
      </c>
      <c r="D527" t="s">
        <v>28</v>
      </c>
      <c r="E527" t="s">
        <v>14</v>
      </c>
      <c r="F527" t="s">
        <v>15</v>
      </c>
      <c r="G527" t="s">
        <v>16</v>
      </c>
      <c r="H527" t="s">
        <v>21</v>
      </c>
      <c r="I527" s="2">
        <v>18864</v>
      </c>
      <c r="J527" t="b">
        <v>0</v>
      </c>
      <c r="K527" t="b">
        <v>0</v>
      </c>
      <c r="L527" t="b">
        <v>0</v>
      </c>
      <c r="M527" t="str">
        <f t="shared" si="16"/>
        <v>YOUTUBE</v>
      </c>
      <c r="N527" t="str">
        <f t="shared" si="17"/>
        <v>Urban-YOUTUBE</v>
      </c>
      <c r="O527">
        <v>18864</v>
      </c>
    </row>
    <row r="528" spans="1:15" x14ac:dyDescent="0.3">
      <c r="A528">
        <v>51</v>
      </c>
      <c r="B528" t="s">
        <v>12</v>
      </c>
      <c r="C528" s="1">
        <v>5</v>
      </c>
      <c r="D528" t="s">
        <v>28</v>
      </c>
      <c r="E528" t="s">
        <v>20</v>
      </c>
      <c r="F528" t="s">
        <v>15</v>
      </c>
      <c r="G528" t="s">
        <v>29</v>
      </c>
      <c r="H528" t="s">
        <v>21</v>
      </c>
      <c r="I528" s="2">
        <v>16566</v>
      </c>
      <c r="J528" t="b">
        <v>0</v>
      </c>
      <c r="K528" t="b">
        <v>0</v>
      </c>
      <c r="L528" t="b">
        <v>1</v>
      </c>
      <c r="M528" t="str">
        <f t="shared" si="16"/>
        <v>YOUTUBE</v>
      </c>
      <c r="N528" t="str">
        <f t="shared" si="17"/>
        <v>Rural-YOUTUBE</v>
      </c>
      <c r="O528">
        <v>16566</v>
      </c>
    </row>
    <row r="529" spans="1:15" x14ac:dyDescent="0.3">
      <c r="A529">
        <v>58</v>
      </c>
      <c r="B529" t="s">
        <v>12</v>
      </c>
      <c r="C529" s="1">
        <v>5</v>
      </c>
      <c r="D529" t="s">
        <v>19</v>
      </c>
      <c r="E529" t="s">
        <v>26</v>
      </c>
      <c r="F529" t="s">
        <v>22</v>
      </c>
      <c r="G529" t="s">
        <v>23</v>
      </c>
      <c r="H529" t="s">
        <v>24</v>
      </c>
      <c r="I529" s="2">
        <v>13677</v>
      </c>
      <c r="J529" t="b">
        <v>1</v>
      </c>
      <c r="K529" t="b">
        <v>1</v>
      </c>
      <c r="L529" t="b">
        <v>1</v>
      </c>
      <c r="M529" t="str">
        <f t="shared" si="16"/>
        <v>FACEBOOK</v>
      </c>
      <c r="N529" t="str">
        <f t="shared" si="17"/>
        <v>Sub_Urban-FACEBOOK</v>
      </c>
      <c r="O529">
        <v>13677</v>
      </c>
    </row>
    <row r="530" spans="1:15" x14ac:dyDescent="0.3">
      <c r="A530">
        <v>24</v>
      </c>
      <c r="B530" t="s">
        <v>18</v>
      </c>
      <c r="C530" s="1">
        <v>6</v>
      </c>
      <c r="D530" t="s">
        <v>13</v>
      </c>
      <c r="E530" t="s">
        <v>20</v>
      </c>
      <c r="F530" t="s">
        <v>22</v>
      </c>
      <c r="G530" t="s">
        <v>23</v>
      </c>
      <c r="H530" t="s">
        <v>17</v>
      </c>
      <c r="I530" s="2">
        <v>15796</v>
      </c>
      <c r="J530" t="b">
        <v>0</v>
      </c>
      <c r="K530" t="b">
        <v>1</v>
      </c>
      <c r="L530" t="b">
        <v>0</v>
      </c>
      <c r="M530" t="str">
        <f t="shared" si="16"/>
        <v>INSTAGRAM</v>
      </c>
      <c r="N530" t="str">
        <f t="shared" si="17"/>
        <v>Sub_Urban-INSTAGRAM</v>
      </c>
      <c r="O530">
        <v>15796</v>
      </c>
    </row>
    <row r="531" spans="1:15" x14ac:dyDescent="0.3">
      <c r="A531">
        <v>21</v>
      </c>
      <c r="B531" t="s">
        <v>18</v>
      </c>
      <c r="C531" s="1">
        <v>8</v>
      </c>
      <c r="D531" t="s">
        <v>28</v>
      </c>
      <c r="E531" t="s">
        <v>26</v>
      </c>
      <c r="F531" t="s">
        <v>22</v>
      </c>
      <c r="G531" t="s">
        <v>29</v>
      </c>
      <c r="H531" t="s">
        <v>21</v>
      </c>
      <c r="I531" s="2">
        <v>16363</v>
      </c>
      <c r="J531" t="b">
        <v>0</v>
      </c>
      <c r="K531" t="b">
        <v>0</v>
      </c>
      <c r="L531" t="b">
        <v>0</v>
      </c>
      <c r="M531" t="str">
        <f t="shared" si="16"/>
        <v>YOUTUBE</v>
      </c>
      <c r="N531" t="str">
        <f t="shared" si="17"/>
        <v>Rural-YOUTUBE</v>
      </c>
      <c r="O531">
        <v>16363</v>
      </c>
    </row>
    <row r="532" spans="1:15" x14ac:dyDescent="0.3">
      <c r="A532">
        <v>62</v>
      </c>
      <c r="B532" t="s">
        <v>18</v>
      </c>
      <c r="C532" s="1">
        <v>6</v>
      </c>
      <c r="D532" t="s">
        <v>13</v>
      </c>
      <c r="E532" t="s">
        <v>26</v>
      </c>
      <c r="F532" t="s">
        <v>15</v>
      </c>
      <c r="G532" t="s">
        <v>29</v>
      </c>
      <c r="H532" t="s">
        <v>24</v>
      </c>
      <c r="I532" s="2">
        <v>18123</v>
      </c>
      <c r="J532" t="b">
        <v>0</v>
      </c>
      <c r="K532" t="b">
        <v>0</v>
      </c>
      <c r="L532" t="b">
        <v>1</v>
      </c>
      <c r="M532" t="str">
        <f t="shared" si="16"/>
        <v>INSTAGRAM</v>
      </c>
      <c r="N532" t="str">
        <f t="shared" si="17"/>
        <v>Rural-INSTAGRAM</v>
      </c>
      <c r="O532">
        <v>18123</v>
      </c>
    </row>
    <row r="533" spans="1:15" x14ac:dyDescent="0.3">
      <c r="A533">
        <v>28</v>
      </c>
      <c r="B533" t="s">
        <v>25</v>
      </c>
      <c r="C533" s="1">
        <v>1</v>
      </c>
      <c r="D533" t="s">
        <v>28</v>
      </c>
      <c r="E533" t="s">
        <v>26</v>
      </c>
      <c r="F533" t="s">
        <v>22</v>
      </c>
      <c r="G533" t="s">
        <v>29</v>
      </c>
      <c r="H533" t="s">
        <v>21</v>
      </c>
      <c r="I533" s="2">
        <v>18222</v>
      </c>
      <c r="J533" t="b">
        <v>1</v>
      </c>
      <c r="K533" t="b">
        <v>1</v>
      </c>
      <c r="L533" t="b">
        <v>1</v>
      </c>
      <c r="M533" t="str">
        <f t="shared" si="16"/>
        <v>YOUTUBE</v>
      </c>
      <c r="N533" t="str">
        <f t="shared" si="17"/>
        <v>Rural-YOUTUBE</v>
      </c>
      <c r="O533">
        <v>18222</v>
      </c>
    </row>
    <row r="534" spans="1:15" x14ac:dyDescent="0.3">
      <c r="A534">
        <v>46</v>
      </c>
      <c r="B534" t="s">
        <v>25</v>
      </c>
      <c r="C534" s="1">
        <v>8</v>
      </c>
      <c r="D534" t="s">
        <v>13</v>
      </c>
      <c r="E534" t="s">
        <v>20</v>
      </c>
      <c r="F534" t="s">
        <v>22</v>
      </c>
      <c r="G534" t="s">
        <v>16</v>
      </c>
      <c r="H534" t="s">
        <v>21</v>
      </c>
      <c r="I534" s="2">
        <v>17690</v>
      </c>
      <c r="J534" t="b">
        <v>1</v>
      </c>
      <c r="K534" t="b">
        <v>0</v>
      </c>
      <c r="L534" t="b">
        <v>1</v>
      </c>
      <c r="M534" t="str">
        <f t="shared" si="16"/>
        <v>INSTAGRAM</v>
      </c>
      <c r="N534" t="str">
        <f t="shared" si="17"/>
        <v>Urban-INSTAGRAM</v>
      </c>
      <c r="O534">
        <v>17690</v>
      </c>
    </row>
    <row r="535" spans="1:15" x14ac:dyDescent="0.3">
      <c r="A535">
        <v>53</v>
      </c>
      <c r="B535" t="s">
        <v>18</v>
      </c>
      <c r="C535" s="1">
        <v>8</v>
      </c>
      <c r="D535" t="s">
        <v>13</v>
      </c>
      <c r="E535" t="s">
        <v>26</v>
      </c>
      <c r="F535" t="s">
        <v>27</v>
      </c>
      <c r="G535" t="s">
        <v>29</v>
      </c>
      <c r="H535" t="s">
        <v>21</v>
      </c>
      <c r="I535" s="2">
        <v>11400</v>
      </c>
      <c r="J535" t="b">
        <v>1</v>
      </c>
      <c r="K535" t="b">
        <v>1</v>
      </c>
      <c r="L535" t="b">
        <v>0</v>
      </c>
      <c r="M535" t="str">
        <f t="shared" si="16"/>
        <v>INSTAGRAM</v>
      </c>
      <c r="N535" t="str">
        <f t="shared" si="17"/>
        <v>Rural-INSTAGRAM</v>
      </c>
      <c r="O535">
        <v>11400</v>
      </c>
    </row>
    <row r="536" spans="1:15" x14ac:dyDescent="0.3">
      <c r="A536">
        <v>42</v>
      </c>
      <c r="B536" t="s">
        <v>18</v>
      </c>
      <c r="C536" s="1">
        <v>9</v>
      </c>
      <c r="D536" t="s">
        <v>13</v>
      </c>
      <c r="E536" t="s">
        <v>26</v>
      </c>
      <c r="F536" t="s">
        <v>22</v>
      </c>
      <c r="G536" t="s">
        <v>16</v>
      </c>
      <c r="H536" t="s">
        <v>21</v>
      </c>
      <c r="I536" s="2">
        <v>14071</v>
      </c>
      <c r="J536" t="b">
        <v>0</v>
      </c>
      <c r="K536" t="b">
        <v>0</v>
      </c>
      <c r="L536" t="b">
        <v>1</v>
      </c>
      <c r="M536" t="str">
        <f t="shared" si="16"/>
        <v>INSTAGRAM</v>
      </c>
      <c r="N536" t="str">
        <f t="shared" si="17"/>
        <v>Urban-INSTAGRAM</v>
      </c>
      <c r="O536">
        <v>14071</v>
      </c>
    </row>
    <row r="537" spans="1:15" x14ac:dyDescent="0.3">
      <c r="A537">
        <v>38</v>
      </c>
      <c r="B537" t="s">
        <v>18</v>
      </c>
      <c r="C537" s="1">
        <v>9</v>
      </c>
      <c r="D537" t="s">
        <v>19</v>
      </c>
      <c r="E537" t="s">
        <v>20</v>
      </c>
      <c r="F537" t="s">
        <v>27</v>
      </c>
      <c r="G537" t="s">
        <v>23</v>
      </c>
      <c r="H537" t="s">
        <v>21</v>
      </c>
      <c r="I537" s="2">
        <v>18808</v>
      </c>
      <c r="J537" t="b">
        <v>0</v>
      </c>
      <c r="K537" t="b">
        <v>0</v>
      </c>
      <c r="L537" t="b">
        <v>1</v>
      </c>
      <c r="M537" t="str">
        <f t="shared" si="16"/>
        <v>FACEBOOK</v>
      </c>
      <c r="N537" t="str">
        <f t="shared" si="17"/>
        <v>Sub_Urban-FACEBOOK</v>
      </c>
      <c r="O537">
        <v>18808</v>
      </c>
    </row>
    <row r="538" spans="1:15" x14ac:dyDescent="0.3">
      <c r="A538">
        <v>53</v>
      </c>
      <c r="B538" t="s">
        <v>25</v>
      </c>
      <c r="C538" s="1">
        <v>2</v>
      </c>
      <c r="D538" t="s">
        <v>13</v>
      </c>
      <c r="E538" t="s">
        <v>26</v>
      </c>
      <c r="F538" t="s">
        <v>27</v>
      </c>
      <c r="G538" t="s">
        <v>23</v>
      </c>
      <c r="H538" t="s">
        <v>21</v>
      </c>
      <c r="I538" s="2">
        <v>12786</v>
      </c>
      <c r="J538" t="b">
        <v>1</v>
      </c>
      <c r="K538" t="b">
        <v>0</v>
      </c>
      <c r="L538" t="b">
        <v>0</v>
      </c>
      <c r="M538" t="str">
        <f t="shared" si="16"/>
        <v>INSTAGRAM</v>
      </c>
      <c r="N538" t="str">
        <f t="shared" si="17"/>
        <v>Sub_Urban-INSTAGRAM</v>
      </c>
      <c r="O538">
        <v>12786</v>
      </c>
    </row>
    <row r="539" spans="1:15" x14ac:dyDescent="0.3">
      <c r="A539">
        <v>27</v>
      </c>
      <c r="B539" t="s">
        <v>25</v>
      </c>
      <c r="C539" s="1">
        <v>2</v>
      </c>
      <c r="D539" t="s">
        <v>13</v>
      </c>
      <c r="E539" t="s">
        <v>20</v>
      </c>
      <c r="F539" t="s">
        <v>22</v>
      </c>
      <c r="G539" t="s">
        <v>29</v>
      </c>
      <c r="H539" t="s">
        <v>24</v>
      </c>
      <c r="I539" s="2">
        <v>17169</v>
      </c>
      <c r="J539" t="b">
        <v>1</v>
      </c>
      <c r="K539" t="b">
        <v>0</v>
      </c>
      <c r="L539" t="b">
        <v>0</v>
      </c>
      <c r="M539" t="str">
        <f t="shared" si="16"/>
        <v>INSTAGRAM</v>
      </c>
      <c r="N539" t="str">
        <f t="shared" si="17"/>
        <v>Rural-INSTAGRAM</v>
      </c>
      <c r="O539">
        <v>17169</v>
      </c>
    </row>
    <row r="540" spans="1:15" x14ac:dyDescent="0.3">
      <c r="A540">
        <v>54</v>
      </c>
      <c r="B540" t="s">
        <v>12</v>
      </c>
      <c r="C540" s="1">
        <v>3</v>
      </c>
      <c r="D540" t="s">
        <v>13</v>
      </c>
      <c r="E540" t="s">
        <v>26</v>
      </c>
      <c r="F540" t="s">
        <v>27</v>
      </c>
      <c r="G540" t="s">
        <v>16</v>
      </c>
      <c r="H540" t="s">
        <v>21</v>
      </c>
      <c r="I540" s="2">
        <v>10870</v>
      </c>
      <c r="J540" t="b">
        <v>1</v>
      </c>
      <c r="K540" t="b">
        <v>0</v>
      </c>
      <c r="L540" t="b">
        <v>0</v>
      </c>
      <c r="M540" t="str">
        <f t="shared" si="16"/>
        <v>INSTAGRAM</v>
      </c>
      <c r="N540" t="str">
        <f t="shared" si="17"/>
        <v>Urban-INSTAGRAM</v>
      </c>
      <c r="O540">
        <v>10870</v>
      </c>
    </row>
    <row r="541" spans="1:15" x14ac:dyDescent="0.3">
      <c r="A541">
        <v>26</v>
      </c>
      <c r="B541" t="s">
        <v>12</v>
      </c>
      <c r="C541" s="1">
        <v>1</v>
      </c>
      <c r="D541" t="s">
        <v>28</v>
      </c>
      <c r="E541" t="s">
        <v>14</v>
      </c>
      <c r="F541" t="s">
        <v>15</v>
      </c>
      <c r="G541" t="s">
        <v>29</v>
      </c>
      <c r="H541" t="s">
        <v>17</v>
      </c>
      <c r="I541" s="2">
        <v>14196</v>
      </c>
      <c r="J541" t="b">
        <v>0</v>
      </c>
      <c r="K541" t="b">
        <v>1</v>
      </c>
      <c r="L541" t="b">
        <v>1</v>
      </c>
      <c r="M541" t="str">
        <f t="shared" si="16"/>
        <v>YOUTUBE</v>
      </c>
      <c r="N541" t="str">
        <f t="shared" si="17"/>
        <v>Rural-YOUTUBE</v>
      </c>
      <c r="O541">
        <v>14196</v>
      </c>
    </row>
    <row r="542" spans="1:15" x14ac:dyDescent="0.3">
      <c r="A542">
        <v>41</v>
      </c>
      <c r="B542" t="s">
        <v>18</v>
      </c>
      <c r="C542" s="1">
        <v>4</v>
      </c>
      <c r="D542" t="s">
        <v>13</v>
      </c>
      <c r="E542" t="s">
        <v>14</v>
      </c>
      <c r="F542" t="s">
        <v>15</v>
      </c>
      <c r="G542" t="s">
        <v>29</v>
      </c>
      <c r="H542" t="s">
        <v>24</v>
      </c>
      <c r="I542" s="2">
        <v>19604</v>
      </c>
      <c r="J542" t="b">
        <v>1</v>
      </c>
      <c r="K542" t="b">
        <v>1</v>
      </c>
      <c r="L542" t="b">
        <v>1</v>
      </c>
      <c r="M542" t="str">
        <f t="shared" si="16"/>
        <v>INSTAGRAM</v>
      </c>
      <c r="N542" t="str">
        <f t="shared" si="17"/>
        <v>Rural-INSTAGRAM</v>
      </c>
      <c r="O542">
        <v>19604</v>
      </c>
    </row>
    <row r="543" spans="1:15" x14ac:dyDescent="0.3">
      <c r="A543">
        <v>52</v>
      </c>
      <c r="B543" t="s">
        <v>25</v>
      </c>
      <c r="C543" s="1">
        <v>4</v>
      </c>
      <c r="D543" t="s">
        <v>28</v>
      </c>
      <c r="E543" t="s">
        <v>26</v>
      </c>
      <c r="F543" t="s">
        <v>22</v>
      </c>
      <c r="G543" t="s">
        <v>16</v>
      </c>
      <c r="H543" t="s">
        <v>17</v>
      </c>
      <c r="I543" s="2">
        <v>12739</v>
      </c>
      <c r="J543" t="b">
        <v>0</v>
      </c>
      <c r="K543" t="b">
        <v>0</v>
      </c>
      <c r="L543" t="b">
        <v>0</v>
      </c>
      <c r="M543" t="str">
        <f t="shared" si="16"/>
        <v>YOUTUBE</v>
      </c>
      <c r="N543" t="str">
        <f t="shared" si="17"/>
        <v>Urban-YOUTUBE</v>
      </c>
      <c r="O543">
        <v>12739</v>
      </c>
    </row>
    <row r="544" spans="1:15" x14ac:dyDescent="0.3">
      <c r="A544">
        <v>52</v>
      </c>
      <c r="B544" t="s">
        <v>25</v>
      </c>
      <c r="C544" s="1">
        <v>9</v>
      </c>
      <c r="D544" t="s">
        <v>13</v>
      </c>
      <c r="E544" t="s">
        <v>14</v>
      </c>
      <c r="F544" t="s">
        <v>15</v>
      </c>
      <c r="G544" t="s">
        <v>29</v>
      </c>
      <c r="H544" t="s">
        <v>21</v>
      </c>
      <c r="I544" s="2">
        <v>10940</v>
      </c>
      <c r="J544" t="b">
        <v>0</v>
      </c>
      <c r="K544" t="b">
        <v>0</v>
      </c>
      <c r="L544" t="b">
        <v>1</v>
      </c>
      <c r="M544" t="str">
        <f t="shared" si="16"/>
        <v>INSTAGRAM</v>
      </c>
      <c r="N544" t="str">
        <f t="shared" si="17"/>
        <v>Rural-INSTAGRAM</v>
      </c>
      <c r="O544">
        <v>10940</v>
      </c>
    </row>
    <row r="545" spans="1:15" x14ac:dyDescent="0.3">
      <c r="A545">
        <v>53</v>
      </c>
      <c r="B545" t="s">
        <v>25</v>
      </c>
      <c r="C545" s="1">
        <v>9</v>
      </c>
      <c r="D545" t="s">
        <v>13</v>
      </c>
      <c r="E545" t="s">
        <v>20</v>
      </c>
      <c r="F545" t="s">
        <v>27</v>
      </c>
      <c r="G545" t="s">
        <v>23</v>
      </c>
      <c r="H545" t="s">
        <v>17</v>
      </c>
      <c r="I545" s="2">
        <v>10340</v>
      </c>
      <c r="J545" t="b">
        <v>0</v>
      </c>
      <c r="K545" t="b">
        <v>0</v>
      </c>
      <c r="L545" t="b">
        <v>1</v>
      </c>
      <c r="M545" t="str">
        <f t="shared" si="16"/>
        <v>INSTAGRAM</v>
      </c>
      <c r="N545" t="str">
        <f t="shared" si="17"/>
        <v>Sub_Urban-INSTAGRAM</v>
      </c>
      <c r="O545">
        <v>10340</v>
      </c>
    </row>
    <row r="546" spans="1:15" x14ac:dyDescent="0.3">
      <c r="A546">
        <v>35</v>
      </c>
      <c r="B546" t="s">
        <v>18</v>
      </c>
      <c r="C546" s="1">
        <v>9</v>
      </c>
      <c r="D546" t="s">
        <v>19</v>
      </c>
      <c r="E546" t="s">
        <v>14</v>
      </c>
      <c r="F546" t="s">
        <v>15</v>
      </c>
      <c r="G546" t="s">
        <v>29</v>
      </c>
      <c r="H546" t="s">
        <v>21</v>
      </c>
      <c r="I546" s="2">
        <v>17422</v>
      </c>
      <c r="J546" t="b">
        <v>1</v>
      </c>
      <c r="K546" t="b">
        <v>1</v>
      </c>
      <c r="L546" t="b">
        <v>1</v>
      </c>
      <c r="M546" t="str">
        <f t="shared" si="16"/>
        <v>FACEBOOK</v>
      </c>
      <c r="N546" t="str">
        <f t="shared" si="17"/>
        <v>Rural-FACEBOOK</v>
      </c>
      <c r="O546">
        <v>17422</v>
      </c>
    </row>
    <row r="547" spans="1:15" x14ac:dyDescent="0.3">
      <c r="A547">
        <v>56</v>
      </c>
      <c r="B547" t="s">
        <v>12</v>
      </c>
      <c r="C547" s="1">
        <v>7</v>
      </c>
      <c r="D547" t="s">
        <v>28</v>
      </c>
      <c r="E547" t="s">
        <v>26</v>
      </c>
      <c r="F547" t="s">
        <v>22</v>
      </c>
      <c r="G547" t="s">
        <v>16</v>
      </c>
      <c r="H547" t="s">
        <v>21</v>
      </c>
      <c r="I547" s="2">
        <v>14133</v>
      </c>
      <c r="J547" t="b">
        <v>0</v>
      </c>
      <c r="K547" t="b">
        <v>1</v>
      </c>
      <c r="L547" t="b">
        <v>0</v>
      </c>
      <c r="M547" t="str">
        <f t="shared" si="16"/>
        <v>YOUTUBE</v>
      </c>
      <c r="N547" t="str">
        <f t="shared" si="17"/>
        <v>Urban-YOUTUBE</v>
      </c>
      <c r="O547">
        <v>14133</v>
      </c>
    </row>
    <row r="548" spans="1:15" x14ac:dyDescent="0.3">
      <c r="A548">
        <v>49</v>
      </c>
      <c r="B548" t="s">
        <v>18</v>
      </c>
      <c r="C548" s="1">
        <v>2</v>
      </c>
      <c r="D548" t="s">
        <v>13</v>
      </c>
      <c r="E548" t="s">
        <v>26</v>
      </c>
      <c r="F548" t="s">
        <v>22</v>
      </c>
      <c r="G548" t="s">
        <v>16</v>
      </c>
      <c r="H548" t="s">
        <v>24</v>
      </c>
      <c r="I548" s="2">
        <v>10659</v>
      </c>
      <c r="J548" t="b">
        <v>1</v>
      </c>
      <c r="K548" t="b">
        <v>1</v>
      </c>
      <c r="L548" t="b">
        <v>0</v>
      </c>
      <c r="M548" t="str">
        <f t="shared" si="16"/>
        <v>INSTAGRAM</v>
      </c>
      <c r="N548" t="str">
        <f t="shared" si="17"/>
        <v>Urban-INSTAGRAM</v>
      </c>
      <c r="O548">
        <v>10659</v>
      </c>
    </row>
    <row r="549" spans="1:15" x14ac:dyDescent="0.3">
      <c r="A549">
        <v>41</v>
      </c>
      <c r="B549" t="s">
        <v>12</v>
      </c>
      <c r="C549" s="1">
        <v>5</v>
      </c>
      <c r="D549" t="s">
        <v>28</v>
      </c>
      <c r="E549" t="s">
        <v>20</v>
      </c>
      <c r="F549" t="s">
        <v>27</v>
      </c>
      <c r="G549" t="s">
        <v>23</v>
      </c>
      <c r="H549" t="s">
        <v>24</v>
      </c>
      <c r="I549" s="2">
        <v>19752</v>
      </c>
      <c r="J549" t="b">
        <v>1</v>
      </c>
      <c r="K549" t="b">
        <v>1</v>
      </c>
      <c r="L549" t="b">
        <v>1</v>
      </c>
      <c r="M549" t="str">
        <f t="shared" si="16"/>
        <v>YOUTUBE</v>
      </c>
      <c r="N549" t="str">
        <f t="shared" si="17"/>
        <v>Sub_Urban-YOUTUBE</v>
      </c>
      <c r="O549">
        <v>19752</v>
      </c>
    </row>
    <row r="550" spans="1:15" x14ac:dyDescent="0.3">
      <c r="A550">
        <v>40</v>
      </c>
      <c r="B550" t="s">
        <v>12</v>
      </c>
      <c r="C550" s="1">
        <v>4</v>
      </c>
      <c r="D550" t="s">
        <v>28</v>
      </c>
      <c r="E550" t="s">
        <v>26</v>
      </c>
      <c r="F550" t="s">
        <v>22</v>
      </c>
      <c r="G550" t="s">
        <v>16</v>
      </c>
      <c r="H550" t="s">
        <v>21</v>
      </c>
      <c r="I550" s="2">
        <v>13457</v>
      </c>
      <c r="J550" t="b">
        <v>1</v>
      </c>
      <c r="K550" t="b">
        <v>1</v>
      </c>
      <c r="L550" t="b">
        <v>1</v>
      </c>
      <c r="M550" t="str">
        <f t="shared" si="16"/>
        <v>YOUTUBE</v>
      </c>
      <c r="N550" t="str">
        <f t="shared" si="17"/>
        <v>Urban-YOUTUBE</v>
      </c>
      <c r="O550">
        <v>13457</v>
      </c>
    </row>
    <row r="551" spans="1:15" x14ac:dyDescent="0.3">
      <c r="A551">
        <v>49</v>
      </c>
      <c r="B551" t="s">
        <v>18</v>
      </c>
      <c r="C551" s="1">
        <v>8</v>
      </c>
      <c r="D551" t="s">
        <v>19</v>
      </c>
      <c r="E551" t="s">
        <v>20</v>
      </c>
      <c r="F551" t="s">
        <v>15</v>
      </c>
      <c r="G551" t="s">
        <v>16</v>
      </c>
      <c r="H551" t="s">
        <v>24</v>
      </c>
      <c r="I551" s="2">
        <v>19848</v>
      </c>
      <c r="J551" t="b">
        <v>1</v>
      </c>
      <c r="K551" t="b">
        <v>1</v>
      </c>
      <c r="L551" t="b">
        <v>1</v>
      </c>
      <c r="M551" t="str">
        <f t="shared" si="16"/>
        <v>FACEBOOK</v>
      </c>
      <c r="N551" t="str">
        <f t="shared" si="17"/>
        <v>Urban-FACEBOOK</v>
      </c>
      <c r="O551">
        <v>19848</v>
      </c>
    </row>
    <row r="552" spans="1:15" x14ac:dyDescent="0.3">
      <c r="A552">
        <v>54</v>
      </c>
      <c r="B552" t="s">
        <v>12</v>
      </c>
      <c r="C552" s="1">
        <v>2</v>
      </c>
      <c r="D552" t="s">
        <v>19</v>
      </c>
      <c r="E552" t="s">
        <v>14</v>
      </c>
      <c r="F552" t="s">
        <v>22</v>
      </c>
      <c r="G552" t="s">
        <v>23</v>
      </c>
      <c r="H552" t="s">
        <v>17</v>
      </c>
      <c r="I552" s="2">
        <v>12975</v>
      </c>
      <c r="J552" t="b">
        <v>0</v>
      </c>
      <c r="K552" t="b">
        <v>1</v>
      </c>
      <c r="L552" t="b">
        <v>1</v>
      </c>
      <c r="M552" t="str">
        <f t="shared" si="16"/>
        <v>FACEBOOK</v>
      </c>
      <c r="N552" t="str">
        <f t="shared" si="17"/>
        <v>Sub_Urban-FACEBOOK</v>
      </c>
      <c r="O552">
        <v>12975</v>
      </c>
    </row>
    <row r="553" spans="1:15" x14ac:dyDescent="0.3">
      <c r="A553">
        <v>29</v>
      </c>
      <c r="B553" t="s">
        <v>12</v>
      </c>
      <c r="C553" s="1">
        <v>6</v>
      </c>
      <c r="D553" t="s">
        <v>19</v>
      </c>
      <c r="E553" t="s">
        <v>14</v>
      </c>
      <c r="F553" t="s">
        <v>27</v>
      </c>
      <c r="G553" t="s">
        <v>29</v>
      </c>
      <c r="H553" t="s">
        <v>24</v>
      </c>
      <c r="I553" s="2">
        <v>19241</v>
      </c>
      <c r="J553" t="b">
        <v>0</v>
      </c>
      <c r="K553" t="b">
        <v>1</v>
      </c>
      <c r="L553" t="b">
        <v>0</v>
      </c>
      <c r="M553" t="str">
        <f t="shared" si="16"/>
        <v>FACEBOOK</v>
      </c>
      <c r="N553" t="str">
        <f t="shared" si="17"/>
        <v>Rural-FACEBOOK</v>
      </c>
      <c r="O553">
        <v>19241</v>
      </c>
    </row>
    <row r="554" spans="1:15" x14ac:dyDescent="0.3">
      <c r="A554">
        <v>30</v>
      </c>
      <c r="B554" t="s">
        <v>25</v>
      </c>
      <c r="C554" s="1">
        <v>5</v>
      </c>
      <c r="D554" t="s">
        <v>19</v>
      </c>
      <c r="E554" t="s">
        <v>20</v>
      </c>
      <c r="F554" t="s">
        <v>22</v>
      </c>
      <c r="G554" t="s">
        <v>23</v>
      </c>
      <c r="H554" t="s">
        <v>24</v>
      </c>
      <c r="I554" s="2">
        <v>10453</v>
      </c>
      <c r="J554" t="b">
        <v>0</v>
      </c>
      <c r="K554" t="b">
        <v>0</v>
      </c>
      <c r="L554" t="b">
        <v>0</v>
      </c>
      <c r="M554" t="str">
        <f t="shared" si="16"/>
        <v>FACEBOOK</v>
      </c>
      <c r="N554" t="str">
        <f t="shared" si="17"/>
        <v>Sub_Urban-FACEBOOK</v>
      </c>
      <c r="O554">
        <v>10453</v>
      </c>
    </row>
    <row r="555" spans="1:15" x14ac:dyDescent="0.3">
      <c r="A555">
        <v>40</v>
      </c>
      <c r="B555" t="s">
        <v>12</v>
      </c>
      <c r="C555" s="1">
        <v>2</v>
      </c>
      <c r="D555" t="s">
        <v>19</v>
      </c>
      <c r="E555" t="s">
        <v>20</v>
      </c>
      <c r="F555" t="s">
        <v>15</v>
      </c>
      <c r="G555" t="s">
        <v>29</v>
      </c>
      <c r="H555" t="s">
        <v>17</v>
      </c>
      <c r="I555" s="2">
        <v>19896</v>
      </c>
      <c r="J555" t="b">
        <v>0</v>
      </c>
      <c r="K555" t="b">
        <v>1</v>
      </c>
      <c r="L555" t="b">
        <v>1</v>
      </c>
      <c r="M555" t="str">
        <f t="shared" si="16"/>
        <v>FACEBOOK</v>
      </c>
      <c r="N555" t="str">
        <f t="shared" si="17"/>
        <v>Rural-FACEBOOK</v>
      </c>
      <c r="O555">
        <v>19896</v>
      </c>
    </row>
    <row r="556" spans="1:15" x14ac:dyDescent="0.3">
      <c r="A556">
        <v>42</v>
      </c>
      <c r="B556" t="s">
        <v>18</v>
      </c>
      <c r="C556" s="1">
        <v>1</v>
      </c>
      <c r="D556" t="s">
        <v>19</v>
      </c>
      <c r="E556" t="s">
        <v>26</v>
      </c>
      <c r="F556" t="s">
        <v>27</v>
      </c>
      <c r="G556" t="s">
        <v>23</v>
      </c>
      <c r="H556" t="s">
        <v>24</v>
      </c>
      <c r="I556" s="2">
        <v>18184</v>
      </c>
      <c r="J556" t="b">
        <v>1</v>
      </c>
      <c r="K556" t="b">
        <v>1</v>
      </c>
      <c r="L556" t="b">
        <v>1</v>
      </c>
      <c r="M556" t="str">
        <f t="shared" si="16"/>
        <v>FACEBOOK</v>
      </c>
      <c r="N556" t="str">
        <f t="shared" si="17"/>
        <v>Sub_Urban-FACEBOOK</v>
      </c>
      <c r="O556">
        <v>18184</v>
      </c>
    </row>
    <row r="557" spans="1:15" x14ac:dyDescent="0.3">
      <c r="A557">
        <v>52</v>
      </c>
      <c r="B557" t="s">
        <v>18</v>
      </c>
      <c r="C557" s="1">
        <v>8</v>
      </c>
      <c r="D557" t="s">
        <v>19</v>
      </c>
      <c r="E557" t="s">
        <v>14</v>
      </c>
      <c r="F557" t="s">
        <v>15</v>
      </c>
      <c r="G557" t="s">
        <v>29</v>
      </c>
      <c r="H557" t="s">
        <v>21</v>
      </c>
      <c r="I557" s="2">
        <v>15442</v>
      </c>
      <c r="J557" t="b">
        <v>1</v>
      </c>
      <c r="K557" t="b">
        <v>1</v>
      </c>
      <c r="L557" t="b">
        <v>0</v>
      </c>
      <c r="M557" t="str">
        <f t="shared" si="16"/>
        <v>FACEBOOK</v>
      </c>
      <c r="N557" t="str">
        <f t="shared" si="17"/>
        <v>Rural-FACEBOOK</v>
      </c>
      <c r="O557">
        <v>15442</v>
      </c>
    </row>
    <row r="558" spans="1:15" x14ac:dyDescent="0.3">
      <c r="A558">
        <v>58</v>
      </c>
      <c r="B558" t="s">
        <v>12</v>
      </c>
      <c r="C558" s="1">
        <v>2</v>
      </c>
      <c r="D558" t="s">
        <v>19</v>
      </c>
      <c r="E558" t="s">
        <v>20</v>
      </c>
      <c r="F558" t="s">
        <v>27</v>
      </c>
      <c r="G558" t="s">
        <v>23</v>
      </c>
      <c r="H558" t="s">
        <v>17</v>
      </c>
      <c r="I558" s="2">
        <v>10818</v>
      </c>
      <c r="J558" t="b">
        <v>1</v>
      </c>
      <c r="K558" t="b">
        <v>1</v>
      </c>
      <c r="L558" t="b">
        <v>1</v>
      </c>
      <c r="M558" t="str">
        <f t="shared" si="16"/>
        <v>FACEBOOK</v>
      </c>
      <c r="N558" t="str">
        <f t="shared" si="17"/>
        <v>Sub_Urban-FACEBOOK</v>
      </c>
      <c r="O558">
        <v>10818</v>
      </c>
    </row>
    <row r="559" spans="1:15" x14ac:dyDescent="0.3">
      <c r="A559">
        <v>47</v>
      </c>
      <c r="B559" t="s">
        <v>25</v>
      </c>
      <c r="C559" s="1">
        <v>7</v>
      </c>
      <c r="D559" t="s">
        <v>13</v>
      </c>
      <c r="E559" t="s">
        <v>14</v>
      </c>
      <c r="F559" t="s">
        <v>22</v>
      </c>
      <c r="G559" t="s">
        <v>29</v>
      </c>
      <c r="H559" t="s">
        <v>21</v>
      </c>
      <c r="I559" s="2">
        <v>14868</v>
      </c>
      <c r="J559" t="b">
        <v>1</v>
      </c>
      <c r="K559" t="b">
        <v>0</v>
      </c>
      <c r="L559" t="b">
        <v>0</v>
      </c>
      <c r="M559" t="str">
        <f t="shared" si="16"/>
        <v>INSTAGRAM</v>
      </c>
      <c r="N559" t="str">
        <f t="shared" si="17"/>
        <v>Rural-INSTAGRAM</v>
      </c>
      <c r="O559">
        <v>14868</v>
      </c>
    </row>
    <row r="560" spans="1:15" x14ac:dyDescent="0.3">
      <c r="A560">
        <v>34</v>
      </c>
      <c r="B560" t="s">
        <v>25</v>
      </c>
      <c r="C560" s="1">
        <v>9</v>
      </c>
      <c r="D560" t="s">
        <v>28</v>
      </c>
      <c r="E560" t="s">
        <v>20</v>
      </c>
      <c r="F560" t="s">
        <v>27</v>
      </c>
      <c r="G560" t="s">
        <v>23</v>
      </c>
      <c r="H560" t="s">
        <v>17</v>
      </c>
      <c r="I560" s="2">
        <v>10012</v>
      </c>
      <c r="J560" t="b">
        <v>0</v>
      </c>
      <c r="K560" t="b">
        <v>1</v>
      </c>
      <c r="L560" t="b">
        <v>1</v>
      </c>
      <c r="M560" t="str">
        <f t="shared" si="16"/>
        <v>YOUTUBE</v>
      </c>
      <c r="N560" t="str">
        <f t="shared" si="17"/>
        <v>Sub_Urban-YOUTUBE</v>
      </c>
      <c r="O560">
        <v>10012</v>
      </c>
    </row>
    <row r="561" spans="1:15" x14ac:dyDescent="0.3">
      <c r="A561">
        <v>37</v>
      </c>
      <c r="B561" t="s">
        <v>12</v>
      </c>
      <c r="C561" s="1">
        <v>9</v>
      </c>
      <c r="D561" t="s">
        <v>19</v>
      </c>
      <c r="E561" t="s">
        <v>14</v>
      </c>
      <c r="F561" t="s">
        <v>27</v>
      </c>
      <c r="G561" t="s">
        <v>29</v>
      </c>
      <c r="H561" t="s">
        <v>21</v>
      </c>
      <c r="I561" s="2">
        <v>17727</v>
      </c>
      <c r="J561" t="b">
        <v>1</v>
      </c>
      <c r="K561" t="b">
        <v>0</v>
      </c>
      <c r="L561" t="b">
        <v>0</v>
      </c>
      <c r="M561" t="str">
        <f t="shared" si="16"/>
        <v>FACEBOOK</v>
      </c>
      <c r="N561" t="str">
        <f t="shared" si="17"/>
        <v>Rural-FACEBOOK</v>
      </c>
      <c r="O561">
        <v>17727</v>
      </c>
    </row>
    <row r="562" spans="1:15" x14ac:dyDescent="0.3">
      <c r="A562">
        <v>42</v>
      </c>
      <c r="B562" t="s">
        <v>12</v>
      </c>
      <c r="C562" s="1">
        <v>8</v>
      </c>
      <c r="D562" t="s">
        <v>19</v>
      </c>
      <c r="E562" t="s">
        <v>26</v>
      </c>
      <c r="F562" t="s">
        <v>22</v>
      </c>
      <c r="G562" t="s">
        <v>23</v>
      </c>
      <c r="H562" t="s">
        <v>21</v>
      </c>
      <c r="I562" s="2">
        <v>10920</v>
      </c>
      <c r="J562" t="b">
        <v>0</v>
      </c>
      <c r="K562" t="b">
        <v>0</v>
      </c>
      <c r="L562" t="b">
        <v>1</v>
      </c>
      <c r="M562" t="str">
        <f t="shared" si="16"/>
        <v>FACEBOOK</v>
      </c>
      <c r="N562" t="str">
        <f t="shared" si="17"/>
        <v>Sub_Urban-FACEBOOK</v>
      </c>
      <c r="O562">
        <v>10920</v>
      </c>
    </row>
    <row r="563" spans="1:15" x14ac:dyDescent="0.3">
      <c r="A563">
        <v>39</v>
      </c>
      <c r="B563" t="s">
        <v>18</v>
      </c>
      <c r="C563" s="1">
        <v>9</v>
      </c>
      <c r="D563" t="s">
        <v>28</v>
      </c>
      <c r="E563" t="s">
        <v>14</v>
      </c>
      <c r="F563" t="s">
        <v>15</v>
      </c>
      <c r="G563" t="s">
        <v>16</v>
      </c>
      <c r="H563" t="s">
        <v>24</v>
      </c>
      <c r="I563" s="2">
        <v>14920</v>
      </c>
      <c r="J563" t="b">
        <v>1</v>
      </c>
      <c r="K563" t="b">
        <v>0</v>
      </c>
      <c r="L563" t="b">
        <v>1</v>
      </c>
      <c r="M563" t="str">
        <f t="shared" si="16"/>
        <v>YOUTUBE</v>
      </c>
      <c r="N563" t="str">
        <f t="shared" si="17"/>
        <v>Urban-YOUTUBE</v>
      </c>
      <c r="O563">
        <v>14920</v>
      </c>
    </row>
    <row r="564" spans="1:15" x14ac:dyDescent="0.3">
      <c r="A564">
        <v>30</v>
      </c>
      <c r="B564" t="s">
        <v>12</v>
      </c>
      <c r="C564" s="1">
        <v>2</v>
      </c>
      <c r="D564" t="s">
        <v>13</v>
      </c>
      <c r="E564" t="s">
        <v>14</v>
      </c>
      <c r="F564" t="s">
        <v>22</v>
      </c>
      <c r="G564" t="s">
        <v>29</v>
      </c>
      <c r="H564" t="s">
        <v>21</v>
      </c>
      <c r="I564" s="2">
        <v>12418</v>
      </c>
      <c r="J564" t="b">
        <v>1</v>
      </c>
      <c r="K564" t="b">
        <v>1</v>
      </c>
      <c r="L564" t="b">
        <v>0</v>
      </c>
      <c r="M564" t="str">
        <f t="shared" si="16"/>
        <v>INSTAGRAM</v>
      </c>
      <c r="N564" t="str">
        <f t="shared" si="17"/>
        <v>Rural-INSTAGRAM</v>
      </c>
      <c r="O564">
        <v>12418</v>
      </c>
    </row>
    <row r="565" spans="1:15" x14ac:dyDescent="0.3">
      <c r="A565">
        <v>36</v>
      </c>
      <c r="B565" t="s">
        <v>25</v>
      </c>
      <c r="C565" s="1">
        <v>6</v>
      </c>
      <c r="D565" t="s">
        <v>28</v>
      </c>
      <c r="E565" t="s">
        <v>14</v>
      </c>
      <c r="F565" t="s">
        <v>27</v>
      </c>
      <c r="G565" t="s">
        <v>23</v>
      </c>
      <c r="H565" t="s">
        <v>24</v>
      </c>
      <c r="I565" s="2">
        <v>19506</v>
      </c>
      <c r="J565" t="b">
        <v>1</v>
      </c>
      <c r="K565" t="b">
        <v>1</v>
      </c>
      <c r="L565" t="b">
        <v>0</v>
      </c>
      <c r="M565" t="str">
        <f t="shared" si="16"/>
        <v>YOUTUBE</v>
      </c>
      <c r="N565" t="str">
        <f t="shared" si="17"/>
        <v>Sub_Urban-YOUTUBE</v>
      </c>
      <c r="O565">
        <v>19506</v>
      </c>
    </row>
    <row r="566" spans="1:15" x14ac:dyDescent="0.3">
      <c r="A566">
        <v>53</v>
      </c>
      <c r="B566" t="s">
        <v>12</v>
      </c>
      <c r="C566" s="1">
        <v>4</v>
      </c>
      <c r="D566" t="s">
        <v>28</v>
      </c>
      <c r="E566" t="s">
        <v>14</v>
      </c>
      <c r="F566" t="s">
        <v>22</v>
      </c>
      <c r="G566" t="s">
        <v>29</v>
      </c>
      <c r="H566" t="s">
        <v>17</v>
      </c>
      <c r="I566" s="2">
        <v>16475</v>
      </c>
      <c r="J566" t="b">
        <v>1</v>
      </c>
      <c r="K566" t="b">
        <v>1</v>
      </c>
      <c r="L566" t="b">
        <v>1</v>
      </c>
      <c r="M566" t="str">
        <f t="shared" si="16"/>
        <v>YOUTUBE</v>
      </c>
      <c r="N566" t="str">
        <f t="shared" si="17"/>
        <v>Rural-YOUTUBE</v>
      </c>
      <c r="O566">
        <v>16475</v>
      </c>
    </row>
    <row r="567" spans="1:15" x14ac:dyDescent="0.3">
      <c r="A567">
        <v>29</v>
      </c>
      <c r="B567" t="s">
        <v>18</v>
      </c>
      <c r="C567" s="1">
        <v>4</v>
      </c>
      <c r="D567" t="s">
        <v>19</v>
      </c>
      <c r="E567" t="s">
        <v>14</v>
      </c>
      <c r="F567" t="s">
        <v>27</v>
      </c>
      <c r="G567" t="s">
        <v>29</v>
      </c>
      <c r="H567" t="s">
        <v>21</v>
      </c>
      <c r="I567" s="2">
        <v>12017</v>
      </c>
      <c r="J567" t="b">
        <v>0</v>
      </c>
      <c r="K567" t="b">
        <v>0</v>
      </c>
      <c r="L567" t="b">
        <v>1</v>
      </c>
      <c r="M567" t="str">
        <f t="shared" si="16"/>
        <v>FACEBOOK</v>
      </c>
      <c r="N567" t="str">
        <f t="shared" si="17"/>
        <v>Rural-FACEBOOK</v>
      </c>
      <c r="O567">
        <v>12017</v>
      </c>
    </row>
    <row r="568" spans="1:15" x14ac:dyDescent="0.3">
      <c r="A568">
        <v>58</v>
      </c>
      <c r="B568" t="s">
        <v>18</v>
      </c>
      <c r="C568" s="1">
        <v>5</v>
      </c>
      <c r="D568" t="s">
        <v>28</v>
      </c>
      <c r="E568" t="s">
        <v>26</v>
      </c>
      <c r="F568" t="s">
        <v>22</v>
      </c>
      <c r="G568" t="s">
        <v>23</v>
      </c>
      <c r="H568" t="s">
        <v>21</v>
      </c>
      <c r="I568" s="2">
        <v>17957</v>
      </c>
      <c r="J568" t="b">
        <v>0</v>
      </c>
      <c r="K568" t="b">
        <v>0</v>
      </c>
      <c r="L568" t="b">
        <v>0</v>
      </c>
      <c r="M568" t="str">
        <f t="shared" si="16"/>
        <v>YOUTUBE</v>
      </c>
      <c r="N568" t="str">
        <f t="shared" si="17"/>
        <v>Sub_Urban-YOUTUBE</v>
      </c>
      <c r="O568">
        <v>17957</v>
      </c>
    </row>
    <row r="569" spans="1:15" x14ac:dyDescent="0.3">
      <c r="A569">
        <v>36</v>
      </c>
      <c r="B569" t="s">
        <v>18</v>
      </c>
      <c r="C569" s="1">
        <v>3</v>
      </c>
      <c r="D569" t="s">
        <v>28</v>
      </c>
      <c r="E569" t="s">
        <v>20</v>
      </c>
      <c r="F569" t="s">
        <v>22</v>
      </c>
      <c r="G569" t="s">
        <v>29</v>
      </c>
      <c r="H569" t="s">
        <v>17</v>
      </c>
      <c r="I569" s="2">
        <v>19420</v>
      </c>
      <c r="J569" t="b">
        <v>0</v>
      </c>
      <c r="K569" t="b">
        <v>0</v>
      </c>
      <c r="L569" t="b">
        <v>0</v>
      </c>
      <c r="M569" t="str">
        <f t="shared" si="16"/>
        <v>YOUTUBE</v>
      </c>
      <c r="N569" t="str">
        <f t="shared" si="17"/>
        <v>Rural-YOUTUBE</v>
      </c>
      <c r="O569">
        <v>19420</v>
      </c>
    </row>
    <row r="570" spans="1:15" x14ac:dyDescent="0.3">
      <c r="A570">
        <v>29</v>
      </c>
      <c r="B570" t="s">
        <v>18</v>
      </c>
      <c r="C570" s="1">
        <v>1</v>
      </c>
      <c r="D570" t="s">
        <v>19</v>
      </c>
      <c r="E570" t="s">
        <v>14</v>
      </c>
      <c r="F570" t="s">
        <v>15</v>
      </c>
      <c r="G570" t="s">
        <v>23</v>
      </c>
      <c r="H570" t="s">
        <v>17</v>
      </c>
      <c r="I570" s="2">
        <v>14792</v>
      </c>
      <c r="J570" t="b">
        <v>0</v>
      </c>
      <c r="K570" t="b">
        <v>0</v>
      </c>
      <c r="L570" t="b">
        <v>1</v>
      </c>
      <c r="M570" t="str">
        <f t="shared" si="16"/>
        <v>FACEBOOK</v>
      </c>
      <c r="N570" t="str">
        <f t="shared" si="17"/>
        <v>Sub_Urban-FACEBOOK</v>
      </c>
      <c r="O570">
        <v>14792</v>
      </c>
    </row>
    <row r="571" spans="1:15" x14ac:dyDescent="0.3">
      <c r="A571">
        <v>26</v>
      </c>
      <c r="B571" t="s">
        <v>18</v>
      </c>
      <c r="C571" s="1">
        <v>8</v>
      </c>
      <c r="D571" t="s">
        <v>19</v>
      </c>
      <c r="E571" t="s">
        <v>26</v>
      </c>
      <c r="F571" t="s">
        <v>27</v>
      </c>
      <c r="G571" t="s">
        <v>16</v>
      </c>
      <c r="H571" t="s">
        <v>21</v>
      </c>
      <c r="I571" s="2">
        <v>16830</v>
      </c>
      <c r="J571" t="b">
        <v>1</v>
      </c>
      <c r="K571" t="b">
        <v>1</v>
      </c>
      <c r="L571" t="b">
        <v>1</v>
      </c>
      <c r="M571" t="str">
        <f t="shared" si="16"/>
        <v>FACEBOOK</v>
      </c>
      <c r="N571" t="str">
        <f t="shared" si="17"/>
        <v>Urban-FACEBOOK</v>
      </c>
      <c r="O571">
        <v>16830</v>
      </c>
    </row>
    <row r="572" spans="1:15" x14ac:dyDescent="0.3">
      <c r="A572">
        <v>24</v>
      </c>
      <c r="B572" t="s">
        <v>12</v>
      </c>
      <c r="C572" s="1">
        <v>5</v>
      </c>
      <c r="D572" t="s">
        <v>19</v>
      </c>
      <c r="E572" t="s">
        <v>14</v>
      </c>
      <c r="F572" t="s">
        <v>15</v>
      </c>
      <c r="G572" t="s">
        <v>29</v>
      </c>
      <c r="H572" t="s">
        <v>17</v>
      </c>
      <c r="I572" s="2">
        <v>12434</v>
      </c>
      <c r="J572" t="b">
        <v>1</v>
      </c>
      <c r="K572" t="b">
        <v>1</v>
      </c>
      <c r="L572" t="b">
        <v>0</v>
      </c>
      <c r="M572" t="str">
        <f t="shared" si="16"/>
        <v>FACEBOOK</v>
      </c>
      <c r="N572" t="str">
        <f t="shared" si="17"/>
        <v>Rural-FACEBOOK</v>
      </c>
      <c r="O572">
        <v>12434</v>
      </c>
    </row>
    <row r="573" spans="1:15" x14ac:dyDescent="0.3">
      <c r="A573">
        <v>45</v>
      </c>
      <c r="B573" t="s">
        <v>12</v>
      </c>
      <c r="C573" s="1">
        <v>3</v>
      </c>
      <c r="D573" t="s">
        <v>19</v>
      </c>
      <c r="E573" t="s">
        <v>14</v>
      </c>
      <c r="F573" t="s">
        <v>27</v>
      </c>
      <c r="G573" t="s">
        <v>16</v>
      </c>
      <c r="H573" t="s">
        <v>24</v>
      </c>
      <c r="I573" s="2">
        <v>12868</v>
      </c>
      <c r="J573" t="b">
        <v>0</v>
      </c>
      <c r="K573" t="b">
        <v>1</v>
      </c>
      <c r="L573" t="b">
        <v>0</v>
      </c>
      <c r="M573" t="str">
        <f t="shared" si="16"/>
        <v>FACEBOOK</v>
      </c>
      <c r="N573" t="str">
        <f t="shared" si="17"/>
        <v>Urban-FACEBOOK</v>
      </c>
      <c r="O573">
        <v>12868</v>
      </c>
    </row>
    <row r="574" spans="1:15" x14ac:dyDescent="0.3">
      <c r="A574">
        <v>31</v>
      </c>
      <c r="B574" t="s">
        <v>12</v>
      </c>
      <c r="C574" s="1">
        <v>7</v>
      </c>
      <c r="D574" t="s">
        <v>28</v>
      </c>
      <c r="E574" t="s">
        <v>20</v>
      </c>
      <c r="F574" t="s">
        <v>22</v>
      </c>
      <c r="G574" t="s">
        <v>29</v>
      </c>
      <c r="H574" t="s">
        <v>17</v>
      </c>
      <c r="I574" s="2">
        <v>11438</v>
      </c>
      <c r="J574" t="b">
        <v>0</v>
      </c>
      <c r="K574" t="b">
        <v>0</v>
      </c>
      <c r="L574" t="b">
        <v>0</v>
      </c>
      <c r="M574" t="str">
        <f t="shared" si="16"/>
        <v>YOUTUBE</v>
      </c>
      <c r="N574" t="str">
        <f t="shared" si="17"/>
        <v>Rural-YOUTUBE</v>
      </c>
      <c r="O574">
        <v>11438</v>
      </c>
    </row>
    <row r="575" spans="1:15" x14ac:dyDescent="0.3">
      <c r="A575">
        <v>48</v>
      </c>
      <c r="B575" t="s">
        <v>12</v>
      </c>
      <c r="C575" s="1">
        <v>7</v>
      </c>
      <c r="D575" t="s">
        <v>28</v>
      </c>
      <c r="E575" t="s">
        <v>14</v>
      </c>
      <c r="F575" t="s">
        <v>27</v>
      </c>
      <c r="G575" t="s">
        <v>29</v>
      </c>
      <c r="H575" t="s">
        <v>17</v>
      </c>
      <c r="I575" s="2">
        <v>13543</v>
      </c>
      <c r="J575" t="b">
        <v>1</v>
      </c>
      <c r="K575" t="b">
        <v>0</v>
      </c>
      <c r="L575" t="b">
        <v>0</v>
      </c>
      <c r="M575" t="str">
        <f t="shared" si="16"/>
        <v>YOUTUBE</v>
      </c>
      <c r="N575" t="str">
        <f t="shared" si="17"/>
        <v>Rural-YOUTUBE</v>
      </c>
      <c r="O575">
        <v>13543</v>
      </c>
    </row>
    <row r="576" spans="1:15" x14ac:dyDescent="0.3">
      <c r="A576">
        <v>36</v>
      </c>
      <c r="B576" t="s">
        <v>18</v>
      </c>
      <c r="C576" s="1">
        <v>1</v>
      </c>
      <c r="D576" t="s">
        <v>13</v>
      </c>
      <c r="E576" t="s">
        <v>26</v>
      </c>
      <c r="F576" t="s">
        <v>15</v>
      </c>
      <c r="G576" t="s">
        <v>29</v>
      </c>
      <c r="H576" t="s">
        <v>21</v>
      </c>
      <c r="I576" s="2">
        <v>11781</v>
      </c>
      <c r="J576" t="b">
        <v>1</v>
      </c>
      <c r="K576" t="b">
        <v>1</v>
      </c>
      <c r="L576" t="b">
        <v>0</v>
      </c>
      <c r="M576" t="str">
        <f t="shared" si="16"/>
        <v>INSTAGRAM</v>
      </c>
      <c r="N576" t="str">
        <f t="shared" si="17"/>
        <v>Rural-INSTAGRAM</v>
      </c>
      <c r="O576">
        <v>11781</v>
      </c>
    </row>
    <row r="577" spans="1:15" x14ac:dyDescent="0.3">
      <c r="A577">
        <v>64</v>
      </c>
      <c r="B577" t="s">
        <v>25</v>
      </c>
      <c r="C577" s="1">
        <v>9</v>
      </c>
      <c r="D577" t="s">
        <v>13</v>
      </c>
      <c r="E577" t="s">
        <v>26</v>
      </c>
      <c r="F577" t="s">
        <v>15</v>
      </c>
      <c r="G577" t="s">
        <v>23</v>
      </c>
      <c r="H577" t="s">
        <v>24</v>
      </c>
      <c r="I577" s="2">
        <v>16343</v>
      </c>
      <c r="J577" t="b">
        <v>0</v>
      </c>
      <c r="K577" t="b">
        <v>1</v>
      </c>
      <c r="L577" t="b">
        <v>1</v>
      </c>
      <c r="M577" t="str">
        <f t="shared" si="16"/>
        <v>INSTAGRAM</v>
      </c>
      <c r="N577" t="str">
        <f t="shared" si="17"/>
        <v>Sub_Urban-INSTAGRAM</v>
      </c>
      <c r="O577">
        <v>16343</v>
      </c>
    </row>
    <row r="578" spans="1:15" x14ac:dyDescent="0.3">
      <c r="A578">
        <v>33</v>
      </c>
      <c r="B578" t="s">
        <v>12</v>
      </c>
      <c r="C578" s="1">
        <v>2</v>
      </c>
      <c r="D578" t="s">
        <v>28</v>
      </c>
      <c r="E578" t="s">
        <v>20</v>
      </c>
      <c r="F578" t="s">
        <v>15</v>
      </c>
      <c r="G578" t="s">
        <v>16</v>
      </c>
      <c r="H578" t="s">
        <v>17</v>
      </c>
      <c r="I578" s="2">
        <v>12263</v>
      </c>
      <c r="J578" t="b">
        <v>0</v>
      </c>
      <c r="K578" t="b">
        <v>0</v>
      </c>
      <c r="L578" t="b">
        <v>1</v>
      </c>
      <c r="M578" t="str">
        <f t="shared" ref="M578:M641" si="18">UPPER(D578)</f>
        <v>YOUTUBE</v>
      </c>
      <c r="N578" t="str">
        <f t="shared" ref="N578:N641" si="19">_xlfn.CONCAT(G578,"-",M578)</f>
        <v>Urban-YOUTUBE</v>
      </c>
      <c r="O578">
        <v>12263</v>
      </c>
    </row>
    <row r="579" spans="1:15" x14ac:dyDescent="0.3">
      <c r="A579">
        <v>22</v>
      </c>
      <c r="B579" t="s">
        <v>25</v>
      </c>
      <c r="C579" s="1">
        <v>5</v>
      </c>
      <c r="D579" t="s">
        <v>13</v>
      </c>
      <c r="E579" t="s">
        <v>14</v>
      </c>
      <c r="F579" t="s">
        <v>27</v>
      </c>
      <c r="G579" t="s">
        <v>29</v>
      </c>
      <c r="H579" t="s">
        <v>24</v>
      </c>
      <c r="I579" s="2">
        <v>10211</v>
      </c>
      <c r="J579" t="b">
        <v>0</v>
      </c>
      <c r="K579" t="b">
        <v>1</v>
      </c>
      <c r="L579" t="b">
        <v>0</v>
      </c>
      <c r="M579" t="str">
        <f t="shared" si="18"/>
        <v>INSTAGRAM</v>
      </c>
      <c r="N579" t="str">
        <f t="shared" si="19"/>
        <v>Rural-INSTAGRAM</v>
      </c>
      <c r="O579">
        <v>10211</v>
      </c>
    </row>
    <row r="580" spans="1:15" x14ac:dyDescent="0.3">
      <c r="A580">
        <v>52</v>
      </c>
      <c r="B580" t="s">
        <v>12</v>
      </c>
      <c r="C580" s="1">
        <v>5</v>
      </c>
      <c r="D580" t="s">
        <v>28</v>
      </c>
      <c r="E580" t="s">
        <v>26</v>
      </c>
      <c r="F580" t="s">
        <v>15</v>
      </c>
      <c r="G580" t="s">
        <v>23</v>
      </c>
      <c r="H580" t="s">
        <v>24</v>
      </c>
      <c r="I580" s="2">
        <v>18699</v>
      </c>
      <c r="J580" t="b">
        <v>1</v>
      </c>
      <c r="K580" t="b">
        <v>1</v>
      </c>
      <c r="L580" t="b">
        <v>1</v>
      </c>
      <c r="M580" t="str">
        <f t="shared" si="18"/>
        <v>YOUTUBE</v>
      </c>
      <c r="N580" t="str">
        <f t="shared" si="19"/>
        <v>Sub_Urban-YOUTUBE</v>
      </c>
      <c r="O580">
        <v>18699</v>
      </c>
    </row>
    <row r="581" spans="1:15" x14ac:dyDescent="0.3">
      <c r="A581">
        <v>29</v>
      </c>
      <c r="B581" t="s">
        <v>12</v>
      </c>
      <c r="C581" s="1">
        <v>8</v>
      </c>
      <c r="D581" t="s">
        <v>13</v>
      </c>
      <c r="E581" t="s">
        <v>14</v>
      </c>
      <c r="F581" t="s">
        <v>15</v>
      </c>
      <c r="G581" t="s">
        <v>29</v>
      </c>
      <c r="H581" t="s">
        <v>24</v>
      </c>
      <c r="I581" s="2">
        <v>16159</v>
      </c>
      <c r="J581" t="b">
        <v>0</v>
      </c>
      <c r="K581" t="b">
        <v>0</v>
      </c>
      <c r="L581" t="b">
        <v>1</v>
      </c>
      <c r="M581" t="str">
        <f t="shared" si="18"/>
        <v>INSTAGRAM</v>
      </c>
      <c r="N581" t="str">
        <f t="shared" si="19"/>
        <v>Rural-INSTAGRAM</v>
      </c>
      <c r="O581">
        <v>16159</v>
      </c>
    </row>
    <row r="582" spans="1:15" x14ac:dyDescent="0.3">
      <c r="A582">
        <v>42</v>
      </c>
      <c r="B582" t="s">
        <v>25</v>
      </c>
      <c r="C582" s="1">
        <v>8</v>
      </c>
      <c r="D582" t="s">
        <v>19</v>
      </c>
      <c r="E582" t="s">
        <v>14</v>
      </c>
      <c r="F582" t="s">
        <v>15</v>
      </c>
      <c r="G582" t="s">
        <v>23</v>
      </c>
      <c r="H582" t="s">
        <v>21</v>
      </c>
      <c r="I582" s="2">
        <v>17027</v>
      </c>
      <c r="J582" t="b">
        <v>0</v>
      </c>
      <c r="K582" t="b">
        <v>0</v>
      </c>
      <c r="L582" t="b">
        <v>0</v>
      </c>
      <c r="M582" t="str">
        <f t="shared" si="18"/>
        <v>FACEBOOK</v>
      </c>
      <c r="N582" t="str">
        <f t="shared" si="19"/>
        <v>Sub_Urban-FACEBOOK</v>
      </c>
      <c r="O582">
        <v>17027</v>
      </c>
    </row>
    <row r="583" spans="1:15" x14ac:dyDescent="0.3">
      <c r="A583">
        <v>38</v>
      </c>
      <c r="B583" t="s">
        <v>18</v>
      </c>
      <c r="C583" s="1">
        <v>7</v>
      </c>
      <c r="D583" t="s">
        <v>13</v>
      </c>
      <c r="E583" t="s">
        <v>14</v>
      </c>
      <c r="F583" t="s">
        <v>22</v>
      </c>
      <c r="G583" t="s">
        <v>29</v>
      </c>
      <c r="H583" t="s">
        <v>17</v>
      </c>
      <c r="I583" s="2">
        <v>10331</v>
      </c>
      <c r="J583" t="b">
        <v>0</v>
      </c>
      <c r="K583" t="b">
        <v>0</v>
      </c>
      <c r="L583" t="b">
        <v>1</v>
      </c>
      <c r="M583" t="str">
        <f t="shared" si="18"/>
        <v>INSTAGRAM</v>
      </c>
      <c r="N583" t="str">
        <f t="shared" si="19"/>
        <v>Rural-INSTAGRAM</v>
      </c>
      <c r="O583">
        <v>10331</v>
      </c>
    </row>
    <row r="584" spans="1:15" x14ac:dyDescent="0.3">
      <c r="A584">
        <v>53</v>
      </c>
      <c r="B584" t="s">
        <v>12</v>
      </c>
      <c r="C584" s="1">
        <v>7</v>
      </c>
      <c r="D584" t="s">
        <v>19</v>
      </c>
      <c r="E584" t="s">
        <v>20</v>
      </c>
      <c r="F584" t="s">
        <v>22</v>
      </c>
      <c r="G584" t="s">
        <v>16</v>
      </c>
      <c r="H584" t="s">
        <v>21</v>
      </c>
      <c r="I584" s="2">
        <v>16860</v>
      </c>
      <c r="J584" t="b">
        <v>0</v>
      </c>
      <c r="K584" t="b">
        <v>1</v>
      </c>
      <c r="L584" t="b">
        <v>1</v>
      </c>
      <c r="M584" t="str">
        <f t="shared" si="18"/>
        <v>FACEBOOK</v>
      </c>
      <c r="N584" t="str">
        <f t="shared" si="19"/>
        <v>Urban-FACEBOOK</v>
      </c>
      <c r="O584">
        <v>16860</v>
      </c>
    </row>
    <row r="585" spans="1:15" x14ac:dyDescent="0.3">
      <c r="A585">
        <v>40</v>
      </c>
      <c r="B585" t="s">
        <v>12</v>
      </c>
      <c r="C585" s="1">
        <v>6</v>
      </c>
      <c r="D585" t="s">
        <v>19</v>
      </c>
      <c r="E585" t="s">
        <v>14</v>
      </c>
      <c r="F585" t="s">
        <v>27</v>
      </c>
      <c r="G585" t="s">
        <v>16</v>
      </c>
      <c r="H585" t="s">
        <v>17</v>
      </c>
      <c r="I585" s="2">
        <v>18044</v>
      </c>
      <c r="J585" t="b">
        <v>0</v>
      </c>
      <c r="K585" t="b">
        <v>0</v>
      </c>
      <c r="L585" t="b">
        <v>1</v>
      </c>
      <c r="M585" t="str">
        <f t="shared" si="18"/>
        <v>FACEBOOK</v>
      </c>
      <c r="N585" t="str">
        <f t="shared" si="19"/>
        <v>Urban-FACEBOOK</v>
      </c>
      <c r="O585">
        <v>18044</v>
      </c>
    </row>
    <row r="586" spans="1:15" x14ac:dyDescent="0.3">
      <c r="A586">
        <v>33</v>
      </c>
      <c r="B586" t="s">
        <v>12</v>
      </c>
      <c r="C586" s="1">
        <v>6</v>
      </c>
      <c r="D586" t="s">
        <v>19</v>
      </c>
      <c r="E586" t="s">
        <v>26</v>
      </c>
      <c r="F586" t="s">
        <v>27</v>
      </c>
      <c r="G586" t="s">
        <v>29</v>
      </c>
      <c r="H586" t="s">
        <v>17</v>
      </c>
      <c r="I586" s="2">
        <v>18169</v>
      </c>
      <c r="J586" t="b">
        <v>1</v>
      </c>
      <c r="K586" t="b">
        <v>1</v>
      </c>
      <c r="L586" t="b">
        <v>0</v>
      </c>
      <c r="M586" t="str">
        <f t="shared" si="18"/>
        <v>FACEBOOK</v>
      </c>
      <c r="N586" t="str">
        <f t="shared" si="19"/>
        <v>Rural-FACEBOOK</v>
      </c>
      <c r="O586">
        <v>18169</v>
      </c>
    </row>
    <row r="587" spans="1:15" x14ac:dyDescent="0.3">
      <c r="A587">
        <v>56</v>
      </c>
      <c r="B587" t="s">
        <v>25</v>
      </c>
      <c r="C587" s="1">
        <v>9</v>
      </c>
      <c r="D587" t="s">
        <v>19</v>
      </c>
      <c r="E587" t="s">
        <v>14</v>
      </c>
      <c r="F587" t="s">
        <v>15</v>
      </c>
      <c r="G587" t="s">
        <v>23</v>
      </c>
      <c r="H587" t="s">
        <v>21</v>
      </c>
      <c r="I587" s="2">
        <v>18742</v>
      </c>
      <c r="J587" t="b">
        <v>0</v>
      </c>
      <c r="K587" t="b">
        <v>1</v>
      </c>
      <c r="L587" t="b">
        <v>0</v>
      </c>
      <c r="M587" t="str">
        <f t="shared" si="18"/>
        <v>FACEBOOK</v>
      </c>
      <c r="N587" t="str">
        <f t="shared" si="19"/>
        <v>Sub_Urban-FACEBOOK</v>
      </c>
      <c r="O587">
        <v>18742</v>
      </c>
    </row>
    <row r="588" spans="1:15" x14ac:dyDescent="0.3">
      <c r="A588">
        <v>62</v>
      </c>
      <c r="B588" t="s">
        <v>18</v>
      </c>
      <c r="C588" s="1">
        <v>6</v>
      </c>
      <c r="D588" t="s">
        <v>13</v>
      </c>
      <c r="E588" t="s">
        <v>26</v>
      </c>
      <c r="F588" t="s">
        <v>22</v>
      </c>
      <c r="G588" t="s">
        <v>29</v>
      </c>
      <c r="H588" t="s">
        <v>24</v>
      </c>
      <c r="I588" s="2">
        <v>15720</v>
      </c>
      <c r="J588" t="b">
        <v>1</v>
      </c>
      <c r="K588" t="b">
        <v>0</v>
      </c>
      <c r="L588" t="b">
        <v>1</v>
      </c>
      <c r="M588" t="str">
        <f t="shared" si="18"/>
        <v>INSTAGRAM</v>
      </c>
      <c r="N588" t="str">
        <f t="shared" si="19"/>
        <v>Rural-INSTAGRAM</v>
      </c>
      <c r="O588">
        <v>15720</v>
      </c>
    </row>
    <row r="589" spans="1:15" x14ac:dyDescent="0.3">
      <c r="A589">
        <v>59</v>
      </c>
      <c r="B589" t="s">
        <v>25</v>
      </c>
      <c r="C589" s="1">
        <v>2</v>
      </c>
      <c r="D589" t="s">
        <v>28</v>
      </c>
      <c r="E589" t="s">
        <v>14</v>
      </c>
      <c r="F589" t="s">
        <v>15</v>
      </c>
      <c r="G589" t="s">
        <v>23</v>
      </c>
      <c r="H589" t="s">
        <v>24</v>
      </c>
      <c r="I589" s="2">
        <v>19133</v>
      </c>
      <c r="J589" t="b">
        <v>0</v>
      </c>
      <c r="K589" t="b">
        <v>1</v>
      </c>
      <c r="L589" t="b">
        <v>1</v>
      </c>
      <c r="M589" t="str">
        <f t="shared" si="18"/>
        <v>YOUTUBE</v>
      </c>
      <c r="N589" t="str">
        <f t="shared" si="19"/>
        <v>Sub_Urban-YOUTUBE</v>
      </c>
      <c r="O589">
        <v>19133</v>
      </c>
    </row>
    <row r="590" spans="1:15" x14ac:dyDescent="0.3">
      <c r="A590">
        <v>56</v>
      </c>
      <c r="B590" t="s">
        <v>25</v>
      </c>
      <c r="C590" s="1">
        <v>2</v>
      </c>
      <c r="D590" t="s">
        <v>19</v>
      </c>
      <c r="E590" t="s">
        <v>26</v>
      </c>
      <c r="F590" t="s">
        <v>15</v>
      </c>
      <c r="G590" t="s">
        <v>29</v>
      </c>
      <c r="H590" t="s">
        <v>17</v>
      </c>
      <c r="I590" s="2">
        <v>10727</v>
      </c>
      <c r="J590" t="b">
        <v>0</v>
      </c>
      <c r="K590" t="b">
        <v>0</v>
      </c>
      <c r="L590" t="b">
        <v>1</v>
      </c>
      <c r="M590" t="str">
        <f t="shared" si="18"/>
        <v>FACEBOOK</v>
      </c>
      <c r="N590" t="str">
        <f t="shared" si="19"/>
        <v>Rural-FACEBOOK</v>
      </c>
      <c r="O590">
        <v>10727</v>
      </c>
    </row>
    <row r="591" spans="1:15" x14ac:dyDescent="0.3">
      <c r="A591">
        <v>31</v>
      </c>
      <c r="B591" t="s">
        <v>18</v>
      </c>
      <c r="C591" s="1">
        <v>5</v>
      </c>
      <c r="D591" t="s">
        <v>13</v>
      </c>
      <c r="E591" t="s">
        <v>26</v>
      </c>
      <c r="F591" t="s">
        <v>22</v>
      </c>
      <c r="G591" t="s">
        <v>23</v>
      </c>
      <c r="H591" t="s">
        <v>21</v>
      </c>
      <c r="I591" s="2">
        <v>14975</v>
      </c>
      <c r="J591" t="b">
        <v>0</v>
      </c>
      <c r="K591" t="b">
        <v>0</v>
      </c>
      <c r="L591" t="b">
        <v>1</v>
      </c>
      <c r="M591" t="str">
        <f t="shared" si="18"/>
        <v>INSTAGRAM</v>
      </c>
      <c r="N591" t="str">
        <f t="shared" si="19"/>
        <v>Sub_Urban-INSTAGRAM</v>
      </c>
      <c r="O591">
        <v>14975</v>
      </c>
    </row>
    <row r="592" spans="1:15" x14ac:dyDescent="0.3">
      <c r="A592">
        <v>48</v>
      </c>
      <c r="B592" t="s">
        <v>25</v>
      </c>
      <c r="C592" s="1">
        <v>4</v>
      </c>
      <c r="D592" t="s">
        <v>19</v>
      </c>
      <c r="E592" t="s">
        <v>14</v>
      </c>
      <c r="F592" t="s">
        <v>22</v>
      </c>
      <c r="G592" t="s">
        <v>16</v>
      </c>
      <c r="H592" t="s">
        <v>24</v>
      </c>
      <c r="I592" s="2">
        <v>13243</v>
      </c>
      <c r="J592" t="b">
        <v>1</v>
      </c>
      <c r="K592" t="b">
        <v>1</v>
      </c>
      <c r="L592" t="b">
        <v>1</v>
      </c>
      <c r="M592" t="str">
        <f t="shared" si="18"/>
        <v>FACEBOOK</v>
      </c>
      <c r="N592" t="str">
        <f t="shared" si="19"/>
        <v>Urban-FACEBOOK</v>
      </c>
      <c r="O592">
        <v>13243</v>
      </c>
    </row>
    <row r="593" spans="1:15" x14ac:dyDescent="0.3">
      <c r="A593">
        <v>22</v>
      </c>
      <c r="B593" t="s">
        <v>18</v>
      </c>
      <c r="C593" s="1">
        <v>2</v>
      </c>
      <c r="D593" t="s">
        <v>13</v>
      </c>
      <c r="E593" t="s">
        <v>14</v>
      </c>
      <c r="F593" t="s">
        <v>22</v>
      </c>
      <c r="G593" t="s">
        <v>29</v>
      </c>
      <c r="H593" t="s">
        <v>24</v>
      </c>
      <c r="I593" s="2">
        <v>10648</v>
      </c>
      <c r="J593" t="b">
        <v>1</v>
      </c>
      <c r="K593" t="b">
        <v>1</v>
      </c>
      <c r="L593" t="b">
        <v>1</v>
      </c>
      <c r="M593" t="str">
        <f t="shared" si="18"/>
        <v>INSTAGRAM</v>
      </c>
      <c r="N593" t="str">
        <f t="shared" si="19"/>
        <v>Rural-INSTAGRAM</v>
      </c>
      <c r="O593">
        <v>10648</v>
      </c>
    </row>
    <row r="594" spans="1:15" x14ac:dyDescent="0.3">
      <c r="A594">
        <v>52</v>
      </c>
      <c r="B594" t="s">
        <v>12</v>
      </c>
      <c r="C594" s="1">
        <v>3</v>
      </c>
      <c r="D594" t="s">
        <v>13</v>
      </c>
      <c r="E594" t="s">
        <v>26</v>
      </c>
      <c r="F594" t="s">
        <v>27</v>
      </c>
      <c r="G594" t="s">
        <v>16</v>
      </c>
      <c r="H594" t="s">
        <v>17</v>
      </c>
      <c r="I594" s="2">
        <v>15095</v>
      </c>
      <c r="J594" t="b">
        <v>1</v>
      </c>
      <c r="K594" t="b">
        <v>0</v>
      </c>
      <c r="L594" t="b">
        <v>0</v>
      </c>
      <c r="M594" t="str">
        <f t="shared" si="18"/>
        <v>INSTAGRAM</v>
      </c>
      <c r="N594" t="str">
        <f t="shared" si="19"/>
        <v>Urban-INSTAGRAM</v>
      </c>
      <c r="O594">
        <v>15095</v>
      </c>
    </row>
    <row r="595" spans="1:15" x14ac:dyDescent="0.3">
      <c r="A595">
        <v>40</v>
      </c>
      <c r="B595" t="s">
        <v>18</v>
      </c>
      <c r="C595" s="1">
        <v>7</v>
      </c>
      <c r="D595" t="s">
        <v>13</v>
      </c>
      <c r="E595" t="s">
        <v>20</v>
      </c>
      <c r="F595" t="s">
        <v>27</v>
      </c>
      <c r="G595" t="s">
        <v>16</v>
      </c>
      <c r="H595" t="s">
        <v>17</v>
      </c>
      <c r="I595" s="2">
        <v>16614</v>
      </c>
      <c r="J595" t="b">
        <v>0</v>
      </c>
      <c r="K595" t="b">
        <v>0</v>
      </c>
      <c r="L595" t="b">
        <v>1</v>
      </c>
      <c r="M595" t="str">
        <f t="shared" si="18"/>
        <v>INSTAGRAM</v>
      </c>
      <c r="N595" t="str">
        <f t="shared" si="19"/>
        <v>Urban-INSTAGRAM</v>
      </c>
      <c r="O595">
        <v>16614</v>
      </c>
    </row>
    <row r="596" spans="1:15" x14ac:dyDescent="0.3">
      <c r="A596">
        <v>46</v>
      </c>
      <c r="B596" t="s">
        <v>12</v>
      </c>
      <c r="C596" s="1">
        <v>8</v>
      </c>
      <c r="D596" t="s">
        <v>28</v>
      </c>
      <c r="E596" t="s">
        <v>14</v>
      </c>
      <c r="F596" t="s">
        <v>15</v>
      </c>
      <c r="G596" t="s">
        <v>29</v>
      </c>
      <c r="H596" t="s">
        <v>21</v>
      </c>
      <c r="I596" s="2">
        <v>17135</v>
      </c>
      <c r="J596" t="b">
        <v>0</v>
      </c>
      <c r="K596" t="b">
        <v>0</v>
      </c>
      <c r="L596" t="b">
        <v>1</v>
      </c>
      <c r="M596" t="str">
        <f t="shared" si="18"/>
        <v>YOUTUBE</v>
      </c>
      <c r="N596" t="str">
        <f t="shared" si="19"/>
        <v>Rural-YOUTUBE</v>
      </c>
      <c r="O596">
        <v>17135</v>
      </c>
    </row>
    <row r="597" spans="1:15" x14ac:dyDescent="0.3">
      <c r="A597">
        <v>60</v>
      </c>
      <c r="B597" t="s">
        <v>25</v>
      </c>
      <c r="C597" s="1">
        <v>6</v>
      </c>
      <c r="D597" t="s">
        <v>13</v>
      </c>
      <c r="E597" t="s">
        <v>20</v>
      </c>
      <c r="F597" t="s">
        <v>27</v>
      </c>
      <c r="G597" t="s">
        <v>29</v>
      </c>
      <c r="H597" t="s">
        <v>17</v>
      </c>
      <c r="I597" s="2">
        <v>11009</v>
      </c>
      <c r="J597" t="b">
        <v>1</v>
      </c>
      <c r="K597" t="b">
        <v>0</v>
      </c>
      <c r="L597" t="b">
        <v>0</v>
      </c>
      <c r="M597" t="str">
        <f t="shared" si="18"/>
        <v>INSTAGRAM</v>
      </c>
      <c r="N597" t="str">
        <f t="shared" si="19"/>
        <v>Rural-INSTAGRAM</v>
      </c>
      <c r="O597">
        <v>11009</v>
      </c>
    </row>
    <row r="598" spans="1:15" x14ac:dyDescent="0.3">
      <c r="A598">
        <v>28</v>
      </c>
      <c r="B598" t="s">
        <v>25</v>
      </c>
      <c r="C598" s="1">
        <v>5</v>
      </c>
      <c r="D598" t="s">
        <v>13</v>
      </c>
      <c r="E598" t="s">
        <v>14</v>
      </c>
      <c r="F598" t="s">
        <v>22</v>
      </c>
      <c r="G598" t="s">
        <v>23</v>
      </c>
      <c r="H598" t="s">
        <v>24</v>
      </c>
      <c r="I598" s="2">
        <v>11550</v>
      </c>
      <c r="J598" t="b">
        <v>1</v>
      </c>
      <c r="K598" t="b">
        <v>0</v>
      </c>
      <c r="L598" t="b">
        <v>1</v>
      </c>
      <c r="M598" t="str">
        <f t="shared" si="18"/>
        <v>INSTAGRAM</v>
      </c>
      <c r="N598" t="str">
        <f t="shared" si="19"/>
        <v>Sub_Urban-INSTAGRAM</v>
      </c>
      <c r="O598">
        <v>11550</v>
      </c>
    </row>
    <row r="599" spans="1:15" x14ac:dyDescent="0.3">
      <c r="A599">
        <v>35</v>
      </c>
      <c r="B599" t="s">
        <v>12</v>
      </c>
      <c r="C599" s="1">
        <v>1</v>
      </c>
      <c r="D599" t="s">
        <v>28</v>
      </c>
      <c r="E599" t="s">
        <v>14</v>
      </c>
      <c r="F599" t="s">
        <v>22</v>
      </c>
      <c r="G599" t="s">
        <v>23</v>
      </c>
      <c r="H599" t="s">
        <v>24</v>
      </c>
      <c r="I599" s="2">
        <v>18995</v>
      </c>
      <c r="J599" t="b">
        <v>0</v>
      </c>
      <c r="K599" t="b">
        <v>0</v>
      </c>
      <c r="L599" t="b">
        <v>1</v>
      </c>
      <c r="M599" t="str">
        <f t="shared" si="18"/>
        <v>YOUTUBE</v>
      </c>
      <c r="N599" t="str">
        <f t="shared" si="19"/>
        <v>Sub_Urban-YOUTUBE</v>
      </c>
      <c r="O599">
        <v>18995</v>
      </c>
    </row>
    <row r="600" spans="1:15" x14ac:dyDescent="0.3">
      <c r="A600">
        <v>64</v>
      </c>
      <c r="B600" t="s">
        <v>25</v>
      </c>
      <c r="C600" s="1">
        <v>8</v>
      </c>
      <c r="D600" t="s">
        <v>28</v>
      </c>
      <c r="E600" t="s">
        <v>14</v>
      </c>
      <c r="F600" t="s">
        <v>27</v>
      </c>
      <c r="G600" t="s">
        <v>16</v>
      </c>
      <c r="H600" t="s">
        <v>24</v>
      </c>
      <c r="I600" s="2">
        <v>17492</v>
      </c>
      <c r="J600" t="b">
        <v>1</v>
      </c>
      <c r="K600" t="b">
        <v>1</v>
      </c>
      <c r="L600" t="b">
        <v>1</v>
      </c>
      <c r="M600" t="str">
        <f t="shared" si="18"/>
        <v>YOUTUBE</v>
      </c>
      <c r="N600" t="str">
        <f t="shared" si="19"/>
        <v>Urban-YOUTUBE</v>
      </c>
      <c r="O600">
        <v>17492</v>
      </c>
    </row>
    <row r="601" spans="1:15" x14ac:dyDescent="0.3">
      <c r="A601">
        <v>29</v>
      </c>
      <c r="B601" t="s">
        <v>18</v>
      </c>
      <c r="C601" s="1">
        <v>3</v>
      </c>
      <c r="D601" t="s">
        <v>13</v>
      </c>
      <c r="E601" t="s">
        <v>14</v>
      </c>
      <c r="F601" t="s">
        <v>15</v>
      </c>
      <c r="G601" t="s">
        <v>23</v>
      </c>
      <c r="H601" t="s">
        <v>24</v>
      </c>
      <c r="I601" s="2">
        <v>13401</v>
      </c>
      <c r="J601" t="b">
        <v>0</v>
      </c>
      <c r="K601" t="b">
        <v>1</v>
      </c>
      <c r="L601" t="b">
        <v>1</v>
      </c>
      <c r="M601" t="str">
        <f t="shared" si="18"/>
        <v>INSTAGRAM</v>
      </c>
      <c r="N601" t="str">
        <f t="shared" si="19"/>
        <v>Sub_Urban-INSTAGRAM</v>
      </c>
      <c r="O601">
        <v>13401</v>
      </c>
    </row>
    <row r="602" spans="1:15" x14ac:dyDescent="0.3">
      <c r="A602">
        <v>26</v>
      </c>
      <c r="B602" t="s">
        <v>12</v>
      </c>
      <c r="C602" s="1">
        <v>6</v>
      </c>
      <c r="D602" t="s">
        <v>28</v>
      </c>
      <c r="E602" t="s">
        <v>20</v>
      </c>
      <c r="F602" t="s">
        <v>15</v>
      </c>
      <c r="G602" t="s">
        <v>23</v>
      </c>
      <c r="H602" t="s">
        <v>21</v>
      </c>
      <c r="I602" s="2">
        <v>17447</v>
      </c>
      <c r="J602" t="b">
        <v>1</v>
      </c>
      <c r="K602" t="b">
        <v>1</v>
      </c>
      <c r="L602" t="b">
        <v>0</v>
      </c>
      <c r="M602" t="str">
        <f t="shared" si="18"/>
        <v>YOUTUBE</v>
      </c>
      <c r="N602" t="str">
        <f t="shared" si="19"/>
        <v>Sub_Urban-YOUTUBE</v>
      </c>
      <c r="O602">
        <v>17447</v>
      </c>
    </row>
    <row r="603" spans="1:15" x14ac:dyDescent="0.3">
      <c r="A603">
        <v>27</v>
      </c>
      <c r="B603" t="s">
        <v>25</v>
      </c>
      <c r="C603" s="1">
        <v>3</v>
      </c>
      <c r="D603" t="s">
        <v>19</v>
      </c>
      <c r="E603" t="s">
        <v>14</v>
      </c>
      <c r="F603" t="s">
        <v>27</v>
      </c>
      <c r="G603" t="s">
        <v>29</v>
      </c>
      <c r="H603" t="s">
        <v>21</v>
      </c>
      <c r="I603" s="2">
        <v>15424</v>
      </c>
      <c r="J603" t="b">
        <v>1</v>
      </c>
      <c r="K603" t="b">
        <v>1</v>
      </c>
      <c r="L603" t="b">
        <v>1</v>
      </c>
      <c r="M603" t="str">
        <f t="shared" si="18"/>
        <v>FACEBOOK</v>
      </c>
      <c r="N603" t="str">
        <f t="shared" si="19"/>
        <v>Rural-FACEBOOK</v>
      </c>
      <c r="O603">
        <v>15424</v>
      </c>
    </row>
    <row r="604" spans="1:15" x14ac:dyDescent="0.3">
      <c r="A604">
        <v>61</v>
      </c>
      <c r="B604" t="s">
        <v>12</v>
      </c>
      <c r="C604" s="1">
        <v>7</v>
      </c>
      <c r="D604" t="s">
        <v>19</v>
      </c>
      <c r="E604" t="s">
        <v>26</v>
      </c>
      <c r="F604" t="s">
        <v>15</v>
      </c>
      <c r="G604" t="s">
        <v>23</v>
      </c>
      <c r="H604" t="s">
        <v>17</v>
      </c>
      <c r="I604" s="2">
        <v>14241</v>
      </c>
      <c r="J604" t="b">
        <v>1</v>
      </c>
      <c r="K604" t="b">
        <v>0</v>
      </c>
      <c r="L604" t="b">
        <v>0</v>
      </c>
      <c r="M604" t="str">
        <f t="shared" si="18"/>
        <v>FACEBOOK</v>
      </c>
      <c r="N604" t="str">
        <f t="shared" si="19"/>
        <v>Sub_Urban-FACEBOOK</v>
      </c>
      <c r="O604">
        <v>14241</v>
      </c>
    </row>
    <row r="605" spans="1:15" x14ac:dyDescent="0.3">
      <c r="A605">
        <v>34</v>
      </c>
      <c r="B605" t="s">
        <v>18</v>
      </c>
      <c r="C605" s="1">
        <v>7</v>
      </c>
      <c r="D605" t="s">
        <v>28</v>
      </c>
      <c r="E605" t="s">
        <v>26</v>
      </c>
      <c r="F605" t="s">
        <v>15</v>
      </c>
      <c r="G605" t="s">
        <v>16</v>
      </c>
      <c r="H605" t="s">
        <v>17</v>
      </c>
      <c r="I605" s="2">
        <v>13161</v>
      </c>
      <c r="J605" t="b">
        <v>0</v>
      </c>
      <c r="K605" t="b">
        <v>1</v>
      </c>
      <c r="L605" t="b">
        <v>1</v>
      </c>
      <c r="M605" t="str">
        <f t="shared" si="18"/>
        <v>YOUTUBE</v>
      </c>
      <c r="N605" t="str">
        <f t="shared" si="19"/>
        <v>Urban-YOUTUBE</v>
      </c>
      <c r="O605">
        <v>13161</v>
      </c>
    </row>
    <row r="606" spans="1:15" x14ac:dyDescent="0.3">
      <c r="A606">
        <v>55</v>
      </c>
      <c r="B606" t="s">
        <v>18</v>
      </c>
      <c r="C606" s="1">
        <v>9</v>
      </c>
      <c r="D606" t="s">
        <v>28</v>
      </c>
      <c r="E606" t="s">
        <v>20</v>
      </c>
      <c r="F606" t="s">
        <v>15</v>
      </c>
      <c r="G606" t="s">
        <v>23</v>
      </c>
      <c r="H606" t="s">
        <v>17</v>
      </c>
      <c r="I606" s="2">
        <v>14155</v>
      </c>
      <c r="J606" t="b">
        <v>0</v>
      </c>
      <c r="K606" t="b">
        <v>1</v>
      </c>
      <c r="L606" t="b">
        <v>1</v>
      </c>
      <c r="M606" t="str">
        <f t="shared" si="18"/>
        <v>YOUTUBE</v>
      </c>
      <c r="N606" t="str">
        <f t="shared" si="19"/>
        <v>Sub_Urban-YOUTUBE</v>
      </c>
      <c r="O606">
        <v>14155</v>
      </c>
    </row>
    <row r="607" spans="1:15" x14ac:dyDescent="0.3">
      <c r="A607">
        <v>24</v>
      </c>
      <c r="B607" t="s">
        <v>25</v>
      </c>
      <c r="C607" s="1">
        <v>5</v>
      </c>
      <c r="D607" t="s">
        <v>13</v>
      </c>
      <c r="E607" t="s">
        <v>14</v>
      </c>
      <c r="F607" t="s">
        <v>22</v>
      </c>
      <c r="G607" t="s">
        <v>16</v>
      </c>
      <c r="H607" t="s">
        <v>21</v>
      </c>
      <c r="I607" s="2">
        <v>17478</v>
      </c>
      <c r="J607" t="b">
        <v>1</v>
      </c>
      <c r="K607" t="b">
        <v>0</v>
      </c>
      <c r="L607" t="b">
        <v>0</v>
      </c>
      <c r="M607" t="str">
        <f t="shared" si="18"/>
        <v>INSTAGRAM</v>
      </c>
      <c r="N607" t="str">
        <f t="shared" si="19"/>
        <v>Urban-INSTAGRAM</v>
      </c>
      <c r="O607">
        <v>17478</v>
      </c>
    </row>
    <row r="608" spans="1:15" x14ac:dyDescent="0.3">
      <c r="A608">
        <v>63</v>
      </c>
      <c r="B608" t="s">
        <v>18</v>
      </c>
      <c r="C608" s="1">
        <v>8</v>
      </c>
      <c r="D608" t="s">
        <v>28</v>
      </c>
      <c r="E608" t="s">
        <v>26</v>
      </c>
      <c r="F608" t="s">
        <v>22</v>
      </c>
      <c r="G608" t="s">
        <v>29</v>
      </c>
      <c r="H608" t="s">
        <v>24</v>
      </c>
      <c r="I608" s="2">
        <v>18719</v>
      </c>
      <c r="J608" t="b">
        <v>0</v>
      </c>
      <c r="K608" t="b">
        <v>1</v>
      </c>
      <c r="L608" t="b">
        <v>1</v>
      </c>
      <c r="M608" t="str">
        <f t="shared" si="18"/>
        <v>YOUTUBE</v>
      </c>
      <c r="N608" t="str">
        <f t="shared" si="19"/>
        <v>Rural-YOUTUBE</v>
      </c>
      <c r="O608">
        <v>18719</v>
      </c>
    </row>
    <row r="609" spans="1:15" x14ac:dyDescent="0.3">
      <c r="A609">
        <v>30</v>
      </c>
      <c r="B609" t="s">
        <v>12</v>
      </c>
      <c r="C609" s="1">
        <v>8</v>
      </c>
      <c r="D609" t="s">
        <v>13</v>
      </c>
      <c r="E609" t="s">
        <v>20</v>
      </c>
      <c r="F609" t="s">
        <v>27</v>
      </c>
      <c r="G609" t="s">
        <v>16</v>
      </c>
      <c r="H609" t="s">
        <v>17</v>
      </c>
      <c r="I609" s="2">
        <v>19215</v>
      </c>
      <c r="J609" t="b">
        <v>0</v>
      </c>
      <c r="K609" t="b">
        <v>0</v>
      </c>
      <c r="L609" t="b">
        <v>0</v>
      </c>
      <c r="M609" t="str">
        <f t="shared" si="18"/>
        <v>INSTAGRAM</v>
      </c>
      <c r="N609" t="str">
        <f t="shared" si="19"/>
        <v>Urban-INSTAGRAM</v>
      </c>
      <c r="O609">
        <v>19215</v>
      </c>
    </row>
    <row r="610" spans="1:15" x14ac:dyDescent="0.3">
      <c r="A610">
        <v>57</v>
      </c>
      <c r="B610" t="s">
        <v>18</v>
      </c>
      <c r="C610" s="1">
        <v>1</v>
      </c>
      <c r="D610" t="s">
        <v>19</v>
      </c>
      <c r="E610" t="s">
        <v>14</v>
      </c>
      <c r="F610" t="s">
        <v>22</v>
      </c>
      <c r="G610" t="s">
        <v>23</v>
      </c>
      <c r="H610" t="s">
        <v>24</v>
      </c>
      <c r="I610" s="2">
        <v>16617</v>
      </c>
      <c r="J610" t="b">
        <v>0</v>
      </c>
      <c r="K610" t="b">
        <v>0</v>
      </c>
      <c r="L610" t="b">
        <v>0</v>
      </c>
      <c r="M610" t="str">
        <f t="shared" si="18"/>
        <v>FACEBOOK</v>
      </c>
      <c r="N610" t="str">
        <f t="shared" si="19"/>
        <v>Sub_Urban-FACEBOOK</v>
      </c>
      <c r="O610">
        <v>16617</v>
      </c>
    </row>
    <row r="611" spans="1:15" x14ac:dyDescent="0.3">
      <c r="A611">
        <v>59</v>
      </c>
      <c r="B611" t="s">
        <v>12</v>
      </c>
      <c r="C611" s="1">
        <v>5</v>
      </c>
      <c r="D611" t="s">
        <v>28</v>
      </c>
      <c r="E611" t="s">
        <v>26</v>
      </c>
      <c r="F611" t="s">
        <v>15</v>
      </c>
      <c r="G611" t="s">
        <v>29</v>
      </c>
      <c r="H611" t="s">
        <v>17</v>
      </c>
      <c r="I611" s="2">
        <v>15660</v>
      </c>
      <c r="J611" t="b">
        <v>0</v>
      </c>
      <c r="K611" t="b">
        <v>0</v>
      </c>
      <c r="L611" t="b">
        <v>0</v>
      </c>
      <c r="M611" t="str">
        <f t="shared" si="18"/>
        <v>YOUTUBE</v>
      </c>
      <c r="N611" t="str">
        <f t="shared" si="19"/>
        <v>Rural-YOUTUBE</v>
      </c>
      <c r="O611">
        <v>15660</v>
      </c>
    </row>
    <row r="612" spans="1:15" x14ac:dyDescent="0.3">
      <c r="A612">
        <v>26</v>
      </c>
      <c r="B612" t="s">
        <v>12</v>
      </c>
      <c r="C612" s="1">
        <v>3</v>
      </c>
      <c r="D612" t="s">
        <v>13</v>
      </c>
      <c r="E612" t="s">
        <v>26</v>
      </c>
      <c r="F612" t="s">
        <v>22</v>
      </c>
      <c r="G612" t="s">
        <v>23</v>
      </c>
      <c r="H612" t="s">
        <v>17</v>
      </c>
      <c r="I612" s="2">
        <v>18624</v>
      </c>
      <c r="J612" t="b">
        <v>1</v>
      </c>
      <c r="K612" t="b">
        <v>0</v>
      </c>
      <c r="L612" t="b">
        <v>1</v>
      </c>
      <c r="M612" t="str">
        <f t="shared" si="18"/>
        <v>INSTAGRAM</v>
      </c>
      <c r="N612" t="str">
        <f t="shared" si="19"/>
        <v>Sub_Urban-INSTAGRAM</v>
      </c>
      <c r="O612">
        <v>18624</v>
      </c>
    </row>
    <row r="613" spans="1:15" x14ac:dyDescent="0.3">
      <c r="A613">
        <v>44</v>
      </c>
      <c r="B613" t="s">
        <v>18</v>
      </c>
      <c r="C613" s="1">
        <v>1</v>
      </c>
      <c r="D613" t="s">
        <v>13</v>
      </c>
      <c r="E613" t="s">
        <v>20</v>
      </c>
      <c r="F613" t="s">
        <v>27</v>
      </c>
      <c r="G613" t="s">
        <v>29</v>
      </c>
      <c r="H613" t="s">
        <v>17</v>
      </c>
      <c r="I613" s="2">
        <v>11176</v>
      </c>
      <c r="J613" t="b">
        <v>0</v>
      </c>
      <c r="K613" t="b">
        <v>0</v>
      </c>
      <c r="L613" t="b">
        <v>1</v>
      </c>
      <c r="M613" t="str">
        <f t="shared" si="18"/>
        <v>INSTAGRAM</v>
      </c>
      <c r="N613" t="str">
        <f t="shared" si="19"/>
        <v>Rural-INSTAGRAM</v>
      </c>
      <c r="O613">
        <v>11176</v>
      </c>
    </row>
    <row r="614" spans="1:15" x14ac:dyDescent="0.3">
      <c r="A614">
        <v>19</v>
      </c>
      <c r="B614" t="s">
        <v>25</v>
      </c>
      <c r="C614" s="1">
        <v>4</v>
      </c>
      <c r="D614" t="s">
        <v>19</v>
      </c>
      <c r="E614" t="s">
        <v>14</v>
      </c>
      <c r="F614" t="s">
        <v>22</v>
      </c>
      <c r="G614" t="s">
        <v>29</v>
      </c>
      <c r="H614" t="s">
        <v>17</v>
      </c>
      <c r="I614" s="2">
        <v>17956</v>
      </c>
      <c r="J614" t="b">
        <v>0</v>
      </c>
      <c r="K614" t="b">
        <v>1</v>
      </c>
      <c r="L614" t="b">
        <v>1</v>
      </c>
      <c r="M614" t="str">
        <f t="shared" si="18"/>
        <v>FACEBOOK</v>
      </c>
      <c r="N614" t="str">
        <f t="shared" si="19"/>
        <v>Rural-FACEBOOK</v>
      </c>
      <c r="O614">
        <v>17956</v>
      </c>
    </row>
    <row r="615" spans="1:15" x14ac:dyDescent="0.3">
      <c r="A615">
        <v>22</v>
      </c>
      <c r="B615" t="s">
        <v>18</v>
      </c>
      <c r="C615" s="1">
        <v>8</v>
      </c>
      <c r="D615" t="s">
        <v>28</v>
      </c>
      <c r="E615" t="s">
        <v>14</v>
      </c>
      <c r="F615" t="s">
        <v>15</v>
      </c>
      <c r="G615" t="s">
        <v>23</v>
      </c>
      <c r="H615" t="s">
        <v>17</v>
      </c>
      <c r="I615" s="2">
        <v>18592</v>
      </c>
      <c r="J615" t="b">
        <v>1</v>
      </c>
      <c r="K615" t="b">
        <v>1</v>
      </c>
      <c r="L615" t="b">
        <v>1</v>
      </c>
      <c r="M615" t="str">
        <f t="shared" si="18"/>
        <v>YOUTUBE</v>
      </c>
      <c r="N615" t="str">
        <f t="shared" si="19"/>
        <v>Sub_Urban-YOUTUBE</v>
      </c>
      <c r="O615">
        <v>18592</v>
      </c>
    </row>
    <row r="616" spans="1:15" x14ac:dyDescent="0.3">
      <c r="A616">
        <v>46</v>
      </c>
      <c r="B616" t="s">
        <v>12</v>
      </c>
      <c r="C616" s="1">
        <v>3</v>
      </c>
      <c r="D616" t="s">
        <v>19</v>
      </c>
      <c r="E616" t="s">
        <v>26</v>
      </c>
      <c r="F616" t="s">
        <v>15</v>
      </c>
      <c r="G616" t="s">
        <v>23</v>
      </c>
      <c r="H616" t="s">
        <v>24</v>
      </c>
      <c r="I616" s="2">
        <v>12233</v>
      </c>
      <c r="J616" t="b">
        <v>0</v>
      </c>
      <c r="K616" t="b">
        <v>1</v>
      </c>
      <c r="L616" t="b">
        <v>0</v>
      </c>
      <c r="M616" t="str">
        <f t="shared" si="18"/>
        <v>FACEBOOK</v>
      </c>
      <c r="N616" t="str">
        <f t="shared" si="19"/>
        <v>Sub_Urban-FACEBOOK</v>
      </c>
      <c r="O616">
        <v>12233</v>
      </c>
    </row>
    <row r="617" spans="1:15" x14ac:dyDescent="0.3">
      <c r="A617">
        <v>54</v>
      </c>
      <c r="B617" t="s">
        <v>12</v>
      </c>
      <c r="C617" s="1">
        <v>2</v>
      </c>
      <c r="D617" t="s">
        <v>13</v>
      </c>
      <c r="E617" t="s">
        <v>26</v>
      </c>
      <c r="F617" t="s">
        <v>27</v>
      </c>
      <c r="G617" t="s">
        <v>29</v>
      </c>
      <c r="H617" t="s">
        <v>17</v>
      </c>
      <c r="I617" s="2">
        <v>14700</v>
      </c>
      <c r="J617" t="b">
        <v>0</v>
      </c>
      <c r="K617" t="b">
        <v>0</v>
      </c>
      <c r="L617" t="b">
        <v>1</v>
      </c>
      <c r="M617" t="str">
        <f t="shared" si="18"/>
        <v>INSTAGRAM</v>
      </c>
      <c r="N617" t="str">
        <f t="shared" si="19"/>
        <v>Rural-INSTAGRAM</v>
      </c>
      <c r="O617">
        <v>14700</v>
      </c>
    </row>
    <row r="618" spans="1:15" x14ac:dyDescent="0.3">
      <c r="A618">
        <v>55</v>
      </c>
      <c r="B618" t="s">
        <v>18</v>
      </c>
      <c r="C618" s="1">
        <v>9</v>
      </c>
      <c r="D618" t="s">
        <v>13</v>
      </c>
      <c r="E618" t="s">
        <v>26</v>
      </c>
      <c r="F618" t="s">
        <v>22</v>
      </c>
      <c r="G618" t="s">
        <v>29</v>
      </c>
      <c r="H618" t="s">
        <v>24</v>
      </c>
      <c r="I618" s="2">
        <v>15906</v>
      </c>
      <c r="J618" t="b">
        <v>0</v>
      </c>
      <c r="K618" t="b">
        <v>1</v>
      </c>
      <c r="L618" t="b">
        <v>1</v>
      </c>
      <c r="M618" t="str">
        <f t="shared" si="18"/>
        <v>INSTAGRAM</v>
      </c>
      <c r="N618" t="str">
        <f t="shared" si="19"/>
        <v>Rural-INSTAGRAM</v>
      </c>
      <c r="O618">
        <v>15906</v>
      </c>
    </row>
    <row r="619" spans="1:15" x14ac:dyDescent="0.3">
      <c r="A619">
        <v>36</v>
      </c>
      <c r="B619" t="s">
        <v>25</v>
      </c>
      <c r="C619" s="1">
        <v>5</v>
      </c>
      <c r="D619" t="s">
        <v>28</v>
      </c>
      <c r="E619" t="s">
        <v>14</v>
      </c>
      <c r="F619" t="s">
        <v>22</v>
      </c>
      <c r="G619" t="s">
        <v>23</v>
      </c>
      <c r="H619" t="s">
        <v>21</v>
      </c>
      <c r="I619" s="2">
        <v>17860</v>
      </c>
      <c r="J619" t="b">
        <v>1</v>
      </c>
      <c r="K619" t="b">
        <v>1</v>
      </c>
      <c r="L619" t="b">
        <v>0</v>
      </c>
      <c r="M619" t="str">
        <f t="shared" si="18"/>
        <v>YOUTUBE</v>
      </c>
      <c r="N619" t="str">
        <f t="shared" si="19"/>
        <v>Sub_Urban-YOUTUBE</v>
      </c>
      <c r="O619">
        <v>17860</v>
      </c>
    </row>
    <row r="620" spans="1:15" x14ac:dyDescent="0.3">
      <c r="A620">
        <v>25</v>
      </c>
      <c r="B620" t="s">
        <v>25</v>
      </c>
      <c r="C620" s="1">
        <v>7</v>
      </c>
      <c r="D620" t="s">
        <v>13</v>
      </c>
      <c r="E620" t="s">
        <v>20</v>
      </c>
      <c r="F620" t="s">
        <v>22</v>
      </c>
      <c r="G620" t="s">
        <v>16</v>
      </c>
      <c r="H620" t="s">
        <v>17</v>
      </c>
      <c r="I620" s="2">
        <v>17526</v>
      </c>
      <c r="J620" t="b">
        <v>1</v>
      </c>
      <c r="K620" t="b">
        <v>1</v>
      </c>
      <c r="L620" t="b">
        <v>0</v>
      </c>
      <c r="M620" t="str">
        <f t="shared" si="18"/>
        <v>INSTAGRAM</v>
      </c>
      <c r="N620" t="str">
        <f t="shared" si="19"/>
        <v>Urban-INSTAGRAM</v>
      </c>
      <c r="O620">
        <v>17526</v>
      </c>
    </row>
    <row r="621" spans="1:15" x14ac:dyDescent="0.3">
      <c r="A621">
        <v>62</v>
      </c>
      <c r="B621" t="s">
        <v>12</v>
      </c>
      <c r="C621" s="1">
        <v>2</v>
      </c>
      <c r="D621" t="s">
        <v>28</v>
      </c>
      <c r="E621" t="s">
        <v>20</v>
      </c>
      <c r="F621" t="s">
        <v>15</v>
      </c>
      <c r="G621" t="s">
        <v>23</v>
      </c>
      <c r="H621" t="s">
        <v>24</v>
      </c>
      <c r="I621" s="2">
        <v>15559</v>
      </c>
      <c r="J621" t="b">
        <v>0</v>
      </c>
      <c r="K621" t="b">
        <v>1</v>
      </c>
      <c r="L621" t="b">
        <v>1</v>
      </c>
      <c r="M621" t="str">
        <f t="shared" si="18"/>
        <v>YOUTUBE</v>
      </c>
      <c r="N621" t="str">
        <f t="shared" si="19"/>
        <v>Sub_Urban-YOUTUBE</v>
      </c>
      <c r="O621">
        <v>15559</v>
      </c>
    </row>
    <row r="622" spans="1:15" x14ac:dyDescent="0.3">
      <c r="A622">
        <v>18</v>
      </c>
      <c r="B622" t="s">
        <v>12</v>
      </c>
      <c r="C622" s="1">
        <v>9</v>
      </c>
      <c r="D622" t="s">
        <v>19</v>
      </c>
      <c r="E622" t="s">
        <v>14</v>
      </c>
      <c r="F622" t="s">
        <v>27</v>
      </c>
      <c r="G622" t="s">
        <v>29</v>
      </c>
      <c r="H622" t="s">
        <v>21</v>
      </c>
      <c r="I622" s="2">
        <v>16732</v>
      </c>
      <c r="J622" t="b">
        <v>0</v>
      </c>
      <c r="K622" t="b">
        <v>0</v>
      </c>
      <c r="L622" t="b">
        <v>0</v>
      </c>
      <c r="M622" t="str">
        <f t="shared" si="18"/>
        <v>FACEBOOK</v>
      </c>
      <c r="N622" t="str">
        <f t="shared" si="19"/>
        <v>Rural-FACEBOOK</v>
      </c>
      <c r="O622">
        <v>16732</v>
      </c>
    </row>
    <row r="623" spans="1:15" x14ac:dyDescent="0.3">
      <c r="A623">
        <v>39</v>
      </c>
      <c r="B623" t="s">
        <v>25</v>
      </c>
      <c r="C623" s="1">
        <v>9</v>
      </c>
      <c r="D623" t="s">
        <v>28</v>
      </c>
      <c r="E623" t="s">
        <v>20</v>
      </c>
      <c r="F623" t="s">
        <v>22</v>
      </c>
      <c r="G623" t="s">
        <v>23</v>
      </c>
      <c r="H623" t="s">
        <v>21</v>
      </c>
      <c r="I623" s="2">
        <v>12513</v>
      </c>
      <c r="J623" t="b">
        <v>1</v>
      </c>
      <c r="K623" t="b">
        <v>1</v>
      </c>
      <c r="L623" t="b">
        <v>0</v>
      </c>
      <c r="M623" t="str">
        <f t="shared" si="18"/>
        <v>YOUTUBE</v>
      </c>
      <c r="N623" t="str">
        <f t="shared" si="19"/>
        <v>Sub_Urban-YOUTUBE</v>
      </c>
      <c r="O623">
        <v>12513</v>
      </c>
    </row>
    <row r="624" spans="1:15" x14ac:dyDescent="0.3">
      <c r="A624">
        <v>34</v>
      </c>
      <c r="B624" t="s">
        <v>18</v>
      </c>
      <c r="C624" s="1">
        <v>4</v>
      </c>
      <c r="D624" t="s">
        <v>28</v>
      </c>
      <c r="E624" t="s">
        <v>26</v>
      </c>
      <c r="F624" t="s">
        <v>15</v>
      </c>
      <c r="G624" t="s">
        <v>16</v>
      </c>
      <c r="H624" t="s">
        <v>21</v>
      </c>
      <c r="I624" s="2">
        <v>17830</v>
      </c>
      <c r="J624" t="b">
        <v>1</v>
      </c>
      <c r="K624" t="b">
        <v>0</v>
      </c>
      <c r="L624" t="b">
        <v>0</v>
      </c>
      <c r="M624" t="str">
        <f t="shared" si="18"/>
        <v>YOUTUBE</v>
      </c>
      <c r="N624" t="str">
        <f t="shared" si="19"/>
        <v>Urban-YOUTUBE</v>
      </c>
      <c r="O624">
        <v>17830</v>
      </c>
    </row>
    <row r="625" spans="1:15" x14ac:dyDescent="0.3">
      <c r="A625">
        <v>24</v>
      </c>
      <c r="B625" t="s">
        <v>12</v>
      </c>
      <c r="C625" s="1">
        <v>4</v>
      </c>
      <c r="D625" t="s">
        <v>13</v>
      </c>
      <c r="E625" t="s">
        <v>20</v>
      </c>
      <c r="F625" t="s">
        <v>15</v>
      </c>
      <c r="G625" t="s">
        <v>23</v>
      </c>
      <c r="H625" t="s">
        <v>24</v>
      </c>
      <c r="I625" s="2">
        <v>19965</v>
      </c>
      <c r="J625" t="b">
        <v>1</v>
      </c>
      <c r="K625" t="b">
        <v>0</v>
      </c>
      <c r="L625" t="b">
        <v>0</v>
      </c>
      <c r="M625" t="str">
        <f t="shared" si="18"/>
        <v>INSTAGRAM</v>
      </c>
      <c r="N625" t="str">
        <f t="shared" si="19"/>
        <v>Sub_Urban-INSTAGRAM</v>
      </c>
      <c r="O625">
        <v>19965</v>
      </c>
    </row>
    <row r="626" spans="1:15" x14ac:dyDescent="0.3">
      <c r="A626">
        <v>42</v>
      </c>
      <c r="B626" t="s">
        <v>12</v>
      </c>
      <c r="C626" s="1">
        <v>6</v>
      </c>
      <c r="D626" t="s">
        <v>13</v>
      </c>
      <c r="E626" t="s">
        <v>20</v>
      </c>
      <c r="F626" t="s">
        <v>15</v>
      </c>
      <c r="G626" t="s">
        <v>29</v>
      </c>
      <c r="H626" t="s">
        <v>17</v>
      </c>
      <c r="I626" s="2">
        <v>16944</v>
      </c>
      <c r="J626" t="b">
        <v>0</v>
      </c>
      <c r="K626" t="b">
        <v>1</v>
      </c>
      <c r="L626" t="b">
        <v>0</v>
      </c>
      <c r="M626" t="str">
        <f t="shared" si="18"/>
        <v>INSTAGRAM</v>
      </c>
      <c r="N626" t="str">
        <f t="shared" si="19"/>
        <v>Rural-INSTAGRAM</v>
      </c>
      <c r="O626">
        <v>16944</v>
      </c>
    </row>
    <row r="627" spans="1:15" x14ac:dyDescent="0.3">
      <c r="A627">
        <v>62</v>
      </c>
      <c r="B627" t="s">
        <v>25</v>
      </c>
      <c r="C627" s="1">
        <v>6</v>
      </c>
      <c r="D627" t="s">
        <v>28</v>
      </c>
      <c r="E627" t="s">
        <v>20</v>
      </c>
      <c r="F627" t="s">
        <v>22</v>
      </c>
      <c r="G627" t="s">
        <v>23</v>
      </c>
      <c r="H627" t="s">
        <v>17</v>
      </c>
      <c r="I627" s="2">
        <v>17910</v>
      </c>
      <c r="J627" t="b">
        <v>0</v>
      </c>
      <c r="K627" t="b">
        <v>0</v>
      </c>
      <c r="L627" t="b">
        <v>1</v>
      </c>
      <c r="M627" t="str">
        <f t="shared" si="18"/>
        <v>YOUTUBE</v>
      </c>
      <c r="N627" t="str">
        <f t="shared" si="19"/>
        <v>Sub_Urban-YOUTUBE</v>
      </c>
      <c r="O627">
        <v>17910</v>
      </c>
    </row>
    <row r="628" spans="1:15" x14ac:dyDescent="0.3">
      <c r="A628">
        <v>21</v>
      </c>
      <c r="B628" t="s">
        <v>18</v>
      </c>
      <c r="C628" s="1">
        <v>1</v>
      </c>
      <c r="D628" t="s">
        <v>13</v>
      </c>
      <c r="E628" t="s">
        <v>26</v>
      </c>
      <c r="F628" t="s">
        <v>22</v>
      </c>
      <c r="G628" t="s">
        <v>29</v>
      </c>
      <c r="H628" t="s">
        <v>24</v>
      </c>
      <c r="I628" s="2">
        <v>15649</v>
      </c>
      <c r="J628" t="b">
        <v>1</v>
      </c>
      <c r="K628" t="b">
        <v>0</v>
      </c>
      <c r="L628" t="b">
        <v>1</v>
      </c>
      <c r="M628" t="str">
        <f t="shared" si="18"/>
        <v>INSTAGRAM</v>
      </c>
      <c r="N628" t="str">
        <f t="shared" si="19"/>
        <v>Rural-INSTAGRAM</v>
      </c>
      <c r="O628">
        <v>15649</v>
      </c>
    </row>
    <row r="629" spans="1:15" x14ac:dyDescent="0.3">
      <c r="A629">
        <v>53</v>
      </c>
      <c r="B629" t="s">
        <v>25</v>
      </c>
      <c r="C629" s="1">
        <v>9</v>
      </c>
      <c r="D629" t="s">
        <v>13</v>
      </c>
      <c r="E629" t="s">
        <v>14</v>
      </c>
      <c r="F629" t="s">
        <v>22</v>
      </c>
      <c r="G629" t="s">
        <v>29</v>
      </c>
      <c r="H629" t="s">
        <v>17</v>
      </c>
      <c r="I629" s="2">
        <v>11096</v>
      </c>
      <c r="J629" t="b">
        <v>0</v>
      </c>
      <c r="K629" t="b">
        <v>0</v>
      </c>
      <c r="L629" t="b">
        <v>1</v>
      </c>
      <c r="M629" t="str">
        <f t="shared" si="18"/>
        <v>INSTAGRAM</v>
      </c>
      <c r="N629" t="str">
        <f t="shared" si="19"/>
        <v>Rural-INSTAGRAM</v>
      </c>
      <c r="O629">
        <v>11096</v>
      </c>
    </row>
    <row r="630" spans="1:15" x14ac:dyDescent="0.3">
      <c r="A630">
        <v>23</v>
      </c>
      <c r="B630" t="s">
        <v>18</v>
      </c>
      <c r="C630" s="1">
        <v>2</v>
      </c>
      <c r="D630" t="s">
        <v>13</v>
      </c>
      <c r="E630" t="s">
        <v>26</v>
      </c>
      <c r="F630" t="s">
        <v>22</v>
      </c>
      <c r="G630" t="s">
        <v>23</v>
      </c>
      <c r="H630" t="s">
        <v>24</v>
      </c>
      <c r="I630" s="2">
        <v>19120</v>
      </c>
      <c r="J630" t="b">
        <v>0</v>
      </c>
      <c r="K630" t="b">
        <v>0</v>
      </c>
      <c r="L630" t="b">
        <v>1</v>
      </c>
      <c r="M630" t="str">
        <f t="shared" si="18"/>
        <v>INSTAGRAM</v>
      </c>
      <c r="N630" t="str">
        <f t="shared" si="19"/>
        <v>Sub_Urban-INSTAGRAM</v>
      </c>
      <c r="O630">
        <v>19120</v>
      </c>
    </row>
    <row r="631" spans="1:15" x14ac:dyDescent="0.3">
      <c r="A631">
        <v>48</v>
      </c>
      <c r="B631" t="s">
        <v>18</v>
      </c>
      <c r="C631" s="1">
        <v>5</v>
      </c>
      <c r="D631" t="s">
        <v>28</v>
      </c>
      <c r="E631" t="s">
        <v>14</v>
      </c>
      <c r="F631" t="s">
        <v>22</v>
      </c>
      <c r="G631" t="s">
        <v>29</v>
      </c>
      <c r="H631" t="s">
        <v>17</v>
      </c>
      <c r="I631" s="2">
        <v>11951</v>
      </c>
      <c r="J631" t="b">
        <v>0</v>
      </c>
      <c r="K631" t="b">
        <v>0</v>
      </c>
      <c r="L631" t="b">
        <v>1</v>
      </c>
      <c r="M631" t="str">
        <f t="shared" si="18"/>
        <v>YOUTUBE</v>
      </c>
      <c r="N631" t="str">
        <f t="shared" si="19"/>
        <v>Rural-YOUTUBE</v>
      </c>
      <c r="O631">
        <v>11951</v>
      </c>
    </row>
    <row r="632" spans="1:15" x14ac:dyDescent="0.3">
      <c r="A632">
        <v>36</v>
      </c>
      <c r="B632" t="s">
        <v>18</v>
      </c>
      <c r="C632" s="1">
        <v>9</v>
      </c>
      <c r="D632" t="s">
        <v>13</v>
      </c>
      <c r="E632" t="s">
        <v>14</v>
      </c>
      <c r="F632" t="s">
        <v>22</v>
      </c>
      <c r="G632" t="s">
        <v>29</v>
      </c>
      <c r="H632" t="s">
        <v>21</v>
      </c>
      <c r="I632" s="2">
        <v>19746</v>
      </c>
      <c r="J632" t="b">
        <v>0</v>
      </c>
      <c r="K632" t="b">
        <v>0</v>
      </c>
      <c r="L632" t="b">
        <v>1</v>
      </c>
      <c r="M632" t="str">
        <f t="shared" si="18"/>
        <v>INSTAGRAM</v>
      </c>
      <c r="N632" t="str">
        <f t="shared" si="19"/>
        <v>Rural-INSTAGRAM</v>
      </c>
      <c r="O632">
        <v>19746</v>
      </c>
    </row>
    <row r="633" spans="1:15" x14ac:dyDescent="0.3">
      <c r="A633">
        <v>61</v>
      </c>
      <c r="B633" t="s">
        <v>12</v>
      </c>
      <c r="C633" s="1">
        <v>4</v>
      </c>
      <c r="D633" t="s">
        <v>28</v>
      </c>
      <c r="E633" t="s">
        <v>14</v>
      </c>
      <c r="F633" t="s">
        <v>22</v>
      </c>
      <c r="G633" t="s">
        <v>16</v>
      </c>
      <c r="H633" t="s">
        <v>17</v>
      </c>
      <c r="I633" s="2">
        <v>19186</v>
      </c>
      <c r="J633" t="b">
        <v>0</v>
      </c>
      <c r="K633" t="b">
        <v>0</v>
      </c>
      <c r="L633" t="b">
        <v>1</v>
      </c>
      <c r="M633" t="str">
        <f t="shared" si="18"/>
        <v>YOUTUBE</v>
      </c>
      <c r="N633" t="str">
        <f t="shared" si="19"/>
        <v>Urban-YOUTUBE</v>
      </c>
      <c r="O633">
        <v>19186</v>
      </c>
    </row>
    <row r="634" spans="1:15" x14ac:dyDescent="0.3">
      <c r="A634">
        <v>56</v>
      </c>
      <c r="B634" t="s">
        <v>25</v>
      </c>
      <c r="C634" s="1">
        <v>3</v>
      </c>
      <c r="D634" t="s">
        <v>13</v>
      </c>
      <c r="E634" t="s">
        <v>20</v>
      </c>
      <c r="F634" t="s">
        <v>22</v>
      </c>
      <c r="G634" t="s">
        <v>16</v>
      </c>
      <c r="H634" t="s">
        <v>24</v>
      </c>
      <c r="I634" s="2">
        <v>17799</v>
      </c>
      <c r="J634" t="b">
        <v>0</v>
      </c>
      <c r="K634" t="b">
        <v>1</v>
      </c>
      <c r="L634" t="b">
        <v>0</v>
      </c>
      <c r="M634" t="str">
        <f t="shared" si="18"/>
        <v>INSTAGRAM</v>
      </c>
      <c r="N634" t="str">
        <f t="shared" si="19"/>
        <v>Urban-INSTAGRAM</v>
      </c>
      <c r="O634">
        <v>17799</v>
      </c>
    </row>
    <row r="635" spans="1:15" x14ac:dyDescent="0.3">
      <c r="A635">
        <v>44</v>
      </c>
      <c r="B635" t="s">
        <v>25</v>
      </c>
      <c r="C635" s="1">
        <v>7</v>
      </c>
      <c r="D635" t="s">
        <v>19</v>
      </c>
      <c r="E635" t="s">
        <v>20</v>
      </c>
      <c r="F635" t="s">
        <v>22</v>
      </c>
      <c r="G635" t="s">
        <v>16</v>
      </c>
      <c r="H635" t="s">
        <v>24</v>
      </c>
      <c r="I635" s="2">
        <v>18804</v>
      </c>
      <c r="J635" t="b">
        <v>0</v>
      </c>
      <c r="K635" t="b">
        <v>1</v>
      </c>
      <c r="L635" t="b">
        <v>1</v>
      </c>
      <c r="M635" t="str">
        <f t="shared" si="18"/>
        <v>FACEBOOK</v>
      </c>
      <c r="N635" t="str">
        <f t="shared" si="19"/>
        <v>Urban-FACEBOOK</v>
      </c>
      <c r="O635">
        <v>18804</v>
      </c>
    </row>
    <row r="636" spans="1:15" x14ac:dyDescent="0.3">
      <c r="A636">
        <v>27</v>
      </c>
      <c r="B636" t="s">
        <v>18</v>
      </c>
      <c r="C636" s="1">
        <v>6</v>
      </c>
      <c r="D636" t="s">
        <v>13</v>
      </c>
      <c r="E636" t="s">
        <v>14</v>
      </c>
      <c r="F636" t="s">
        <v>15</v>
      </c>
      <c r="G636" t="s">
        <v>16</v>
      </c>
      <c r="H636" t="s">
        <v>21</v>
      </c>
      <c r="I636" s="2">
        <v>10595</v>
      </c>
      <c r="J636" t="b">
        <v>1</v>
      </c>
      <c r="K636" t="b">
        <v>0</v>
      </c>
      <c r="L636" t="b">
        <v>1</v>
      </c>
      <c r="M636" t="str">
        <f t="shared" si="18"/>
        <v>INSTAGRAM</v>
      </c>
      <c r="N636" t="str">
        <f t="shared" si="19"/>
        <v>Urban-INSTAGRAM</v>
      </c>
      <c r="O636">
        <v>10595</v>
      </c>
    </row>
    <row r="637" spans="1:15" x14ac:dyDescent="0.3">
      <c r="A637">
        <v>43</v>
      </c>
      <c r="B637" t="s">
        <v>12</v>
      </c>
      <c r="C637" s="1">
        <v>8</v>
      </c>
      <c r="D637" t="s">
        <v>13</v>
      </c>
      <c r="E637" t="s">
        <v>14</v>
      </c>
      <c r="F637" t="s">
        <v>22</v>
      </c>
      <c r="G637" t="s">
        <v>29</v>
      </c>
      <c r="H637" t="s">
        <v>24</v>
      </c>
      <c r="I637" s="2">
        <v>17875</v>
      </c>
      <c r="J637" t="b">
        <v>1</v>
      </c>
      <c r="K637" t="b">
        <v>0</v>
      </c>
      <c r="L637" t="b">
        <v>1</v>
      </c>
      <c r="M637" t="str">
        <f t="shared" si="18"/>
        <v>INSTAGRAM</v>
      </c>
      <c r="N637" t="str">
        <f t="shared" si="19"/>
        <v>Rural-INSTAGRAM</v>
      </c>
      <c r="O637">
        <v>17875</v>
      </c>
    </row>
    <row r="638" spans="1:15" x14ac:dyDescent="0.3">
      <c r="A638">
        <v>36</v>
      </c>
      <c r="B638" t="s">
        <v>12</v>
      </c>
      <c r="C638" s="1">
        <v>3</v>
      </c>
      <c r="D638" t="s">
        <v>28</v>
      </c>
      <c r="E638" t="s">
        <v>20</v>
      </c>
      <c r="F638" t="s">
        <v>27</v>
      </c>
      <c r="G638" t="s">
        <v>23</v>
      </c>
      <c r="H638" t="s">
        <v>17</v>
      </c>
      <c r="I638" s="2">
        <v>19033</v>
      </c>
      <c r="J638" t="b">
        <v>1</v>
      </c>
      <c r="K638" t="b">
        <v>1</v>
      </c>
      <c r="L638" t="b">
        <v>0</v>
      </c>
      <c r="M638" t="str">
        <f t="shared" si="18"/>
        <v>YOUTUBE</v>
      </c>
      <c r="N638" t="str">
        <f t="shared" si="19"/>
        <v>Sub_Urban-YOUTUBE</v>
      </c>
      <c r="O638">
        <v>19033</v>
      </c>
    </row>
    <row r="639" spans="1:15" x14ac:dyDescent="0.3">
      <c r="A639">
        <v>56</v>
      </c>
      <c r="B639" t="s">
        <v>25</v>
      </c>
      <c r="C639" s="1">
        <v>5</v>
      </c>
      <c r="D639" t="s">
        <v>28</v>
      </c>
      <c r="E639" t="s">
        <v>26</v>
      </c>
      <c r="F639" t="s">
        <v>15</v>
      </c>
      <c r="G639" t="s">
        <v>29</v>
      </c>
      <c r="H639" t="s">
        <v>17</v>
      </c>
      <c r="I639" s="2">
        <v>14439</v>
      </c>
      <c r="J639" t="b">
        <v>1</v>
      </c>
      <c r="K639" t="b">
        <v>1</v>
      </c>
      <c r="L639" t="b">
        <v>1</v>
      </c>
      <c r="M639" t="str">
        <f t="shared" si="18"/>
        <v>YOUTUBE</v>
      </c>
      <c r="N639" t="str">
        <f t="shared" si="19"/>
        <v>Rural-YOUTUBE</v>
      </c>
      <c r="O639">
        <v>14439</v>
      </c>
    </row>
    <row r="640" spans="1:15" x14ac:dyDescent="0.3">
      <c r="A640">
        <v>20</v>
      </c>
      <c r="B640" t="s">
        <v>12</v>
      </c>
      <c r="C640" s="1">
        <v>4</v>
      </c>
      <c r="D640" t="s">
        <v>13</v>
      </c>
      <c r="E640" t="s">
        <v>14</v>
      </c>
      <c r="F640" t="s">
        <v>22</v>
      </c>
      <c r="G640" t="s">
        <v>29</v>
      </c>
      <c r="H640" t="s">
        <v>21</v>
      </c>
      <c r="I640" s="2">
        <v>15972</v>
      </c>
      <c r="J640" t="b">
        <v>1</v>
      </c>
      <c r="K640" t="b">
        <v>1</v>
      </c>
      <c r="L640" t="b">
        <v>1</v>
      </c>
      <c r="M640" t="str">
        <f t="shared" si="18"/>
        <v>INSTAGRAM</v>
      </c>
      <c r="N640" t="str">
        <f t="shared" si="19"/>
        <v>Rural-INSTAGRAM</v>
      </c>
      <c r="O640">
        <v>15972</v>
      </c>
    </row>
    <row r="641" spans="1:15" x14ac:dyDescent="0.3">
      <c r="A641">
        <v>62</v>
      </c>
      <c r="B641" t="s">
        <v>12</v>
      </c>
      <c r="C641" s="1">
        <v>4</v>
      </c>
      <c r="D641" t="s">
        <v>19</v>
      </c>
      <c r="E641" t="s">
        <v>26</v>
      </c>
      <c r="F641" t="s">
        <v>27</v>
      </c>
      <c r="G641" t="s">
        <v>29</v>
      </c>
      <c r="H641" t="s">
        <v>24</v>
      </c>
      <c r="I641" s="2">
        <v>10858</v>
      </c>
      <c r="J641" t="b">
        <v>1</v>
      </c>
      <c r="K641" t="b">
        <v>1</v>
      </c>
      <c r="L641" t="b">
        <v>0</v>
      </c>
      <c r="M641" t="str">
        <f t="shared" si="18"/>
        <v>FACEBOOK</v>
      </c>
      <c r="N641" t="str">
        <f t="shared" si="19"/>
        <v>Rural-FACEBOOK</v>
      </c>
      <c r="O641">
        <v>10858</v>
      </c>
    </row>
    <row r="642" spans="1:15" x14ac:dyDescent="0.3">
      <c r="A642">
        <v>30</v>
      </c>
      <c r="B642" t="s">
        <v>18</v>
      </c>
      <c r="C642" s="1">
        <v>4</v>
      </c>
      <c r="D642" t="s">
        <v>13</v>
      </c>
      <c r="E642" t="s">
        <v>20</v>
      </c>
      <c r="F642" t="s">
        <v>22</v>
      </c>
      <c r="G642" t="s">
        <v>23</v>
      </c>
      <c r="H642" t="s">
        <v>21</v>
      </c>
      <c r="I642" s="2">
        <v>15519</v>
      </c>
      <c r="J642" t="b">
        <v>1</v>
      </c>
      <c r="K642" t="b">
        <v>0</v>
      </c>
      <c r="L642" t="b">
        <v>1</v>
      </c>
      <c r="M642" t="str">
        <f t="shared" ref="M642:M705" si="20">UPPER(D642)</f>
        <v>INSTAGRAM</v>
      </c>
      <c r="N642" t="str">
        <f t="shared" ref="N642:N705" si="21">_xlfn.CONCAT(G642,"-",M642)</f>
        <v>Sub_Urban-INSTAGRAM</v>
      </c>
      <c r="O642">
        <v>15519</v>
      </c>
    </row>
    <row r="643" spans="1:15" x14ac:dyDescent="0.3">
      <c r="A643">
        <v>45</v>
      </c>
      <c r="B643" t="s">
        <v>12</v>
      </c>
      <c r="C643" s="1">
        <v>8</v>
      </c>
      <c r="D643" t="s">
        <v>13</v>
      </c>
      <c r="E643" t="s">
        <v>14</v>
      </c>
      <c r="F643" t="s">
        <v>27</v>
      </c>
      <c r="G643" t="s">
        <v>16</v>
      </c>
      <c r="H643" t="s">
        <v>17</v>
      </c>
      <c r="I643" s="2">
        <v>17385</v>
      </c>
      <c r="J643" t="b">
        <v>1</v>
      </c>
      <c r="K643" t="b">
        <v>0</v>
      </c>
      <c r="L643" t="b">
        <v>1</v>
      </c>
      <c r="M643" t="str">
        <f t="shared" si="20"/>
        <v>INSTAGRAM</v>
      </c>
      <c r="N643" t="str">
        <f t="shared" si="21"/>
        <v>Urban-INSTAGRAM</v>
      </c>
      <c r="O643">
        <v>17385</v>
      </c>
    </row>
    <row r="644" spans="1:15" x14ac:dyDescent="0.3">
      <c r="A644">
        <v>37</v>
      </c>
      <c r="B644" t="s">
        <v>18</v>
      </c>
      <c r="C644" s="1">
        <v>6</v>
      </c>
      <c r="D644" t="s">
        <v>19</v>
      </c>
      <c r="E644" t="s">
        <v>26</v>
      </c>
      <c r="F644" t="s">
        <v>27</v>
      </c>
      <c r="G644" t="s">
        <v>29</v>
      </c>
      <c r="H644" t="s">
        <v>21</v>
      </c>
      <c r="I644" s="2">
        <v>18636</v>
      </c>
      <c r="J644" t="b">
        <v>1</v>
      </c>
      <c r="K644" t="b">
        <v>1</v>
      </c>
      <c r="L644" t="b">
        <v>0</v>
      </c>
      <c r="M644" t="str">
        <f t="shared" si="20"/>
        <v>FACEBOOK</v>
      </c>
      <c r="N644" t="str">
        <f t="shared" si="21"/>
        <v>Rural-FACEBOOK</v>
      </c>
      <c r="O644">
        <v>18636</v>
      </c>
    </row>
    <row r="645" spans="1:15" x14ac:dyDescent="0.3">
      <c r="A645">
        <v>45</v>
      </c>
      <c r="B645" t="s">
        <v>25</v>
      </c>
      <c r="C645" s="1">
        <v>3</v>
      </c>
      <c r="D645" t="s">
        <v>28</v>
      </c>
      <c r="E645" t="s">
        <v>26</v>
      </c>
      <c r="F645" t="s">
        <v>27</v>
      </c>
      <c r="G645" t="s">
        <v>29</v>
      </c>
      <c r="H645" t="s">
        <v>24</v>
      </c>
      <c r="I645" s="2">
        <v>19980</v>
      </c>
      <c r="J645" t="b">
        <v>0</v>
      </c>
      <c r="K645" t="b">
        <v>1</v>
      </c>
      <c r="L645" t="b">
        <v>1</v>
      </c>
      <c r="M645" t="str">
        <f t="shared" si="20"/>
        <v>YOUTUBE</v>
      </c>
      <c r="N645" t="str">
        <f t="shared" si="21"/>
        <v>Rural-YOUTUBE</v>
      </c>
      <c r="O645">
        <v>19980</v>
      </c>
    </row>
    <row r="646" spans="1:15" x14ac:dyDescent="0.3">
      <c r="A646">
        <v>25</v>
      </c>
      <c r="B646" t="s">
        <v>12</v>
      </c>
      <c r="C646" s="1">
        <v>5</v>
      </c>
      <c r="D646" t="s">
        <v>13</v>
      </c>
      <c r="E646" t="s">
        <v>26</v>
      </c>
      <c r="F646" t="s">
        <v>27</v>
      </c>
      <c r="G646" t="s">
        <v>16</v>
      </c>
      <c r="H646" t="s">
        <v>21</v>
      </c>
      <c r="I646" s="2">
        <v>14317</v>
      </c>
      <c r="J646" t="b">
        <v>0</v>
      </c>
      <c r="K646" t="b">
        <v>1</v>
      </c>
      <c r="L646" t="b">
        <v>0</v>
      </c>
      <c r="M646" t="str">
        <f t="shared" si="20"/>
        <v>INSTAGRAM</v>
      </c>
      <c r="N646" t="str">
        <f t="shared" si="21"/>
        <v>Urban-INSTAGRAM</v>
      </c>
      <c r="O646">
        <v>14317</v>
      </c>
    </row>
    <row r="647" spans="1:15" x14ac:dyDescent="0.3">
      <c r="A647">
        <v>58</v>
      </c>
      <c r="B647" t="s">
        <v>25</v>
      </c>
      <c r="C647" s="1">
        <v>6</v>
      </c>
      <c r="D647" t="s">
        <v>28</v>
      </c>
      <c r="E647" t="s">
        <v>20</v>
      </c>
      <c r="F647" t="s">
        <v>15</v>
      </c>
      <c r="G647" t="s">
        <v>29</v>
      </c>
      <c r="H647" t="s">
        <v>24</v>
      </c>
      <c r="I647" s="2">
        <v>13454</v>
      </c>
      <c r="J647" t="b">
        <v>1</v>
      </c>
      <c r="K647" t="b">
        <v>1</v>
      </c>
      <c r="L647" t="b">
        <v>1</v>
      </c>
      <c r="M647" t="str">
        <f t="shared" si="20"/>
        <v>YOUTUBE</v>
      </c>
      <c r="N647" t="str">
        <f t="shared" si="21"/>
        <v>Rural-YOUTUBE</v>
      </c>
      <c r="O647">
        <v>13454</v>
      </c>
    </row>
    <row r="648" spans="1:15" x14ac:dyDescent="0.3">
      <c r="A648">
        <v>56</v>
      </c>
      <c r="B648" t="s">
        <v>25</v>
      </c>
      <c r="C648" s="1">
        <v>5</v>
      </c>
      <c r="D648" t="s">
        <v>28</v>
      </c>
      <c r="E648" t="s">
        <v>20</v>
      </c>
      <c r="F648" t="s">
        <v>15</v>
      </c>
      <c r="G648" t="s">
        <v>23</v>
      </c>
      <c r="H648" t="s">
        <v>24</v>
      </c>
      <c r="I648" s="2">
        <v>11030</v>
      </c>
      <c r="J648" t="b">
        <v>0</v>
      </c>
      <c r="K648" t="b">
        <v>0</v>
      </c>
      <c r="L648" t="b">
        <v>1</v>
      </c>
      <c r="M648" t="str">
        <f t="shared" si="20"/>
        <v>YOUTUBE</v>
      </c>
      <c r="N648" t="str">
        <f t="shared" si="21"/>
        <v>Sub_Urban-YOUTUBE</v>
      </c>
      <c r="O648">
        <v>11030</v>
      </c>
    </row>
    <row r="649" spans="1:15" x14ac:dyDescent="0.3">
      <c r="A649">
        <v>18</v>
      </c>
      <c r="B649" t="s">
        <v>12</v>
      </c>
      <c r="C649" s="1">
        <v>6</v>
      </c>
      <c r="D649" t="s">
        <v>19</v>
      </c>
      <c r="E649" t="s">
        <v>26</v>
      </c>
      <c r="F649" t="s">
        <v>27</v>
      </c>
      <c r="G649" t="s">
        <v>29</v>
      </c>
      <c r="H649" t="s">
        <v>17</v>
      </c>
      <c r="I649" s="2">
        <v>19487</v>
      </c>
      <c r="J649" t="b">
        <v>0</v>
      </c>
      <c r="K649" t="b">
        <v>1</v>
      </c>
      <c r="L649" t="b">
        <v>1</v>
      </c>
      <c r="M649" t="str">
        <f t="shared" si="20"/>
        <v>FACEBOOK</v>
      </c>
      <c r="N649" t="str">
        <f t="shared" si="21"/>
        <v>Rural-FACEBOOK</v>
      </c>
      <c r="O649">
        <v>19487</v>
      </c>
    </row>
    <row r="650" spans="1:15" x14ac:dyDescent="0.3">
      <c r="A650">
        <v>20</v>
      </c>
      <c r="B650" t="s">
        <v>12</v>
      </c>
      <c r="C650" s="1">
        <v>8</v>
      </c>
      <c r="D650" t="s">
        <v>19</v>
      </c>
      <c r="E650" t="s">
        <v>26</v>
      </c>
      <c r="F650" t="s">
        <v>22</v>
      </c>
      <c r="G650" t="s">
        <v>29</v>
      </c>
      <c r="H650" t="s">
        <v>17</v>
      </c>
      <c r="I650" s="2">
        <v>17906</v>
      </c>
      <c r="J650" t="b">
        <v>1</v>
      </c>
      <c r="K650" t="b">
        <v>1</v>
      </c>
      <c r="L650" t="b">
        <v>0</v>
      </c>
      <c r="M650" t="str">
        <f t="shared" si="20"/>
        <v>FACEBOOK</v>
      </c>
      <c r="N650" t="str">
        <f t="shared" si="21"/>
        <v>Rural-FACEBOOK</v>
      </c>
      <c r="O650">
        <v>17906</v>
      </c>
    </row>
    <row r="651" spans="1:15" x14ac:dyDescent="0.3">
      <c r="A651">
        <v>30</v>
      </c>
      <c r="B651" t="s">
        <v>25</v>
      </c>
      <c r="C651" s="1">
        <v>7</v>
      </c>
      <c r="D651" t="s">
        <v>28</v>
      </c>
      <c r="E651" t="s">
        <v>20</v>
      </c>
      <c r="F651" t="s">
        <v>27</v>
      </c>
      <c r="G651" t="s">
        <v>16</v>
      </c>
      <c r="H651" t="s">
        <v>17</v>
      </c>
      <c r="I651" s="2">
        <v>11447</v>
      </c>
      <c r="J651" t="b">
        <v>1</v>
      </c>
      <c r="K651" t="b">
        <v>1</v>
      </c>
      <c r="L651" t="b">
        <v>0</v>
      </c>
      <c r="M651" t="str">
        <f t="shared" si="20"/>
        <v>YOUTUBE</v>
      </c>
      <c r="N651" t="str">
        <f t="shared" si="21"/>
        <v>Urban-YOUTUBE</v>
      </c>
      <c r="O651">
        <v>11447</v>
      </c>
    </row>
    <row r="652" spans="1:15" x14ac:dyDescent="0.3">
      <c r="A652">
        <v>45</v>
      </c>
      <c r="B652" t="s">
        <v>12</v>
      </c>
      <c r="C652" s="1">
        <v>5</v>
      </c>
      <c r="D652" t="s">
        <v>13</v>
      </c>
      <c r="E652" t="s">
        <v>26</v>
      </c>
      <c r="F652" t="s">
        <v>15</v>
      </c>
      <c r="G652" t="s">
        <v>29</v>
      </c>
      <c r="H652" t="s">
        <v>24</v>
      </c>
      <c r="I652" s="2">
        <v>12850</v>
      </c>
      <c r="J652" t="b">
        <v>1</v>
      </c>
      <c r="K652" t="b">
        <v>0</v>
      </c>
      <c r="L652" t="b">
        <v>0</v>
      </c>
      <c r="M652" t="str">
        <f t="shared" si="20"/>
        <v>INSTAGRAM</v>
      </c>
      <c r="N652" t="str">
        <f t="shared" si="21"/>
        <v>Rural-INSTAGRAM</v>
      </c>
      <c r="O652">
        <v>12850</v>
      </c>
    </row>
    <row r="653" spans="1:15" x14ac:dyDescent="0.3">
      <c r="A653">
        <v>42</v>
      </c>
      <c r="B653" t="s">
        <v>18</v>
      </c>
      <c r="C653" s="1">
        <v>6</v>
      </c>
      <c r="D653" t="s">
        <v>28</v>
      </c>
      <c r="E653" t="s">
        <v>26</v>
      </c>
      <c r="F653" t="s">
        <v>22</v>
      </c>
      <c r="G653" t="s">
        <v>29</v>
      </c>
      <c r="H653" t="s">
        <v>21</v>
      </c>
      <c r="I653" s="2">
        <v>18106</v>
      </c>
      <c r="J653" t="b">
        <v>0</v>
      </c>
      <c r="K653" t="b">
        <v>0</v>
      </c>
      <c r="L653" t="b">
        <v>1</v>
      </c>
      <c r="M653" t="str">
        <f t="shared" si="20"/>
        <v>YOUTUBE</v>
      </c>
      <c r="N653" t="str">
        <f t="shared" si="21"/>
        <v>Rural-YOUTUBE</v>
      </c>
      <c r="O653">
        <v>18106</v>
      </c>
    </row>
    <row r="654" spans="1:15" x14ac:dyDescent="0.3">
      <c r="A654">
        <v>50</v>
      </c>
      <c r="B654" t="s">
        <v>18</v>
      </c>
      <c r="C654" s="1">
        <v>4</v>
      </c>
      <c r="D654" t="s">
        <v>13</v>
      </c>
      <c r="E654" t="s">
        <v>20</v>
      </c>
      <c r="F654" t="s">
        <v>15</v>
      </c>
      <c r="G654" t="s">
        <v>23</v>
      </c>
      <c r="H654" t="s">
        <v>24</v>
      </c>
      <c r="I654" s="2">
        <v>17151</v>
      </c>
      <c r="J654" t="b">
        <v>0</v>
      </c>
      <c r="K654" t="b">
        <v>0</v>
      </c>
      <c r="L654" t="b">
        <v>1</v>
      </c>
      <c r="M654" t="str">
        <f t="shared" si="20"/>
        <v>INSTAGRAM</v>
      </c>
      <c r="N654" t="str">
        <f t="shared" si="21"/>
        <v>Sub_Urban-INSTAGRAM</v>
      </c>
      <c r="O654">
        <v>17151</v>
      </c>
    </row>
    <row r="655" spans="1:15" x14ac:dyDescent="0.3">
      <c r="A655">
        <v>55</v>
      </c>
      <c r="B655" t="s">
        <v>12</v>
      </c>
      <c r="C655" s="1">
        <v>9</v>
      </c>
      <c r="D655" t="s">
        <v>13</v>
      </c>
      <c r="E655" t="s">
        <v>26</v>
      </c>
      <c r="F655" t="s">
        <v>15</v>
      </c>
      <c r="G655" t="s">
        <v>16</v>
      </c>
      <c r="H655" t="s">
        <v>17</v>
      </c>
      <c r="I655" s="2">
        <v>19503</v>
      </c>
      <c r="J655" t="b">
        <v>1</v>
      </c>
      <c r="K655" t="b">
        <v>1</v>
      </c>
      <c r="L655" t="b">
        <v>0</v>
      </c>
      <c r="M655" t="str">
        <f t="shared" si="20"/>
        <v>INSTAGRAM</v>
      </c>
      <c r="N655" t="str">
        <f t="shared" si="21"/>
        <v>Urban-INSTAGRAM</v>
      </c>
      <c r="O655">
        <v>19503</v>
      </c>
    </row>
    <row r="656" spans="1:15" x14ac:dyDescent="0.3">
      <c r="A656">
        <v>23</v>
      </c>
      <c r="B656" t="s">
        <v>25</v>
      </c>
      <c r="C656" s="1">
        <v>4</v>
      </c>
      <c r="D656" t="s">
        <v>19</v>
      </c>
      <c r="E656" t="s">
        <v>26</v>
      </c>
      <c r="F656" t="s">
        <v>22</v>
      </c>
      <c r="G656" t="s">
        <v>16</v>
      </c>
      <c r="H656" t="s">
        <v>17</v>
      </c>
      <c r="I656" s="2">
        <v>16952</v>
      </c>
      <c r="J656" t="b">
        <v>0</v>
      </c>
      <c r="K656" t="b">
        <v>1</v>
      </c>
      <c r="L656" t="b">
        <v>0</v>
      </c>
      <c r="M656" t="str">
        <f t="shared" si="20"/>
        <v>FACEBOOK</v>
      </c>
      <c r="N656" t="str">
        <f t="shared" si="21"/>
        <v>Urban-FACEBOOK</v>
      </c>
      <c r="O656">
        <v>16952</v>
      </c>
    </row>
    <row r="657" spans="1:15" x14ac:dyDescent="0.3">
      <c r="A657">
        <v>61</v>
      </c>
      <c r="B657" t="s">
        <v>12</v>
      </c>
      <c r="C657" s="1">
        <v>1</v>
      </c>
      <c r="D657" t="s">
        <v>13</v>
      </c>
      <c r="E657" t="s">
        <v>26</v>
      </c>
      <c r="F657" t="s">
        <v>27</v>
      </c>
      <c r="G657" t="s">
        <v>23</v>
      </c>
      <c r="H657" t="s">
        <v>21</v>
      </c>
      <c r="I657" s="2">
        <v>14055</v>
      </c>
      <c r="J657" t="b">
        <v>0</v>
      </c>
      <c r="K657" t="b">
        <v>1</v>
      </c>
      <c r="L657" t="b">
        <v>1</v>
      </c>
      <c r="M657" t="str">
        <f t="shared" si="20"/>
        <v>INSTAGRAM</v>
      </c>
      <c r="N657" t="str">
        <f t="shared" si="21"/>
        <v>Sub_Urban-INSTAGRAM</v>
      </c>
      <c r="O657">
        <v>14055</v>
      </c>
    </row>
    <row r="658" spans="1:15" x14ac:dyDescent="0.3">
      <c r="A658">
        <v>62</v>
      </c>
      <c r="B658" t="s">
        <v>12</v>
      </c>
      <c r="C658" s="1">
        <v>7</v>
      </c>
      <c r="D658" t="s">
        <v>13</v>
      </c>
      <c r="E658" t="s">
        <v>20</v>
      </c>
      <c r="F658" t="s">
        <v>27</v>
      </c>
      <c r="G658" t="s">
        <v>29</v>
      </c>
      <c r="H658" t="s">
        <v>17</v>
      </c>
      <c r="I658" s="2">
        <v>15402</v>
      </c>
      <c r="J658" t="b">
        <v>0</v>
      </c>
      <c r="K658" t="b">
        <v>0</v>
      </c>
      <c r="L658" t="b">
        <v>1</v>
      </c>
      <c r="M658" t="str">
        <f t="shared" si="20"/>
        <v>INSTAGRAM</v>
      </c>
      <c r="N658" t="str">
        <f t="shared" si="21"/>
        <v>Rural-INSTAGRAM</v>
      </c>
      <c r="O658">
        <v>15402</v>
      </c>
    </row>
    <row r="659" spans="1:15" x14ac:dyDescent="0.3">
      <c r="A659">
        <v>49</v>
      </c>
      <c r="B659" t="s">
        <v>25</v>
      </c>
      <c r="C659" s="1">
        <v>7</v>
      </c>
      <c r="D659" t="s">
        <v>28</v>
      </c>
      <c r="E659" t="s">
        <v>26</v>
      </c>
      <c r="F659" t="s">
        <v>27</v>
      </c>
      <c r="G659" t="s">
        <v>16</v>
      </c>
      <c r="H659" t="s">
        <v>17</v>
      </c>
      <c r="I659" s="2">
        <v>19281</v>
      </c>
      <c r="J659" t="b">
        <v>1</v>
      </c>
      <c r="K659" t="b">
        <v>0</v>
      </c>
      <c r="L659" t="b">
        <v>1</v>
      </c>
      <c r="M659" t="str">
        <f t="shared" si="20"/>
        <v>YOUTUBE</v>
      </c>
      <c r="N659" t="str">
        <f t="shared" si="21"/>
        <v>Urban-YOUTUBE</v>
      </c>
      <c r="O659">
        <v>19281</v>
      </c>
    </row>
    <row r="660" spans="1:15" x14ac:dyDescent="0.3">
      <c r="A660">
        <v>62</v>
      </c>
      <c r="B660" t="s">
        <v>25</v>
      </c>
      <c r="C660" s="1">
        <v>4</v>
      </c>
      <c r="D660" t="s">
        <v>19</v>
      </c>
      <c r="E660" t="s">
        <v>20</v>
      </c>
      <c r="F660" t="s">
        <v>27</v>
      </c>
      <c r="G660" t="s">
        <v>16</v>
      </c>
      <c r="H660" t="s">
        <v>17</v>
      </c>
      <c r="I660" s="2">
        <v>11672</v>
      </c>
      <c r="J660" t="b">
        <v>0</v>
      </c>
      <c r="K660" t="b">
        <v>1</v>
      </c>
      <c r="L660" t="b">
        <v>1</v>
      </c>
      <c r="M660" t="str">
        <f t="shared" si="20"/>
        <v>FACEBOOK</v>
      </c>
      <c r="N660" t="str">
        <f t="shared" si="21"/>
        <v>Urban-FACEBOOK</v>
      </c>
      <c r="O660">
        <v>11672</v>
      </c>
    </row>
    <row r="661" spans="1:15" x14ac:dyDescent="0.3">
      <c r="A661">
        <v>64</v>
      </c>
      <c r="B661" t="s">
        <v>18</v>
      </c>
      <c r="C661" s="1">
        <v>3</v>
      </c>
      <c r="D661" t="s">
        <v>13</v>
      </c>
      <c r="E661" t="s">
        <v>20</v>
      </c>
      <c r="F661" t="s">
        <v>22</v>
      </c>
      <c r="G661" t="s">
        <v>29</v>
      </c>
      <c r="H661" t="s">
        <v>21</v>
      </c>
      <c r="I661" s="2">
        <v>14532</v>
      </c>
      <c r="J661" t="b">
        <v>0</v>
      </c>
      <c r="K661" t="b">
        <v>1</v>
      </c>
      <c r="L661" t="b">
        <v>0</v>
      </c>
      <c r="M661" t="str">
        <f t="shared" si="20"/>
        <v>INSTAGRAM</v>
      </c>
      <c r="N661" t="str">
        <f t="shared" si="21"/>
        <v>Rural-INSTAGRAM</v>
      </c>
      <c r="O661">
        <v>14532</v>
      </c>
    </row>
    <row r="662" spans="1:15" x14ac:dyDescent="0.3">
      <c r="A662">
        <v>38</v>
      </c>
      <c r="B662" t="s">
        <v>25</v>
      </c>
      <c r="C662" s="1">
        <v>8</v>
      </c>
      <c r="D662" t="s">
        <v>13</v>
      </c>
      <c r="E662" t="s">
        <v>14</v>
      </c>
      <c r="F662" t="s">
        <v>22</v>
      </c>
      <c r="G662" t="s">
        <v>29</v>
      </c>
      <c r="H662" t="s">
        <v>24</v>
      </c>
      <c r="I662" s="2">
        <v>14924</v>
      </c>
      <c r="J662" t="b">
        <v>0</v>
      </c>
      <c r="K662" t="b">
        <v>0</v>
      </c>
      <c r="L662" t="b">
        <v>1</v>
      </c>
      <c r="M662" t="str">
        <f t="shared" si="20"/>
        <v>INSTAGRAM</v>
      </c>
      <c r="N662" t="str">
        <f t="shared" si="21"/>
        <v>Rural-INSTAGRAM</v>
      </c>
      <c r="O662">
        <v>14924</v>
      </c>
    </row>
    <row r="663" spans="1:15" x14ac:dyDescent="0.3">
      <c r="A663">
        <v>33</v>
      </c>
      <c r="B663" t="s">
        <v>18</v>
      </c>
      <c r="C663" s="1">
        <v>5</v>
      </c>
      <c r="D663" t="s">
        <v>19</v>
      </c>
      <c r="E663" t="s">
        <v>14</v>
      </c>
      <c r="F663" t="s">
        <v>22</v>
      </c>
      <c r="G663" t="s">
        <v>16</v>
      </c>
      <c r="H663" t="s">
        <v>17</v>
      </c>
      <c r="I663" s="2">
        <v>16085</v>
      </c>
      <c r="J663" t="b">
        <v>0</v>
      </c>
      <c r="K663" t="b">
        <v>1</v>
      </c>
      <c r="L663" t="b">
        <v>1</v>
      </c>
      <c r="M663" t="str">
        <f t="shared" si="20"/>
        <v>FACEBOOK</v>
      </c>
      <c r="N663" t="str">
        <f t="shared" si="21"/>
        <v>Urban-FACEBOOK</v>
      </c>
      <c r="O663">
        <v>16085</v>
      </c>
    </row>
    <row r="664" spans="1:15" x14ac:dyDescent="0.3">
      <c r="A664">
        <v>38</v>
      </c>
      <c r="B664" t="s">
        <v>25</v>
      </c>
      <c r="C664" s="1">
        <v>7</v>
      </c>
      <c r="D664" t="s">
        <v>28</v>
      </c>
      <c r="E664" t="s">
        <v>26</v>
      </c>
      <c r="F664" t="s">
        <v>15</v>
      </c>
      <c r="G664" t="s">
        <v>29</v>
      </c>
      <c r="H664" t="s">
        <v>21</v>
      </c>
      <c r="I664" s="2">
        <v>17734</v>
      </c>
      <c r="J664" t="b">
        <v>0</v>
      </c>
      <c r="K664" t="b">
        <v>1</v>
      </c>
      <c r="L664" t="b">
        <v>1</v>
      </c>
      <c r="M664" t="str">
        <f t="shared" si="20"/>
        <v>YOUTUBE</v>
      </c>
      <c r="N664" t="str">
        <f t="shared" si="21"/>
        <v>Rural-YOUTUBE</v>
      </c>
      <c r="O664">
        <v>17734</v>
      </c>
    </row>
    <row r="665" spans="1:15" x14ac:dyDescent="0.3">
      <c r="A665">
        <v>28</v>
      </c>
      <c r="B665" t="s">
        <v>12</v>
      </c>
      <c r="C665" s="1">
        <v>4</v>
      </c>
      <c r="D665" t="s">
        <v>19</v>
      </c>
      <c r="E665" t="s">
        <v>20</v>
      </c>
      <c r="F665" t="s">
        <v>22</v>
      </c>
      <c r="G665" t="s">
        <v>16</v>
      </c>
      <c r="H665" t="s">
        <v>17</v>
      </c>
      <c r="I665" s="2">
        <v>14864</v>
      </c>
      <c r="J665" t="b">
        <v>0</v>
      </c>
      <c r="K665" t="b">
        <v>1</v>
      </c>
      <c r="L665" t="b">
        <v>1</v>
      </c>
      <c r="M665" t="str">
        <f t="shared" si="20"/>
        <v>FACEBOOK</v>
      </c>
      <c r="N665" t="str">
        <f t="shared" si="21"/>
        <v>Urban-FACEBOOK</v>
      </c>
      <c r="O665">
        <v>14864</v>
      </c>
    </row>
    <row r="666" spans="1:15" x14ac:dyDescent="0.3">
      <c r="A666">
        <v>54</v>
      </c>
      <c r="B666" t="s">
        <v>18</v>
      </c>
      <c r="C666" s="1">
        <v>4</v>
      </c>
      <c r="D666" t="s">
        <v>19</v>
      </c>
      <c r="E666" t="s">
        <v>14</v>
      </c>
      <c r="F666" t="s">
        <v>27</v>
      </c>
      <c r="G666" t="s">
        <v>29</v>
      </c>
      <c r="H666" t="s">
        <v>21</v>
      </c>
      <c r="I666" s="2">
        <v>19316</v>
      </c>
      <c r="J666" t="b">
        <v>0</v>
      </c>
      <c r="K666" t="b">
        <v>0</v>
      </c>
      <c r="L666" t="b">
        <v>1</v>
      </c>
      <c r="M666" t="str">
        <f t="shared" si="20"/>
        <v>FACEBOOK</v>
      </c>
      <c r="N666" t="str">
        <f t="shared" si="21"/>
        <v>Rural-FACEBOOK</v>
      </c>
      <c r="O666">
        <v>19316</v>
      </c>
    </row>
    <row r="667" spans="1:15" x14ac:dyDescent="0.3">
      <c r="A667">
        <v>53</v>
      </c>
      <c r="B667" t="s">
        <v>18</v>
      </c>
      <c r="C667" s="1">
        <v>8</v>
      </c>
      <c r="D667" t="s">
        <v>13</v>
      </c>
      <c r="E667" t="s">
        <v>26</v>
      </c>
      <c r="F667" t="s">
        <v>15</v>
      </c>
      <c r="G667" t="s">
        <v>29</v>
      </c>
      <c r="H667" t="s">
        <v>17</v>
      </c>
      <c r="I667" s="2">
        <v>11221</v>
      </c>
      <c r="J667" t="b">
        <v>1</v>
      </c>
      <c r="K667" t="b">
        <v>1</v>
      </c>
      <c r="L667" t="b">
        <v>1</v>
      </c>
      <c r="M667" t="str">
        <f t="shared" si="20"/>
        <v>INSTAGRAM</v>
      </c>
      <c r="N667" t="str">
        <f t="shared" si="21"/>
        <v>Rural-INSTAGRAM</v>
      </c>
      <c r="O667">
        <v>11221</v>
      </c>
    </row>
    <row r="668" spans="1:15" x14ac:dyDescent="0.3">
      <c r="A668">
        <v>52</v>
      </c>
      <c r="B668" t="s">
        <v>18</v>
      </c>
      <c r="C668" s="1">
        <v>8</v>
      </c>
      <c r="D668" t="s">
        <v>13</v>
      </c>
      <c r="E668" t="s">
        <v>14</v>
      </c>
      <c r="F668" t="s">
        <v>27</v>
      </c>
      <c r="G668" t="s">
        <v>23</v>
      </c>
      <c r="H668" t="s">
        <v>21</v>
      </c>
      <c r="I668" s="2">
        <v>12860</v>
      </c>
      <c r="J668" t="b">
        <v>1</v>
      </c>
      <c r="K668" t="b">
        <v>1</v>
      </c>
      <c r="L668" t="b">
        <v>1</v>
      </c>
      <c r="M668" t="str">
        <f t="shared" si="20"/>
        <v>INSTAGRAM</v>
      </c>
      <c r="N668" t="str">
        <f t="shared" si="21"/>
        <v>Sub_Urban-INSTAGRAM</v>
      </c>
      <c r="O668">
        <v>12860</v>
      </c>
    </row>
    <row r="669" spans="1:15" x14ac:dyDescent="0.3">
      <c r="A669">
        <v>36</v>
      </c>
      <c r="B669" t="s">
        <v>12</v>
      </c>
      <c r="C669" s="1">
        <v>2</v>
      </c>
      <c r="D669" t="s">
        <v>28</v>
      </c>
      <c r="E669" t="s">
        <v>14</v>
      </c>
      <c r="F669" t="s">
        <v>27</v>
      </c>
      <c r="G669" t="s">
        <v>29</v>
      </c>
      <c r="H669" t="s">
        <v>17</v>
      </c>
      <c r="I669" s="2">
        <v>18428</v>
      </c>
      <c r="J669" t="b">
        <v>0</v>
      </c>
      <c r="K669" t="b">
        <v>1</v>
      </c>
      <c r="L669" t="b">
        <v>0</v>
      </c>
      <c r="M669" t="str">
        <f t="shared" si="20"/>
        <v>YOUTUBE</v>
      </c>
      <c r="N669" t="str">
        <f t="shared" si="21"/>
        <v>Rural-YOUTUBE</v>
      </c>
      <c r="O669">
        <v>18428</v>
      </c>
    </row>
    <row r="670" spans="1:15" x14ac:dyDescent="0.3">
      <c r="A670">
        <v>37</v>
      </c>
      <c r="B670" t="s">
        <v>12</v>
      </c>
      <c r="C670" s="1">
        <v>2</v>
      </c>
      <c r="D670" t="s">
        <v>13</v>
      </c>
      <c r="E670" t="s">
        <v>20</v>
      </c>
      <c r="F670" t="s">
        <v>22</v>
      </c>
      <c r="G670" t="s">
        <v>23</v>
      </c>
      <c r="H670" t="s">
        <v>24</v>
      </c>
      <c r="I670" s="2">
        <v>19336</v>
      </c>
      <c r="J670" t="b">
        <v>1</v>
      </c>
      <c r="K670" t="b">
        <v>1</v>
      </c>
      <c r="L670" t="b">
        <v>0</v>
      </c>
      <c r="M670" t="str">
        <f t="shared" si="20"/>
        <v>INSTAGRAM</v>
      </c>
      <c r="N670" t="str">
        <f t="shared" si="21"/>
        <v>Sub_Urban-INSTAGRAM</v>
      </c>
      <c r="O670">
        <v>19336</v>
      </c>
    </row>
    <row r="671" spans="1:15" x14ac:dyDescent="0.3">
      <c r="A671">
        <v>35</v>
      </c>
      <c r="B671" t="s">
        <v>12</v>
      </c>
      <c r="C671" s="1">
        <v>3</v>
      </c>
      <c r="D671" t="s">
        <v>13</v>
      </c>
      <c r="E671" t="s">
        <v>20</v>
      </c>
      <c r="F671" t="s">
        <v>22</v>
      </c>
      <c r="G671" t="s">
        <v>29</v>
      </c>
      <c r="H671" t="s">
        <v>17</v>
      </c>
      <c r="I671" s="2">
        <v>13253</v>
      </c>
      <c r="J671" t="b">
        <v>0</v>
      </c>
      <c r="K671" t="b">
        <v>0</v>
      </c>
      <c r="L671" t="b">
        <v>0</v>
      </c>
      <c r="M671" t="str">
        <f t="shared" si="20"/>
        <v>INSTAGRAM</v>
      </c>
      <c r="N671" t="str">
        <f t="shared" si="21"/>
        <v>Rural-INSTAGRAM</v>
      </c>
      <c r="O671">
        <v>13253</v>
      </c>
    </row>
    <row r="672" spans="1:15" x14ac:dyDescent="0.3">
      <c r="A672">
        <v>64</v>
      </c>
      <c r="B672" t="s">
        <v>12</v>
      </c>
      <c r="C672" s="1">
        <v>3</v>
      </c>
      <c r="D672" t="s">
        <v>19</v>
      </c>
      <c r="E672" t="s">
        <v>14</v>
      </c>
      <c r="F672" t="s">
        <v>27</v>
      </c>
      <c r="G672" t="s">
        <v>16</v>
      </c>
      <c r="H672" t="s">
        <v>21</v>
      </c>
      <c r="I672" s="2">
        <v>13782</v>
      </c>
      <c r="J672" t="b">
        <v>0</v>
      </c>
      <c r="K672" t="b">
        <v>0</v>
      </c>
      <c r="L672" t="b">
        <v>1</v>
      </c>
      <c r="M672" t="str">
        <f t="shared" si="20"/>
        <v>FACEBOOK</v>
      </c>
      <c r="N672" t="str">
        <f t="shared" si="21"/>
        <v>Urban-FACEBOOK</v>
      </c>
      <c r="O672">
        <v>13782</v>
      </c>
    </row>
    <row r="673" spans="1:15" x14ac:dyDescent="0.3">
      <c r="A673">
        <v>58</v>
      </c>
      <c r="B673" t="s">
        <v>12</v>
      </c>
      <c r="C673" s="1">
        <v>1</v>
      </c>
      <c r="D673" t="s">
        <v>13</v>
      </c>
      <c r="E673" t="s">
        <v>14</v>
      </c>
      <c r="F673" t="s">
        <v>27</v>
      </c>
      <c r="G673" t="s">
        <v>16</v>
      </c>
      <c r="H673" t="s">
        <v>17</v>
      </c>
      <c r="I673" s="2">
        <v>16957</v>
      </c>
      <c r="J673" t="b">
        <v>0</v>
      </c>
      <c r="K673" t="b">
        <v>0</v>
      </c>
      <c r="L673" t="b">
        <v>0</v>
      </c>
      <c r="M673" t="str">
        <f t="shared" si="20"/>
        <v>INSTAGRAM</v>
      </c>
      <c r="N673" t="str">
        <f t="shared" si="21"/>
        <v>Urban-INSTAGRAM</v>
      </c>
      <c r="O673">
        <v>16957</v>
      </c>
    </row>
    <row r="674" spans="1:15" x14ac:dyDescent="0.3">
      <c r="A674">
        <v>31</v>
      </c>
      <c r="B674" t="s">
        <v>18</v>
      </c>
      <c r="C674" s="1">
        <v>3</v>
      </c>
      <c r="D674" t="s">
        <v>28</v>
      </c>
      <c r="E674" t="s">
        <v>20</v>
      </c>
      <c r="F674" t="s">
        <v>15</v>
      </c>
      <c r="G674" t="s">
        <v>29</v>
      </c>
      <c r="H674" t="s">
        <v>24</v>
      </c>
      <c r="I674" s="2">
        <v>10766</v>
      </c>
      <c r="J674" t="b">
        <v>1</v>
      </c>
      <c r="K674" t="b">
        <v>1</v>
      </c>
      <c r="L674" t="b">
        <v>1</v>
      </c>
      <c r="M674" t="str">
        <f t="shared" si="20"/>
        <v>YOUTUBE</v>
      </c>
      <c r="N674" t="str">
        <f t="shared" si="21"/>
        <v>Rural-YOUTUBE</v>
      </c>
      <c r="O674">
        <v>10766</v>
      </c>
    </row>
    <row r="675" spans="1:15" x14ac:dyDescent="0.3">
      <c r="A675">
        <v>32</v>
      </c>
      <c r="B675" t="s">
        <v>12</v>
      </c>
      <c r="C675" s="1">
        <v>6</v>
      </c>
      <c r="D675" t="s">
        <v>19</v>
      </c>
      <c r="E675" t="s">
        <v>26</v>
      </c>
      <c r="F675" t="s">
        <v>22</v>
      </c>
      <c r="G675" t="s">
        <v>29</v>
      </c>
      <c r="H675" t="s">
        <v>17</v>
      </c>
      <c r="I675" s="2">
        <v>12681</v>
      </c>
      <c r="J675" t="b">
        <v>0</v>
      </c>
      <c r="K675" t="b">
        <v>0</v>
      </c>
      <c r="L675" t="b">
        <v>1</v>
      </c>
      <c r="M675" t="str">
        <f t="shared" si="20"/>
        <v>FACEBOOK</v>
      </c>
      <c r="N675" t="str">
        <f t="shared" si="21"/>
        <v>Rural-FACEBOOK</v>
      </c>
      <c r="O675">
        <v>12681</v>
      </c>
    </row>
    <row r="676" spans="1:15" x14ac:dyDescent="0.3">
      <c r="A676">
        <v>48</v>
      </c>
      <c r="B676" t="s">
        <v>18</v>
      </c>
      <c r="C676" s="1">
        <v>8</v>
      </c>
      <c r="D676" t="s">
        <v>28</v>
      </c>
      <c r="E676" t="s">
        <v>20</v>
      </c>
      <c r="F676" t="s">
        <v>15</v>
      </c>
      <c r="G676" t="s">
        <v>16</v>
      </c>
      <c r="H676" t="s">
        <v>21</v>
      </c>
      <c r="I676" s="2">
        <v>17710</v>
      </c>
      <c r="J676" t="b">
        <v>0</v>
      </c>
      <c r="K676" t="b">
        <v>1</v>
      </c>
      <c r="L676" t="b">
        <v>1</v>
      </c>
      <c r="M676" t="str">
        <f t="shared" si="20"/>
        <v>YOUTUBE</v>
      </c>
      <c r="N676" t="str">
        <f t="shared" si="21"/>
        <v>Urban-YOUTUBE</v>
      </c>
      <c r="O676">
        <v>17710</v>
      </c>
    </row>
    <row r="677" spans="1:15" x14ac:dyDescent="0.3">
      <c r="A677">
        <v>18</v>
      </c>
      <c r="B677" t="s">
        <v>12</v>
      </c>
      <c r="C677" s="1">
        <v>6</v>
      </c>
      <c r="D677" t="s">
        <v>19</v>
      </c>
      <c r="E677" t="s">
        <v>14</v>
      </c>
      <c r="F677" t="s">
        <v>15</v>
      </c>
      <c r="G677" t="s">
        <v>29</v>
      </c>
      <c r="H677" t="s">
        <v>21</v>
      </c>
      <c r="I677" s="2">
        <v>17482</v>
      </c>
      <c r="J677" t="b">
        <v>1</v>
      </c>
      <c r="K677" t="b">
        <v>0</v>
      </c>
      <c r="L677" t="b">
        <v>1</v>
      </c>
      <c r="M677" t="str">
        <f t="shared" si="20"/>
        <v>FACEBOOK</v>
      </c>
      <c r="N677" t="str">
        <f t="shared" si="21"/>
        <v>Rural-FACEBOOK</v>
      </c>
      <c r="O677">
        <v>17482</v>
      </c>
    </row>
    <row r="678" spans="1:15" x14ac:dyDescent="0.3">
      <c r="A678">
        <v>20</v>
      </c>
      <c r="B678" t="s">
        <v>25</v>
      </c>
      <c r="C678" s="1">
        <v>5</v>
      </c>
      <c r="D678" t="s">
        <v>13</v>
      </c>
      <c r="E678" t="s">
        <v>26</v>
      </c>
      <c r="F678" t="s">
        <v>15</v>
      </c>
      <c r="G678" t="s">
        <v>23</v>
      </c>
      <c r="H678" t="s">
        <v>24</v>
      </c>
      <c r="I678" s="2">
        <v>15086</v>
      </c>
      <c r="J678" t="b">
        <v>1</v>
      </c>
      <c r="K678" t="b">
        <v>1</v>
      </c>
      <c r="L678" t="b">
        <v>0</v>
      </c>
      <c r="M678" t="str">
        <f t="shared" si="20"/>
        <v>INSTAGRAM</v>
      </c>
      <c r="N678" t="str">
        <f t="shared" si="21"/>
        <v>Sub_Urban-INSTAGRAM</v>
      </c>
      <c r="O678">
        <v>15086</v>
      </c>
    </row>
    <row r="679" spans="1:15" x14ac:dyDescent="0.3">
      <c r="A679">
        <v>33</v>
      </c>
      <c r="B679" t="s">
        <v>18</v>
      </c>
      <c r="C679" s="1">
        <v>4</v>
      </c>
      <c r="D679" t="s">
        <v>19</v>
      </c>
      <c r="E679" t="s">
        <v>14</v>
      </c>
      <c r="F679" t="s">
        <v>27</v>
      </c>
      <c r="G679" t="s">
        <v>23</v>
      </c>
      <c r="H679" t="s">
        <v>21</v>
      </c>
      <c r="I679" s="2">
        <v>17964</v>
      </c>
      <c r="J679" t="b">
        <v>0</v>
      </c>
      <c r="K679" t="b">
        <v>0</v>
      </c>
      <c r="L679" t="b">
        <v>1</v>
      </c>
      <c r="M679" t="str">
        <f t="shared" si="20"/>
        <v>FACEBOOK</v>
      </c>
      <c r="N679" t="str">
        <f t="shared" si="21"/>
        <v>Sub_Urban-FACEBOOK</v>
      </c>
      <c r="O679">
        <v>17964</v>
      </c>
    </row>
    <row r="680" spans="1:15" x14ac:dyDescent="0.3">
      <c r="A680">
        <v>40</v>
      </c>
      <c r="B680" t="s">
        <v>25</v>
      </c>
      <c r="C680" s="1">
        <v>3</v>
      </c>
      <c r="D680" t="s">
        <v>19</v>
      </c>
      <c r="E680" t="s">
        <v>26</v>
      </c>
      <c r="F680" t="s">
        <v>15</v>
      </c>
      <c r="G680" t="s">
        <v>23</v>
      </c>
      <c r="H680" t="s">
        <v>17</v>
      </c>
      <c r="I680" s="2">
        <v>12665</v>
      </c>
      <c r="J680" t="b">
        <v>1</v>
      </c>
      <c r="K680" t="b">
        <v>0</v>
      </c>
      <c r="L680" t="b">
        <v>1</v>
      </c>
      <c r="M680" t="str">
        <f t="shared" si="20"/>
        <v>FACEBOOK</v>
      </c>
      <c r="N680" t="str">
        <f t="shared" si="21"/>
        <v>Sub_Urban-FACEBOOK</v>
      </c>
      <c r="O680">
        <v>12665</v>
      </c>
    </row>
    <row r="681" spans="1:15" x14ac:dyDescent="0.3">
      <c r="A681">
        <v>28</v>
      </c>
      <c r="B681" t="s">
        <v>18</v>
      </c>
      <c r="C681" s="1">
        <v>4</v>
      </c>
      <c r="D681" t="s">
        <v>13</v>
      </c>
      <c r="E681" t="s">
        <v>14</v>
      </c>
      <c r="F681" t="s">
        <v>15</v>
      </c>
      <c r="G681" t="s">
        <v>23</v>
      </c>
      <c r="H681" t="s">
        <v>17</v>
      </c>
      <c r="I681" s="2">
        <v>19951</v>
      </c>
      <c r="J681" t="b">
        <v>1</v>
      </c>
      <c r="K681" t="b">
        <v>0</v>
      </c>
      <c r="L681" t="b">
        <v>0</v>
      </c>
      <c r="M681" t="str">
        <f t="shared" si="20"/>
        <v>INSTAGRAM</v>
      </c>
      <c r="N681" t="str">
        <f t="shared" si="21"/>
        <v>Sub_Urban-INSTAGRAM</v>
      </c>
      <c r="O681">
        <v>19951</v>
      </c>
    </row>
    <row r="682" spans="1:15" x14ac:dyDescent="0.3">
      <c r="A682">
        <v>29</v>
      </c>
      <c r="B682" t="s">
        <v>25</v>
      </c>
      <c r="C682" s="1">
        <v>7</v>
      </c>
      <c r="D682" t="s">
        <v>13</v>
      </c>
      <c r="E682" t="s">
        <v>26</v>
      </c>
      <c r="F682" t="s">
        <v>27</v>
      </c>
      <c r="G682" t="s">
        <v>23</v>
      </c>
      <c r="H682" t="s">
        <v>17</v>
      </c>
      <c r="I682" s="2">
        <v>13513</v>
      </c>
      <c r="J682" t="b">
        <v>0</v>
      </c>
      <c r="K682" t="b">
        <v>1</v>
      </c>
      <c r="L682" t="b">
        <v>0</v>
      </c>
      <c r="M682" t="str">
        <f t="shared" si="20"/>
        <v>INSTAGRAM</v>
      </c>
      <c r="N682" t="str">
        <f t="shared" si="21"/>
        <v>Sub_Urban-INSTAGRAM</v>
      </c>
      <c r="O682">
        <v>13513</v>
      </c>
    </row>
    <row r="683" spans="1:15" x14ac:dyDescent="0.3">
      <c r="A683">
        <v>27</v>
      </c>
      <c r="B683" t="s">
        <v>12</v>
      </c>
      <c r="C683" s="1">
        <v>1</v>
      </c>
      <c r="D683" t="s">
        <v>28</v>
      </c>
      <c r="E683" t="s">
        <v>26</v>
      </c>
      <c r="F683" t="s">
        <v>22</v>
      </c>
      <c r="G683" t="s">
        <v>29</v>
      </c>
      <c r="H683" t="s">
        <v>21</v>
      </c>
      <c r="I683" s="2">
        <v>10495</v>
      </c>
      <c r="J683" t="b">
        <v>0</v>
      </c>
      <c r="K683" t="b">
        <v>1</v>
      </c>
      <c r="L683" t="b">
        <v>0</v>
      </c>
      <c r="M683" t="str">
        <f t="shared" si="20"/>
        <v>YOUTUBE</v>
      </c>
      <c r="N683" t="str">
        <f t="shared" si="21"/>
        <v>Rural-YOUTUBE</v>
      </c>
      <c r="O683">
        <v>10495</v>
      </c>
    </row>
    <row r="684" spans="1:15" x14ac:dyDescent="0.3">
      <c r="A684">
        <v>49</v>
      </c>
      <c r="B684" t="s">
        <v>12</v>
      </c>
      <c r="C684" s="1">
        <v>7</v>
      </c>
      <c r="D684" t="s">
        <v>28</v>
      </c>
      <c r="E684" t="s">
        <v>14</v>
      </c>
      <c r="F684" t="s">
        <v>22</v>
      </c>
      <c r="G684" t="s">
        <v>29</v>
      </c>
      <c r="H684" t="s">
        <v>17</v>
      </c>
      <c r="I684" s="2">
        <v>15822</v>
      </c>
      <c r="J684" t="b">
        <v>0</v>
      </c>
      <c r="K684" t="b">
        <v>1</v>
      </c>
      <c r="L684" t="b">
        <v>1</v>
      </c>
      <c r="M684" t="str">
        <f t="shared" si="20"/>
        <v>YOUTUBE</v>
      </c>
      <c r="N684" t="str">
        <f t="shared" si="21"/>
        <v>Rural-YOUTUBE</v>
      </c>
      <c r="O684">
        <v>15822</v>
      </c>
    </row>
    <row r="685" spans="1:15" x14ac:dyDescent="0.3">
      <c r="A685">
        <v>33</v>
      </c>
      <c r="B685" t="s">
        <v>12</v>
      </c>
      <c r="C685" s="1">
        <v>1</v>
      </c>
      <c r="D685" t="s">
        <v>13</v>
      </c>
      <c r="E685" t="s">
        <v>26</v>
      </c>
      <c r="F685" t="s">
        <v>15</v>
      </c>
      <c r="G685" t="s">
        <v>23</v>
      </c>
      <c r="H685" t="s">
        <v>17</v>
      </c>
      <c r="I685" s="2">
        <v>12072</v>
      </c>
      <c r="J685" t="b">
        <v>1</v>
      </c>
      <c r="K685" t="b">
        <v>0</v>
      </c>
      <c r="L685" t="b">
        <v>0</v>
      </c>
      <c r="M685" t="str">
        <f t="shared" si="20"/>
        <v>INSTAGRAM</v>
      </c>
      <c r="N685" t="str">
        <f t="shared" si="21"/>
        <v>Sub_Urban-INSTAGRAM</v>
      </c>
      <c r="O685">
        <v>12072</v>
      </c>
    </row>
    <row r="686" spans="1:15" x14ac:dyDescent="0.3">
      <c r="A686">
        <v>25</v>
      </c>
      <c r="B686" t="s">
        <v>18</v>
      </c>
      <c r="C686" s="1">
        <v>2</v>
      </c>
      <c r="D686" t="s">
        <v>13</v>
      </c>
      <c r="E686" t="s">
        <v>20</v>
      </c>
      <c r="F686" t="s">
        <v>27</v>
      </c>
      <c r="G686" t="s">
        <v>29</v>
      </c>
      <c r="H686" t="s">
        <v>17</v>
      </c>
      <c r="I686" s="2">
        <v>17795</v>
      </c>
      <c r="J686" t="b">
        <v>1</v>
      </c>
      <c r="K686" t="b">
        <v>1</v>
      </c>
      <c r="L686" t="b">
        <v>1</v>
      </c>
      <c r="M686" t="str">
        <f t="shared" si="20"/>
        <v>INSTAGRAM</v>
      </c>
      <c r="N686" t="str">
        <f t="shared" si="21"/>
        <v>Rural-INSTAGRAM</v>
      </c>
      <c r="O686">
        <v>17795</v>
      </c>
    </row>
    <row r="687" spans="1:15" x14ac:dyDescent="0.3">
      <c r="A687">
        <v>55</v>
      </c>
      <c r="B687" t="s">
        <v>25</v>
      </c>
      <c r="C687" s="1">
        <v>4</v>
      </c>
      <c r="D687" t="s">
        <v>13</v>
      </c>
      <c r="E687" t="s">
        <v>14</v>
      </c>
      <c r="F687" t="s">
        <v>22</v>
      </c>
      <c r="G687" t="s">
        <v>29</v>
      </c>
      <c r="H687" t="s">
        <v>24</v>
      </c>
      <c r="I687" s="2">
        <v>18529</v>
      </c>
      <c r="J687" t="b">
        <v>1</v>
      </c>
      <c r="K687" t="b">
        <v>1</v>
      </c>
      <c r="L687" t="b">
        <v>1</v>
      </c>
      <c r="M687" t="str">
        <f t="shared" si="20"/>
        <v>INSTAGRAM</v>
      </c>
      <c r="N687" t="str">
        <f t="shared" si="21"/>
        <v>Rural-INSTAGRAM</v>
      </c>
      <c r="O687">
        <v>18529</v>
      </c>
    </row>
    <row r="688" spans="1:15" x14ac:dyDescent="0.3">
      <c r="A688">
        <v>29</v>
      </c>
      <c r="B688" t="s">
        <v>12</v>
      </c>
      <c r="C688" s="1">
        <v>1</v>
      </c>
      <c r="D688" t="s">
        <v>19</v>
      </c>
      <c r="E688" t="s">
        <v>20</v>
      </c>
      <c r="F688" t="s">
        <v>15</v>
      </c>
      <c r="G688" t="s">
        <v>23</v>
      </c>
      <c r="H688" t="s">
        <v>21</v>
      </c>
      <c r="I688" s="2">
        <v>13949</v>
      </c>
      <c r="J688" t="b">
        <v>0</v>
      </c>
      <c r="K688" t="b">
        <v>1</v>
      </c>
      <c r="L688" t="b">
        <v>0</v>
      </c>
      <c r="M688" t="str">
        <f t="shared" si="20"/>
        <v>FACEBOOK</v>
      </c>
      <c r="N688" t="str">
        <f t="shared" si="21"/>
        <v>Sub_Urban-FACEBOOK</v>
      </c>
      <c r="O688">
        <v>13949</v>
      </c>
    </row>
    <row r="689" spans="1:15" x14ac:dyDescent="0.3">
      <c r="A689">
        <v>41</v>
      </c>
      <c r="B689" t="s">
        <v>25</v>
      </c>
      <c r="C689" s="1">
        <v>9</v>
      </c>
      <c r="D689" t="s">
        <v>19</v>
      </c>
      <c r="E689" t="s">
        <v>14</v>
      </c>
      <c r="F689" t="s">
        <v>15</v>
      </c>
      <c r="G689" t="s">
        <v>29</v>
      </c>
      <c r="H689" t="s">
        <v>21</v>
      </c>
      <c r="I689" s="2">
        <v>16033</v>
      </c>
      <c r="J689" t="b">
        <v>1</v>
      </c>
      <c r="K689" t="b">
        <v>1</v>
      </c>
      <c r="L689" t="b">
        <v>0</v>
      </c>
      <c r="M689" t="str">
        <f t="shared" si="20"/>
        <v>FACEBOOK</v>
      </c>
      <c r="N689" t="str">
        <f t="shared" si="21"/>
        <v>Rural-FACEBOOK</v>
      </c>
      <c r="O689">
        <v>16033</v>
      </c>
    </row>
    <row r="690" spans="1:15" x14ac:dyDescent="0.3">
      <c r="A690">
        <v>45</v>
      </c>
      <c r="B690" t="s">
        <v>25</v>
      </c>
      <c r="C690" s="1">
        <v>6</v>
      </c>
      <c r="D690" t="s">
        <v>19</v>
      </c>
      <c r="E690" t="s">
        <v>26</v>
      </c>
      <c r="F690" t="s">
        <v>27</v>
      </c>
      <c r="G690" t="s">
        <v>29</v>
      </c>
      <c r="H690" t="s">
        <v>21</v>
      </c>
      <c r="I690" s="2">
        <v>18328</v>
      </c>
      <c r="J690" t="b">
        <v>1</v>
      </c>
      <c r="K690" t="b">
        <v>1</v>
      </c>
      <c r="L690" t="b">
        <v>0</v>
      </c>
      <c r="M690" t="str">
        <f t="shared" si="20"/>
        <v>FACEBOOK</v>
      </c>
      <c r="N690" t="str">
        <f t="shared" si="21"/>
        <v>Rural-FACEBOOK</v>
      </c>
      <c r="O690">
        <v>18328</v>
      </c>
    </row>
    <row r="691" spans="1:15" x14ac:dyDescent="0.3">
      <c r="A691">
        <v>25</v>
      </c>
      <c r="B691" t="s">
        <v>12</v>
      </c>
      <c r="C691" s="1">
        <v>1</v>
      </c>
      <c r="D691" t="s">
        <v>13</v>
      </c>
      <c r="E691" t="s">
        <v>26</v>
      </c>
      <c r="F691" t="s">
        <v>15</v>
      </c>
      <c r="G691" t="s">
        <v>29</v>
      </c>
      <c r="H691" t="s">
        <v>24</v>
      </c>
      <c r="I691" s="2">
        <v>12555</v>
      </c>
      <c r="J691" t="b">
        <v>0</v>
      </c>
      <c r="K691" t="b">
        <v>1</v>
      </c>
      <c r="L691" t="b">
        <v>1</v>
      </c>
      <c r="M691" t="str">
        <f t="shared" si="20"/>
        <v>INSTAGRAM</v>
      </c>
      <c r="N691" t="str">
        <f t="shared" si="21"/>
        <v>Rural-INSTAGRAM</v>
      </c>
      <c r="O691">
        <v>12555</v>
      </c>
    </row>
    <row r="692" spans="1:15" x14ac:dyDescent="0.3">
      <c r="A692">
        <v>45</v>
      </c>
      <c r="B692" t="s">
        <v>12</v>
      </c>
      <c r="C692" s="1">
        <v>1</v>
      </c>
      <c r="D692" t="s">
        <v>28</v>
      </c>
      <c r="E692" t="s">
        <v>26</v>
      </c>
      <c r="F692" t="s">
        <v>22</v>
      </c>
      <c r="G692" t="s">
        <v>23</v>
      </c>
      <c r="H692" t="s">
        <v>21</v>
      </c>
      <c r="I692" s="2">
        <v>16370</v>
      </c>
      <c r="J692" t="b">
        <v>0</v>
      </c>
      <c r="K692" t="b">
        <v>0</v>
      </c>
      <c r="L692" t="b">
        <v>1</v>
      </c>
      <c r="M692" t="str">
        <f t="shared" si="20"/>
        <v>YOUTUBE</v>
      </c>
      <c r="N692" t="str">
        <f t="shared" si="21"/>
        <v>Sub_Urban-YOUTUBE</v>
      </c>
      <c r="O692">
        <v>16370</v>
      </c>
    </row>
    <row r="693" spans="1:15" x14ac:dyDescent="0.3">
      <c r="A693">
        <v>53</v>
      </c>
      <c r="B693" t="s">
        <v>25</v>
      </c>
      <c r="C693" s="1">
        <v>6</v>
      </c>
      <c r="D693" t="s">
        <v>13</v>
      </c>
      <c r="E693" t="s">
        <v>14</v>
      </c>
      <c r="F693" t="s">
        <v>27</v>
      </c>
      <c r="G693" t="s">
        <v>29</v>
      </c>
      <c r="H693" t="s">
        <v>24</v>
      </c>
      <c r="I693" s="2">
        <v>14415</v>
      </c>
      <c r="J693" t="b">
        <v>0</v>
      </c>
      <c r="K693" t="b">
        <v>0</v>
      </c>
      <c r="L693" t="b">
        <v>1</v>
      </c>
      <c r="M693" t="str">
        <f t="shared" si="20"/>
        <v>INSTAGRAM</v>
      </c>
      <c r="N693" t="str">
        <f t="shared" si="21"/>
        <v>Rural-INSTAGRAM</v>
      </c>
      <c r="O693">
        <v>14415</v>
      </c>
    </row>
    <row r="694" spans="1:15" x14ac:dyDescent="0.3">
      <c r="A694">
        <v>43</v>
      </c>
      <c r="B694" t="s">
        <v>12</v>
      </c>
      <c r="C694" s="1">
        <v>4</v>
      </c>
      <c r="D694" t="s">
        <v>19</v>
      </c>
      <c r="E694" t="s">
        <v>20</v>
      </c>
      <c r="F694" t="s">
        <v>22</v>
      </c>
      <c r="G694" t="s">
        <v>16</v>
      </c>
      <c r="H694" t="s">
        <v>24</v>
      </c>
      <c r="I694" s="2">
        <v>15959</v>
      </c>
      <c r="J694" t="b">
        <v>1</v>
      </c>
      <c r="K694" t="b">
        <v>1</v>
      </c>
      <c r="L694" t="b">
        <v>1</v>
      </c>
      <c r="M694" t="str">
        <f t="shared" si="20"/>
        <v>FACEBOOK</v>
      </c>
      <c r="N694" t="str">
        <f t="shared" si="21"/>
        <v>Urban-FACEBOOK</v>
      </c>
      <c r="O694">
        <v>15959</v>
      </c>
    </row>
    <row r="695" spans="1:15" x14ac:dyDescent="0.3">
      <c r="A695">
        <v>25</v>
      </c>
      <c r="B695" t="s">
        <v>12</v>
      </c>
      <c r="C695" s="1">
        <v>4</v>
      </c>
      <c r="D695" t="s">
        <v>19</v>
      </c>
      <c r="E695" t="s">
        <v>20</v>
      </c>
      <c r="F695" t="s">
        <v>22</v>
      </c>
      <c r="G695" t="s">
        <v>16</v>
      </c>
      <c r="H695" t="s">
        <v>21</v>
      </c>
      <c r="I695" s="2">
        <v>19107</v>
      </c>
      <c r="J695" t="b">
        <v>0</v>
      </c>
      <c r="K695" t="b">
        <v>0</v>
      </c>
      <c r="L695" t="b">
        <v>1</v>
      </c>
      <c r="M695" t="str">
        <f t="shared" si="20"/>
        <v>FACEBOOK</v>
      </c>
      <c r="N695" t="str">
        <f t="shared" si="21"/>
        <v>Urban-FACEBOOK</v>
      </c>
      <c r="O695">
        <v>19107</v>
      </c>
    </row>
    <row r="696" spans="1:15" x14ac:dyDescent="0.3">
      <c r="A696">
        <v>45</v>
      </c>
      <c r="B696" t="s">
        <v>12</v>
      </c>
      <c r="C696" s="1">
        <v>6</v>
      </c>
      <c r="D696" t="s">
        <v>13</v>
      </c>
      <c r="E696" t="s">
        <v>14</v>
      </c>
      <c r="F696" t="s">
        <v>22</v>
      </c>
      <c r="G696" t="s">
        <v>23</v>
      </c>
      <c r="H696" t="s">
        <v>17</v>
      </c>
      <c r="I696" s="2">
        <v>15993</v>
      </c>
      <c r="J696" t="b">
        <v>1</v>
      </c>
      <c r="K696" t="b">
        <v>0</v>
      </c>
      <c r="L696" t="b">
        <v>1</v>
      </c>
      <c r="M696" t="str">
        <f t="shared" si="20"/>
        <v>INSTAGRAM</v>
      </c>
      <c r="N696" t="str">
        <f t="shared" si="21"/>
        <v>Sub_Urban-INSTAGRAM</v>
      </c>
      <c r="O696">
        <v>15993</v>
      </c>
    </row>
    <row r="697" spans="1:15" x14ac:dyDescent="0.3">
      <c r="A697">
        <v>45</v>
      </c>
      <c r="B697" t="s">
        <v>18</v>
      </c>
      <c r="C697" s="1">
        <v>7</v>
      </c>
      <c r="D697" t="s">
        <v>13</v>
      </c>
      <c r="E697" t="s">
        <v>14</v>
      </c>
      <c r="F697" t="s">
        <v>15</v>
      </c>
      <c r="G697" t="s">
        <v>16</v>
      </c>
      <c r="H697" t="s">
        <v>17</v>
      </c>
      <c r="I697" s="2">
        <v>15021</v>
      </c>
      <c r="J697" t="b">
        <v>1</v>
      </c>
      <c r="K697" t="b">
        <v>1</v>
      </c>
      <c r="L697" t="b">
        <v>0</v>
      </c>
      <c r="M697" t="str">
        <f t="shared" si="20"/>
        <v>INSTAGRAM</v>
      </c>
      <c r="N697" t="str">
        <f t="shared" si="21"/>
        <v>Urban-INSTAGRAM</v>
      </c>
      <c r="O697">
        <v>15021</v>
      </c>
    </row>
    <row r="698" spans="1:15" x14ac:dyDescent="0.3">
      <c r="A698">
        <v>54</v>
      </c>
      <c r="B698" t="s">
        <v>25</v>
      </c>
      <c r="C698" s="1">
        <v>9</v>
      </c>
      <c r="D698" t="s">
        <v>19</v>
      </c>
      <c r="E698" t="s">
        <v>20</v>
      </c>
      <c r="F698" t="s">
        <v>15</v>
      </c>
      <c r="G698" t="s">
        <v>23</v>
      </c>
      <c r="H698" t="s">
        <v>21</v>
      </c>
      <c r="I698" s="2">
        <v>12907</v>
      </c>
      <c r="J698" t="b">
        <v>0</v>
      </c>
      <c r="K698" t="b">
        <v>1</v>
      </c>
      <c r="L698" t="b">
        <v>1</v>
      </c>
      <c r="M698" t="str">
        <f t="shared" si="20"/>
        <v>FACEBOOK</v>
      </c>
      <c r="N698" t="str">
        <f t="shared" si="21"/>
        <v>Sub_Urban-FACEBOOK</v>
      </c>
      <c r="O698">
        <v>12907</v>
      </c>
    </row>
    <row r="699" spans="1:15" x14ac:dyDescent="0.3">
      <c r="A699">
        <v>58</v>
      </c>
      <c r="B699" t="s">
        <v>25</v>
      </c>
      <c r="C699" s="1">
        <v>5</v>
      </c>
      <c r="D699" t="s">
        <v>19</v>
      </c>
      <c r="E699" t="s">
        <v>20</v>
      </c>
      <c r="F699" t="s">
        <v>22</v>
      </c>
      <c r="G699" t="s">
        <v>16</v>
      </c>
      <c r="H699" t="s">
        <v>21</v>
      </c>
      <c r="I699" s="2">
        <v>12914</v>
      </c>
      <c r="J699" t="b">
        <v>0</v>
      </c>
      <c r="K699" t="b">
        <v>0</v>
      </c>
      <c r="L699" t="b">
        <v>0</v>
      </c>
      <c r="M699" t="str">
        <f t="shared" si="20"/>
        <v>FACEBOOK</v>
      </c>
      <c r="N699" t="str">
        <f t="shared" si="21"/>
        <v>Urban-FACEBOOK</v>
      </c>
      <c r="O699">
        <v>12914</v>
      </c>
    </row>
    <row r="700" spans="1:15" x14ac:dyDescent="0.3">
      <c r="A700">
        <v>53</v>
      </c>
      <c r="B700" t="s">
        <v>18</v>
      </c>
      <c r="C700" s="1">
        <v>9</v>
      </c>
      <c r="D700" t="s">
        <v>19</v>
      </c>
      <c r="E700" t="s">
        <v>20</v>
      </c>
      <c r="F700" t="s">
        <v>22</v>
      </c>
      <c r="G700" t="s">
        <v>16</v>
      </c>
      <c r="H700" t="s">
        <v>24</v>
      </c>
      <c r="I700" s="2">
        <v>13870</v>
      </c>
      <c r="J700" t="b">
        <v>0</v>
      </c>
      <c r="K700" t="b">
        <v>1</v>
      </c>
      <c r="L700" t="b">
        <v>0</v>
      </c>
      <c r="M700" t="str">
        <f t="shared" si="20"/>
        <v>FACEBOOK</v>
      </c>
      <c r="N700" t="str">
        <f t="shared" si="21"/>
        <v>Urban-FACEBOOK</v>
      </c>
      <c r="O700">
        <v>13870</v>
      </c>
    </row>
    <row r="701" spans="1:15" x14ac:dyDescent="0.3">
      <c r="A701">
        <v>44</v>
      </c>
      <c r="B701" t="s">
        <v>25</v>
      </c>
      <c r="C701" s="1">
        <v>4</v>
      </c>
      <c r="D701" t="s">
        <v>13</v>
      </c>
      <c r="E701" t="s">
        <v>20</v>
      </c>
      <c r="F701" t="s">
        <v>27</v>
      </c>
      <c r="G701" t="s">
        <v>16</v>
      </c>
      <c r="H701" t="s">
        <v>21</v>
      </c>
      <c r="I701" s="2">
        <v>19190</v>
      </c>
      <c r="J701" t="b">
        <v>0</v>
      </c>
      <c r="K701" t="b">
        <v>0</v>
      </c>
      <c r="L701" t="b">
        <v>0</v>
      </c>
      <c r="M701" t="str">
        <f t="shared" si="20"/>
        <v>INSTAGRAM</v>
      </c>
      <c r="N701" t="str">
        <f t="shared" si="21"/>
        <v>Urban-INSTAGRAM</v>
      </c>
      <c r="O701">
        <v>19190</v>
      </c>
    </row>
    <row r="702" spans="1:15" x14ac:dyDescent="0.3">
      <c r="A702">
        <v>34</v>
      </c>
      <c r="B702" t="s">
        <v>12</v>
      </c>
      <c r="C702" s="1">
        <v>2</v>
      </c>
      <c r="D702" t="s">
        <v>19</v>
      </c>
      <c r="E702" t="s">
        <v>14</v>
      </c>
      <c r="F702" t="s">
        <v>27</v>
      </c>
      <c r="G702" t="s">
        <v>23</v>
      </c>
      <c r="H702" t="s">
        <v>24</v>
      </c>
      <c r="I702" s="2">
        <v>15085</v>
      </c>
      <c r="J702" t="b">
        <v>0</v>
      </c>
      <c r="K702" t="b">
        <v>0</v>
      </c>
      <c r="L702" t="b">
        <v>0</v>
      </c>
      <c r="M702" t="str">
        <f t="shared" si="20"/>
        <v>FACEBOOK</v>
      </c>
      <c r="N702" t="str">
        <f t="shared" si="21"/>
        <v>Sub_Urban-FACEBOOK</v>
      </c>
      <c r="O702">
        <v>15085</v>
      </c>
    </row>
    <row r="703" spans="1:15" x14ac:dyDescent="0.3">
      <c r="A703">
        <v>26</v>
      </c>
      <c r="B703" t="s">
        <v>25</v>
      </c>
      <c r="C703" s="1">
        <v>3</v>
      </c>
      <c r="D703" t="s">
        <v>19</v>
      </c>
      <c r="E703" t="s">
        <v>14</v>
      </c>
      <c r="F703" t="s">
        <v>15</v>
      </c>
      <c r="G703" t="s">
        <v>23</v>
      </c>
      <c r="H703" t="s">
        <v>21</v>
      </c>
      <c r="I703" s="2">
        <v>16546</v>
      </c>
      <c r="J703" t="b">
        <v>1</v>
      </c>
      <c r="K703" t="b">
        <v>0</v>
      </c>
      <c r="L703" t="b">
        <v>0</v>
      </c>
      <c r="M703" t="str">
        <f t="shared" si="20"/>
        <v>FACEBOOK</v>
      </c>
      <c r="N703" t="str">
        <f t="shared" si="21"/>
        <v>Sub_Urban-FACEBOOK</v>
      </c>
      <c r="O703">
        <v>16546</v>
      </c>
    </row>
    <row r="704" spans="1:15" x14ac:dyDescent="0.3">
      <c r="A704">
        <v>50</v>
      </c>
      <c r="B704" t="s">
        <v>12</v>
      </c>
      <c r="C704" s="1">
        <v>1</v>
      </c>
      <c r="D704" t="s">
        <v>28</v>
      </c>
      <c r="E704" t="s">
        <v>26</v>
      </c>
      <c r="F704" t="s">
        <v>15</v>
      </c>
      <c r="G704" t="s">
        <v>29</v>
      </c>
      <c r="H704" t="s">
        <v>17</v>
      </c>
      <c r="I704" s="2">
        <v>10395</v>
      </c>
      <c r="J704" t="b">
        <v>1</v>
      </c>
      <c r="K704" t="b">
        <v>1</v>
      </c>
      <c r="L704" t="b">
        <v>1</v>
      </c>
      <c r="M704" t="str">
        <f t="shared" si="20"/>
        <v>YOUTUBE</v>
      </c>
      <c r="N704" t="str">
        <f t="shared" si="21"/>
        <v>Rural-YOUTUBE</v>
      </c>
      <c r="O704">
        <v>10395</v>
      </c>
    </row>
    <row r="705" spans="1:15" x14ac:dyDescent="0.3">
      <c r="A705">
        <v>37</v>
      </c>
      <c r="B705" t="s">
        <v>18</v>
      </c>
      <c r="C705" s="1">
        <v>6</v>
      </c>
      <c r="D705" t="s">
        <v>13</v>
      </c>
      <c r="E705" t="s">
        <v>20</v>
      </c>
      <c r="F705" t="s">
        <v>27</v>
      </c>
      <c r="G705" t="s">
        <v>23</v>
      </c>
      <c r="H705" t="s">
        <v>17</v>
      </c>
      <c r="I705" s="2">
        <v>10938</v>
      </c>
      <c r="J705" t="b">
        <v>1</v>
      </c>
      <c r="K705" t="b">
        <v>0</v>
      </c>
      <c r="L705" t="b">
        <v>1</v>
      </c>
      <c r="M705" t="str">
        <f t="shared" si="20"/>
        <v>INSTAGRAM</v>
      </c>
      <c r="N705" t="str">
        <f t="shared" si="21"/>
        <v>Sub_Urban-INSTAGRAM</v>
      </c>
      <c r="O705">
        <v>10938</v>
      </c>
    </row>
    <row r="706" spans="1:15" x14ac:dyDescent="0.3">
      <c r="A706">
        <v>30</v>
      </c>
      <c r="B706" t="s">
        <v>12</v>
      </c>
      <c r="C706" s="1">
        <v>6</v>
      </c>
      <c r="D706" t="s">
        <v>28</v>
      </c>
      <c r="E706" t="s">
        <v>26</v>
      </c>
      <c r="F706" t="s">
        <v>22</v>
      </c>
      <c r="G706" t="s">
        <v>16</v>
      </c>
      <c r="H706" t="s">
        <v>21</v>
      </c>
      <c r="I706" s="2">
        <v>19828</v>
      </c>
      <c r="J706" t="b">
        <v>0</v>
      </c>
      <c r="K706" t="b">
        <v>1</v>
      </c>
      <c r="L706" t="b">
        <v>1</v>
      </c>
      <c r="M706" t="str">
        <f t="shared" ref="M706:M769" si="22">UPPER(D706)</f>
        <v>YOUTUBE</v>
      </c>
      <c r="N706" t="str">
        <f t="shared" ref="N706:N769" si="23">_xlfn.CONCAT(G706,"-",M706)</f>
        <v>Urban-YOUTUBE</v>
      </c>
      <c r="O706">
        <v>19828</v>
      </c>
    </row>
    <row r="707" spans="1:15" x14ac:dyDescent="0.3">
      <c r="A707">
        <v>45</v>
      </c>
      <c r="B707" t="s">
        <v>25</v>
      </c>
      <c r="C707" s="1">
        <v>1</v>
      </c>
      <c r="D707" t="s">
        <v>28</v>
      </c>
      <c r="E707" t="s">
        <v>14</v>
      </c>
      <c r="F707" t="s">
        <v>15</v>
      </c>
      <c r="G707" t="s">
        <v>16</v>
      </c>
      <c r="H707" t="s">
        <v>24</v>
      </c>
      <c r="I707" s="2">
        <v>12510</v>
      </c>
      <c r="J707" t="b">
        <v>1</v>
      </c>
      <c r="K707" t="b">
        <v>1</v>
      </c>
      <c r="L707" t="b">
        <v>1</v>
      </c>
      <c r="M707" t="str">
        <f t="shared" si="22"/>
        <v>YOUTUBE</v>
      </c>
      <c r="N707" t="str">
        <f t="shared" si="23"/>
        <v>Urban-YOUTUBE</v>
      </c>
      <c r="O707">
        <v>12510</v>
      </c>
    </row>
    <row r="708" spans="1:15" x14ac:dyDescent="0.3">
      <c r="A708">
        <v>46</v>
      </c>
      <c r="B708" t="s">
        <v>25</v>
      </c>
      <c r="C708" s="1">
        <v>3</v>
      </c>
      <c r="D708" t="s">
        <v>19</v>
      </c>
      <c r="E708" t="s">
        <v>14</v>
      </c>
      <c r="F708" t="s">
        <v>22</v>
      </c>
      <c r="G708" t="s">
        <v>23</v>
      </c>
      <c r="H708" t="s">
        <v>17</v>
      </c>
      <c r="I708" s="2">
        <v>14636</v>
      </c>
      <c r="J708" t="b">
        <v>0</v>
      </c>
      <c r="K708" t="b">
        <v>1</v>
      </c>
      <c r="L708" t="b">
        <v>0</v>
      </c>
      <c r="M708" t="str">
        <f t="shared" si="22"/>
        <v>FACEBOOK</v>
      </c>
      <c r="N708" t="str">
        <f t="shared" si="23"/>
        <v>Sub_Urban-FACEBOOK</v>
      </c>
      <c r="O708">
        <v>14636</v>
      </c>
    </row>
    <row r="709" spans="1:15" x14ac:dyDescent="0.3">
      <c r="A709">
        <v>30</v>
      </c>
      <c r="B709" t="s">
        <v>25</v>
      </c>
      <c r="C709" s="1">
        <v>5</v>
      </c>
      <c r="D709" t="s">
        <v>13</v>
      </c>
      <c r="E709" t="s">
        <v>26</v>
      </c>
      <c r="F709" t="s">
        <v>27</v>
      </c>
      <c r="G709" t="s">
        <v>23</v>
      </c>
      <c r="H709" t="s">
        <v>24</v>
      </c>
      <c r="I709" s="2">
        <v>11649</v>
      </c>
      <c r="J709" t="b">
        <v>0</v>
      </c>
      <c r="K709" t="b">
        <v>1</v>
      </c>
      <c r="L709" t="b">
        <v>0</v>
      </c>
      <c r="M709" t="str">
        <f t="shared" si="22"/>
        <v>INSTAGRAM</v>
      </c>
      <c r="N709" t="str">
        <f t="shared" si="23"/>
        <v>Sub_Urban-INSTAGRAM</v>
      </c>
      <c r="O709">
        <v>11649</v>
      </c>
    </row>
    <row r="710" spans="1:15" x14ac:dyDescent="0.3">
      <c r="A710">
        <v>63</v>
      </c>
      <c r="B710" t="s">
        <v>18</v>
      </c>
      <c r="C710" s="1">
        <v>3</v>
      </c>
      <c r="D710" t="s">
        <v>19</v>
      </c>
      <c r="E710" t="s">
        <v>20</v>
      </c>
      <c r="F710" t="s">
        <v>15</v>
      </c>
      <c r="G710" t="s">
        <v>23</v>
      </c>
      <c r="H710" t="s">
        <v>21</v>
      </c>
      <c r="I710" s="2">
        <v>13690</v>
      </c>
      <c r="J710" t="b">
        <v>1</v>
      </c>
      <c r="K710" t="b">
        <v>1</v>
      </c>
      <c r="L710" t="b">
        <v>0</v>
      </c>
      <c r="M710" t="str">
        <f t="shared" si="22"/>
        <v>FACEBOOK</v>
      </c>
      <c r="N710" t="str">
        <f t="shared" si="23"/>
        <v>Sub_Urban-FACEBOOK</v>
      </c>
      <c r="O710">
        <v>13690</v>
      </c>
    </row>
    <row r="711" spans="1:15" x14ac:dyDescent="0.3">
      <c r="A711">
        <v>52</v>
      </c>
      <c r="B711" t="s">
        <v>18</v>
      </c>
      <c r="C711" s="1">
        <v>3</v>
      </c>
      <c r="D711" t="s">
        <v>13</v>
      </c>
      <c r="E711" t="s">
        <v>20</v>
      </c>
      <c r="F711" t="s">
        <v>15</v>
      </c>
      <c r="G711" t="s">
        <v>29</v>
      </c>
      <c r="H711" t="s">
        <v>21</v>
      </c>
      <c r="I711" s="2">
        <v>13435</v>
      </c>
      <c r="J711" t="b">
        <v>1</v>
      </c>
      <c r="K711" t="b">
        <v>0</v>
      </c>
      <c r="L711" t="b">
        <v>1</v>
      </c>
      <c r="M711" t="str">
        <f t="shared" si="22"/>
        <v>INSTAGRAM</v>
      </c>
      <c r="N711" t="str">
        <f t="shared" si="23"/>
        <v>Rural-INSTAGRAM</v>
      </c>
      <c r="O711">
        <v>13435</v>
      </c>
    </row>
    <row r="712" spans="1:15" x14ac:dyDescent="0.3">
      <c r="A712">
        <v>23</v>
      </c>
      <c r="B712" t="s">
        <v>25</v>
      </c>
      <c r="C712" s="1">
        <v>3</v>
      </c>
      <c r="D712" t="s">
        <v>28</v>
      </c>
      <c r="E712" t="s">
        <v>20</v>
      </c>
      <c r="F712" t="s">
        <v>27</v>
      </c>
      <c r="G712" t="s">
        <v>16</v>
      </c>
      <c r="H712" t="s">
        <v>17</v>
      </c>
      <c r="I712" s="2">
        <v>13201</v>
      </c>
      <c r="J712" t="b">
        <v>0</v>
      </c>
      <c r="K712" t="b">
        <v>1</v>
      </c>
      <c r="L712" t="b">
        <v>1</v>
      </c>
      <c r="M712" t="str">
        <f t="shared" si="22"/>
        <v>YOUTUBE</v>
      </c>
      <c r="N712" t="str">
        <f t="shared" si="23"/>
        <v>Urban-YOUTUBE</v>
      </c>
      <c r="O712">
        <v>13201</v>
      </c>
    </row>
    <row r="713" spans="1:15" x14ac:dyDescent="0.3">
      <c r="A713">
        <v>35</v>
      </c>
      <c r="B713" t="s">
        <v>12</v>
      </c>
      <c r="C713" s="1">
        <v>5</v>
      </c>
      <c r="D713" t="s">
        <v>13</v>
      </c>
      <c r="E713" t="s">
        <v>20</v>
      </c>
      <c r="F713" t="s">
        <v>15</v>
      </c>
      <c r="G713" t="s">
        <v>29</v>
      </c>
      <c r="H713" t="s">
        <v>21</v>
      </c>
      <c r="I713" s="2">
        <v>14179</v>
      </c>
      <c r="J713" t="b">
        <v>1</v>
      </c>
      <c r="K713" t="b">
        <v>1</v>
      </c>
      <c r="L713" t="b">
        <v>1</v>
      </c>
      <c r="M713" t="str">
        <f t="shared" si="22"/>
        <v>INSTAGRAM</v>
      </c>
      <c r="N713" t="str">
        <f t="shared" si="23"/>
        <v>Rural-INSTAGRAM</v>
      </c>
      <c r="O713">
        <v>14179</v>
      </c>
    </row>
    <row r="714" spans="1:15" x14ac:dyDescent="0.3">
      <c r="A714">
        <v>22</v>
      </c>
      <c r="B714" t="s">
        <v>18</v>
      </c>
      <c r="C714" s="1">
        <v>5</v>
      </c>
      <c r="D714" t="s">
        <v>19</v>
      </c>
      <c r="E714" t="s">
        <v>26</v>
      </c>
      <c r="F714" t="s">
        <v>27</v>
      </c>
      <c r="G714" t="s">
        <v>29</v>
      </c>
      <c r="H714" t="s">
        <v>17</v>
      </c>
      <c r="I714" s="2">
        <v>18405</v>
      </c>
      <c r="J714" t="b">
        <v>0</v>
      </c>
      <c r="K714" t="b">
        <v>1</v>
      </c>
      <c r="L714" t="b">
        <v>1</v>
      </c>
      <c r="M714" t="str">
        <f t="shared" si="22"/>
        <v>FACEBOOK</v>
      </c>
      <c r="N714" t="str">
        <f t="shared" si="23"/>
        <v>Rural-FACEBOOK</v>
      </c>
      <c r="O714">
        <v>18405</v>
      </c>
    </row>
    <row r="715" spans="1:15" x14ac:dyDescent="0.3">
      <c r="A715">
        <v>64</v>
      </c>
      <c r="B715" t="s">
        <v>25</v>
      </c>
      <c r="C715" s="1">
        <v>4</v>
      </c>
      <c r="D715" t="s">
        <v>19</v>
      </c>
      <c r="E715" t="s">
        <v>26</v>
      </c>
      <c r="F715" t="s">
        <v>15</v>
      </c>
      <c r="G715" t="s">
        <v>16</v>
      </c>
      <c r="H715" t="s">
        <v>24</v>
      </c>
      <c r="I715" s="2">
        <v>13237</v>
      </c>
      <c r="J715" t="b">
        <v>1</v>
      </c>
      <c r="K715" t="b">
        <v>1</v>
      </c>
      <c r="L715" t="b">
        <v>0</v>
      </c>
      <c r="M715" t="str">
        <f t="shared" si="22"/>
        <v>FACEBOOK</v>
      </c>
      <c r="N715" t="str">
        <f t="shared" si="23"/>
        <v>Urban-FACEBOOK</v>
      </c>
      <c r="O715">
        <v>13237</v>
      </c>
    </row>
    <row r="716" spans="1:15" x14ac:dyDescent="0.3">
      <c r="A716">
        <v>42</v>
      </c>
      <c r="B716" t="s">
        <v>25</v>
      </c>
      <c r="C716" s="1">
        <v>1</v>
      </c>
      <c r="D716" t="s">
        <v>19</v>
      </c>
      <c r="E716" t="s">
        <v>14</v>
      </c>
      <c r="F716" t="s">
        <v>27</v>
      </c>
      <c r="G716" t="s">
        <v>16</v>
      </c>
      <c r="H716" t="s">
        <v>17</v>
      </c>
      <c r="I716" s="2">
        <v>13862</v>
      </c>
      <c r="J716" t="b">
        <v>1</v>
      </c>
      <c r="K716" t="b">
        <v>1</v>
      </c>
      <c r="L716" t="b">
        <v>0</v>
      </c>
      <c r="M716" t="str">
        <f t="shared" si="22"/>
        <v>FACEBOOK</v>
      </c>
      <c r="N716" t="str">
        <f t="shared" si="23"/>
        <v>Urban-FACEBOOK</v>
      </c>
      <c r="O716">
        <v>13862</v>
      </c>
    </row>
    <row r="717" spans="1:15" x14ac:dyDescent="0.3">
      <c r="A717">
        <v>19</v>
      </c>
      <c r="B717" t="s">
        <v>18</v>
      </c>
      <c r="C717" s="1">
        <v>5</v>
      </c>
      <c r="D717" t="s">
        <v>13</v>
      </c>
      <c r="E717" t="s">
        <v>20</v>
      </c>
      <c r="F717" t="s">
        <v>15</v>
      </c>
      <c r="G717" t="s">
        <v>23</v>
      </c>
      <c r="H717" t="s">
        <v>17</v>
      </c>
      <c r="I717" s="2">
        <v>10058</v>
      </c>
      <c r="J717" t="b">
        <v>1</v>
      </c>
      <c r="K717" t="b">
        <v>0</v>
      </c>
      <c r="L717" t="b">
        <v>1</v>
      </c>
      <c r="M717" t="str">
        <f t="shared" si="22"/>
        <v>INSTAGRAM</v>
      </c>
      <c r="N717" t="str">
        <f t="shared" si="23"/>
        <v>Sub_Urban-INSTAGRAM</v>
      </c>
      <c r="O717">
        <v>10058</v>
      </c>
    </row>
    <row r="718" spans="1:15" x14ac:dyDescent="0.3">
      <c r="A718">
        <v>27</v>
      </c>
      <c r="B718" t="s">
        <v>18</v>
      </c>
      <c r="C718" s="1">
        <v>5</v>
      </c>
      <c r="D718" t="s">
        <v>28</v>
      </c>
      <c r="E718" t="s">
        <v>20</v>
      </c>
      <c r="F718" t="s">
        <v>22</v>
      </c>
      <c r="G718" t="s">
        <v>23</v>
      </c>
      <c r="H718" t="s">
        <v>24</v>
      </c>
      <c r="I718" s="2">
        <v>14938</v>
      </c>
      <c r="J718" t="b">
        <v>1</v>
      </c>
      <c r="K718" t="b">
        <v>1</v>
      </c>
      <c r="L718" t="b">
        <v>1</v>
      </c>
      <c r="M718" t="str">
        <f t="shared" si="22"/>
        <v>YOUTUBE</v>
      </c>
      <c r="N718" t="str">
        <f t="shared" si="23"/>
        <v>Sub_Urban-YOUTUBE</v>
      </c>
      <c r="O718">
        <v>14938</v>
      </c>
    </row>
    <row r="719" spans="1:15" x14ac:dyDescent="0.3">
      <c r="A719">
        <v>47</v>
      </c>
      <c r="B719" t="s">
        <v>18</v>
      </c>
      <c r="C719" s="1">
        <v>4</v>
      </c>
      <c r="D719" t="s">
        <v>28</v>
      </c>
      <c r="E719" t="s">
        <v>20</v>
      </c>
      <c r="F719" t="s">
        <v>22</v>
      </c>
      <c r="G719" t="s">
        <v>29</v>
      </c>
      <c r="H719" t="s">
        <v>17</v>
      </c>
      <c r="I719" s="2">
        <v>12971</v>
      </c>
      <c r="J719" t="b">
        <v>1</v>
      </c>
      <c r="K719" t="b">
        <v>1</v>
      </c>
      <c r="L719" t="b">
        <v>0</v>
      </c>
      <c r="M719" t="str">
        <f t="shared" si="22"/>
        <v>YOUTUBE</v>
      </c>
      <c r="N719" t="str">
        <f t="shared" si="23"/>
        <v>Rural-YOUTUBE</v>
      </c>
      <c r="O719">
        <v>12971</v>
      </c>
    </row>
    <row r="720" spans="1:15" x14ac:dyDescent="0.3">
      <c r="A720">
        <v>62</v>
      </c>
      <c r="B720" t="s">
        <v>12</v>
      </c>
      <c r="C720" s="1">
        <v>6</v>
      </c>
      <c r="D720" t="s">
        <v>13</v>
      </c>
      <c r="E720" t="s">
        <v>26</v>
      </c>
      <c r="F720" t="s">
        <v>22</v>
      </c>
      <c r="G720" t="s">
        <v>23</v>
      </c>
      <c r="H720" t="s">
        <v>17</v>
      </c>
      <c r="I720" s="2">
        <v>19719</v>
      </c>
      <c r="J720" t="b">
        <v>0</v>
      </c>
      <c r="K720" t="b">
        <v>0</v>
      </c>
      <c r="L720" t="b">
        <v>0</v>
      </c>
      <c r="M720" t="str">
        <f t="shared" si="22"/>
        <v>INSTAGRAM</v>
      </c>
      <c r="N720" t="str">
        <f t="shared" si="23"/>
        <v>Sub_Urban-INSTAGRAM</v>
      </c>
      <c r="O720">
        <v>19719</v>
      </c>
    </row>
    <row r="721" spans="1:15" x14ac:dyDescent="0.3">
      <c r="A721">
        <v>22</v>
      </c>
      <c r="B721" t="s">
        <v>12</v>
      </c>
      <c r="C721" s="1">
        <v>4</v>
      </c>
      <c r="D721" t="s">
        <v>19</v>
      </c>
      <c r="E721" t="s">
        <v>20</v>
      </c>
      <c r="F721" t="s">
        <v>15</v>
      </c>
      <c r="G721" t="s">
        <v>23</v>
      </c>
      <c r="H721" t="s">
        <v>21</v>
      </c>
      <c r="I721" s="2">
        <v>18314</v>
      </c>
      <c r="J721" t="b">
        <v>1</v>
      </c>
      <c r="K721" t="b">
        <v>1</v>
      </c>
      <c r="L721" t="b">
        <v>0</v>
      </c>
      <c r="M721" t="str">
        <f t="shared" si="22"/>
        <v>FACEBOOK</v>
      </c>
      <c r="N721" t="str">
        <f t="shared" si="23"/>
        <v>Sub_Urban-FACEBOOK</v>
      </c>
      <c r="O721">
        <v>18314</v>
      </c>
    </row>
    <row r="722" spans="1:15" x14ac:dyDescent="0.3">
      <c r="A722">
        <v>50</v>
      </c>
      <c r="B722" t="s">
        <v>25</v>
      </c>
      <c r="C722" s="1">
        <v>7</v>
      </c>
      <c r="D722" t="s">
        <v>28</v>
      </c>
      <c r="E722" t="s">
        <v>26</v>
      </c>
      <c r="F722" t="s">
        <v>15</v>
      </c>
      <c r="G722" t="s">
        <v>16</v>
      </c>
      <c r="H722" t="s">
        <v>24</v>
      </c>
      <c r="I722" s="2">
        <v>19628</v>
      </c>
      <c r="J722" t="b">
        <v>1</v>
      </c>
      <c r="K722" t="b">
        <v>0</v>
      </c>
      <c r="L722" t="b">
        <v>0</v>
      </c>
      <c r="M722" t="str">
        <f t="shared" si="22"/>
        <v>YOUTUBE</v>
      </c>
      <c r="N722" t="str">
        <f t="shared" si="23"/>
        <v>Urban-YOUTUBE</v>
      </c>
      <c r="O722">
        <v>19628</v>
      </c>
    </row>
    <row r="723" spans="1:15" x14ac:dyDescent="0.3">
      <c r="A723">
        <v>18</v>
      </c>
      <c r="B723" t="s">
        <v>18</v>
      </c>
      <c r="C723" s="1">
        <v>7</v>
      </c>
      <c r="D723" t="s">
        <v>19</v>
      </c>
      <c r="E723" t="s">
        <v>20</v>
      </c>
      <c r="F723" t="s">
        <v>22</v>
      </c>
      <c r="G723" t="s">
        <v>16</v>
      </c>
      <c r="H723" t="s">
        <v>17</v>
      </c>
      <c r="I723" s="2">
        <v>19354</v>
      </c>
      <c r="J723" t="b">
        <v>1</v>
      </c>
      <c r="K723" t="b">
        <v>0</v>
      </c>
      <c r="L723" t="b">
        <v>1</v>
      </c>
      <c r="M723" t="str">
        <f t="shared" si="22"/>
        <v>FACEBOOK</v>
      </c>
      <c r="N723" t="str">
        <f t="shared" si="23"/>
        <v>Urban-FACEBOOK</v>
      </c>
      <c r="O723">
        <v>19354</v>
      </c>
    </row>
    <row r="724" spans="1:15" x14ac:dyDescent="0.3">
      <c r="A724">
        <v>35</v>
      </c>
      <c r="B724" t="s">
        <v>12</v>
      </c>
      <c r="C724" s="1">
        <v>2</v>
      </c>
      <c r="D724" t="s">
        <v>13</v>
      </c>
      <c r="E724" t="s">
        <v>20</v>
      </c>
      <c r="F724" t="s">
        <v>22</v>
      </c>
      <c r="G724" t="s">
        <v>23</v>
      </c>
      <c r="H724" t="s">
        <v>24</v>
      </c>
      <c r="I724" s="2">
        <v>13345</v>
      </c>
      <c r="J724" t="b">
        <v>0</v>
      </c>
      <c r="K724" t="b">
        <v>0</v>
      </c>
      <c r="L724" t="b">
        <v>0</v>
      </c>
      <c r="M724" t="str">
        <f t="shared" si="22"/>
        <v>INSTAGRAM</v>
      </c>
      <c r="N724" t="str">
        <f t="shared" si="23"/>
        <v>Sub_Urban-INSTAGRAM</v>
      </c>
      <c r="O724">
        <v>13345</v>
      </c>
    </row>
    <row r="725" spans="1:15" x14ac:dyDescent="0.3">
      <c r="A725">
        <v>49</v>
      </c>
      <c r="B725" t="s">
        <v>18</v>
      </c>
      <c r="C725" s="1">
        <v>3</v>
      </c>
      <c r="D725" t="s">
        <v>19</v>
      </c>
      <c r="E725" t="s">
        <v>14</v>
      </c>
      <c r="F725" t="s">
        <v>27</v>
      </c>
      <c r="G725" t="s">
        <v>16</v>
      </c>
      <c r="H725" t="s">
        <v>24</v>
      </c>
      <c r="I725" s="2">
        <v>12486</v>
      </c>
      <c r="J725" t="b">
        <v>0</v>
      </c>
      <c r="K725" t="b">
        <v>0</v>
      </c>
      <c r="L725" t="b">
        <v>0</v>
      </c>
      <c r="M725" t="str">
        <f t="shared" si="22"/>
        <v>FACEBOOK</v>
      </c>
      <c r="N725" t="str">
        <f t="shared" si="23"/>
        <v>Urban-FACEBOOK</v>
      </c>
      <c r="O725">
        <v>12486</v>
      </c>
    </row>
    <row r="726" spans="1:15" x14ac:dyDescent="0.3">
      <c r="A726">
        <v>64</v>
      </c>
      <c r="B726" t="s">
        <v>25</v>
      </c>
      <c r="C726" s="1">
        <v>1</v>
      </c>
      <c r="D726" t="s">
        <v>28</v>
      </c>
      <c r="E726" t="s">
        <v>20</v>
      </c>
      <c r="F726" t="s">
        <v>27</v>
      </c>
      <c r="G726" t="s">
        <v>23</v>
      </c>
      <c r="H726" t="s">
        <v>17</v>
      </c>
      <c r="I726" s="2">
        <v>10561</v>
      </c>
      <c r="J726" t="b">
        <v>0</v>
      </c>
      <c r="K726" t="b">
        <v>1</v>
      </c>
      <c r="L726" t="b">
        <v>0</v>
      </c>
      <c r="M726" t="str">
        <f t="shared" si="22"/>
        <v>YOUTUBE</v>
      </c>
      <c r="N726" t="str">
        <f t="shared" si="23"/>
        <v>Sub_Urban-YOUTUBE</v>
      </c>
      <c r="O726">
        <v>10561</v>
      </c>
    </row>
    <row r="727" spans="1:15" x14ac:dyDescent="0.3">
      <c r="A727">
        <v>28</v>
      </c>
      <c r="B727" t="s">
        <v>12</v>
      </c>
      <c r="C727" s="1">
        <v>8</v>
      </c>
      <c r="D727" t="s">
        <v>28</v>
      </c>
      <c r="E727" t="s">
        <v>20</v>
      </c>
      <c r="F727" t="s">
        <v>27</v>
      </c>
      <c r="G727" t="s">
        <v>16</v>
      </c>
      <c r="H727" t="s">
        <v>21</v>
      </c>
      <c r="I727" s="2">
        <v>13981</v>
      </c>
      <c r="J727" t="b">
        <v>0</v>
      </c>
      <c r="K727" t="b">
        <v>1</v>
      </c>
      <c r="L727" t="b">
        <v>0</v>
      </c>
      <c r="M727" t="str">
        <f t="shared" si="22"/>
        <v>YOUTUBE</v>
      </c>
      <c r="N727" t="str">
        <f t="shared" si="23"/>
        <v>Urban-YOUTUBE</v>
      </c>
      <c r="O727">
        <v>13981</v>
      </c>
    </row>
    <row r="728" spans="1:15" x14ac:dyDescent="0.3">
      <c r="A728">
        <v>38</v>
      </c>
      <c r="B728" t="s">
        <v>12</v>
      </c>
      <c r="C728" s="1">
        <v>9</v>
      </c>
      <c r="D728" t="s">
        <v>19</v>
      </c>
      <c r="E728" t="s">
        <v>14</v>
      </c>
      <c r="F728" t="s">
        <v>22</v>
      </c>
      <c r="G728" t="s">
        <v>16</v>
      </c>
      <c r="H728" t="s">
        <v>24</v>
      </c>
      <c r="I728" s="2">
        <v>16261</v>
      </c>
      <c r="J728" t="b">
        <v>0</v>
      </c>
      <c r="K728" t="b">
        <v>0</v>
      </c>
      <c r="L728" t="b">
        <v>1</v>
      </c>
      <c r="M728" t="str">
        <f t="shared" si="22"/>
        <v>FACEBOOK</v>
      </c>
      <c r="N728" t="str">
        <f t="shared" si="23"/>
        <v>Urban-FACEBOOK</v>
      </c>
      <c r="O728">
        <v>16261</v>
      </c>
    </row>
    <row r="729" spans="1:15" x14ac:dyDescent="0.3">
      <c r="A729">
        <v>43</v>
      </c>
      <c r="B729" t="s">
        <v>12</v>
      </c>
      <c r="C729" s="1">
        <v>4</v>
      </c>
      <c r="D729" t="s">
        <v>13</v>
      </c>
      <c r="E729" t="s">
        <v>26</v>
      </c>
      <c r="F729" t="s">
        <v>22</v>
      </c>
      <c r="G729" t="s">
        <v>16</v>
      </c>
      <c r="H729" t="s">
        <v>17</v>
      </c>
      <c r="I729" s="2">
        <v>11737</v>
      </c>
      <c r="J729" t="b">
        <v>1</v>
      </c>
      <c r="K729" t="b">
        <v>0</v>
      </c>
      <c r="L729" t="b">
        <v>1</v>
      </c>
      <c r="M729" t="str">
        <f t="shared" si="22"/>
        <v>INSTAGRAM</v>
      </c>
      <c r="N729" t="str">
        <f t="shared" si="23"/>
        <v>Urban-INSTAGRAM</v>
      </c>
      <c r="O729">
        <v>11737</v>
      </c>
    </row>
    <row r="730" spans="1:15" x14ac:dyDescent="0.3">
      <c r="A730">
        <v>42</v>
      </c>
      <c r="B730" t="s">
        <v>25</v>
      </c>
      <c r="C730" s="1">
        <v>6</v>
      </c>
      <c r="D730" t="s">
        <v>19</v>
      </c>
      <c r="E730" t="s">
        <v>26</v>
      </c>
      <c r="F730" t="s">
        <v>22</v>
      </c>
      <c r="G730" t="s">
        <v>16</v>
      </c>
      <c r="H730" t="s">
        <v>24</v>
      </c>
      <c r="I730" s="2">
        <v>19096</v>
      </c>
      <c r="J730" t="b">
        <v>1</v>
      </c>
      <c r="K730" t="b">
        <v>1</v>
      </c>
      <c r="L730" t="b">
        <v>1</v>
      </c>
      <c r="M730" t="str">
        <f t="shared" si="22"/>
        <v>FACEBOOK</v>
      </c>
      <c r="N730" t="str">
        <f t="shared" si="23"/>
        <v>Urban-FACEBOOK</v>
      </c>
      <c r="O730">
        <v>19096</v>
      </c>
    </row>
    <row r="731" spans="1:15" x14ac:dyDescent="0.3">
      <c r="A731">
        <v>39</v>
      </c>
      <c r="B731" t="s">
        <v>18</v>
      </c>
      <c r="C731" s="1">
        <v>9</v>
      </c>
      <c r="D731" t="s">
        <v>13</v>
      </c>
      <c r="E731" t="s">
        <v>20</v>
      </c>
      <c r="F731" t="s">
        <v>27</v>
      </c>
      <c r="G731" t="s">
        <v>23</v>
      </c>
      <c r="H731" t="s">
        <v>21</v>
      </c>
      <c r="I731" s="2">
        <v>13554</v>
      </c>
      <c r="J731" t="b">
        <v>1</v>
      </c>
      <c r="K731" t="b">
        <v>0</v>
      </c>
      <c r="L731" t="b">
        <v>1</v>
      </c>
      <c r="M731" t="str">
        <f t="shared" si="22"/>
        <v>INSTAGRAM</v>
      </c>
      <c r="N731" t="str">
        <f t="shared" si="23"/>
        <v>Sub_Urban-INSTAGRAM</v>
      </c>
      <c r="O731">
        <v>13554</v>
      </c>
    </row>
    <row r="732" spans="1:15" x14ac:dyDescent="0.3">
      <c r="A732">
        <v>44</v>
      </c>
      <c r="B732" t="s">
        <v>12</v>
      </c>
      <c r="C732" s="1">
        <v>6</v>
      </c>
      <c r="D732" t="s">
        <v>19</v>
      </c>
      <c r="E732" t="s">
        <v>26</v>
      </c>
      <c r="F732" t="s">
        <v>15</v>
      </c>
      <c r="G732" t="s">
        <v>29</v>
      </c>
      <c r="H732" t="s">
        <v>21</v>
      </c>
      <c r="I732" s="2">
        <v>19918</v>
      </c>
      <c r="J732" t="b">
        <v>0</v>
      </c>
      <c r="K732" t="b">
        <v>0</v>
      </c>
      <c r="L732" t="b">
        <v>1</v>
      </c>
      <c r="M732" t="str">
        <f t="shared" si="22"/>
        <v>FACEBOOK</v>
      </c>
      <c r="N732" t="str">
        <f t="shared" si="23"/>
        <v>Rural-FACEBOOK</v>
      </c>
      <c r="O732">
        <v>19918</v>
      </c>
    </row>
    <row r="733" spans="1:15" x14ac:dyDescent="0.3">
      <c r="A733">
        <v>30</v>
      </c>
      <c r="B733" t="s">
        <v>25</v>
      </c>
      <c r="C733" s="1">
        <v>9</v>
      </c>
      <c r="D733" t="s">
        <v>28</v>
      </c>
      <c r="E733" t="s">
        <v>20</v>
      </c>
      <c r="F733" t="s">
        <v>22</v>
      </c>
      <c r="G733" t="s">
        <v>16</v>
      </c>
      <c r="H733" t="s">
        <v>21</v>
      </c>
      <c r="I733" s="2">
        <v>19126</v>
      </c>
      <c r="J733" t="b">
        <v>0</v>
      </c>
      <c r="K733" t="b">
        <v>0</v>
      </c>
      <c r="L733" t="b">
        <v>1</v>
      </c>
      <c r="M733" t="str">
        <f t="shared" si="22"/>
        <v>YOUTUBE</v>
      </c>
      <c r="N733" t="str">
        <f t="shared" si="23"/>
        <v>Urban-YOUTUBE</v>
      </c>
      <c r="O733">
        <v>19126</v>
      </c>
    </row>
    <row r="734" spans="1:15" x14ac:dyDescent="0.3">
      <c r="A734">
        <v>50</v>
      </c>
      <c r="B734" t="s">
        <v>18</v>
      </c>
      <c r="C734" s="1">
        <v>4</v>
      </c>
      <c r="D734" t="s">
        <v>13</v>
      </c>
      <c r="E734" t="s">
        <v>14</v>
      </c>
      <c r="F734" t="s">
        <v>15</v>
      </c>
      <c r="G734" t="s">
        <v>23</v>
      </c>
      <c r="H734" t="s">
        <v>17</v>
      </c>
      <c r="I734" s="2">
        <v>17095</v>
      </c>
      <c r="J734" t="b">
        <v>1</v>
      </c>
      <c r="K734" t="b">
        <v>1</v>
      </c>
      <c r="L734" t="b">
        <v>0</v>
      </c>
      <c r="M734" t="str">
        <f t="shared" si="22"/>
        <v>INSTAGRAM</v>
      </c>
      <c r="N734" t="str">
        <f t="shared" si="23"/>
        <v>Sub_Urban-INSTAGRAM</v>
      </c>
      <c r="O734">
        <v>17095</v>
      </c>
    </row>
    <row r="735" spans="1:15" x14ac:dyDescent="0.3">
      <c r="A735">
        <v>51</v>
      </c>
      <c r="B735" t="s">
        <v>25</v>
      </c>
      <c r="C735" s="1">
        <v>8</v>
      </c>
      <c r="D735" t="s">
        <v>13</v>
      </c>
      <c r="E735" t="s">
        <v>14</v>
      </c>
      <c r="F735" t="s">
        <v>15</v>
      </c>
      <c r="G735" t="s">
        <v>23</v>
      </c>
      <c r="H735" t="s">
        <v>17</v>
      </c>
      <c r="I735" s="2">
        <v>18266</v>
      </c>
      <c r="J735" t="b">
        <v>0</v>
      </c>
      <c r="K735" t="b">
        <v>0</v>
      </c>
      <c r="L735" t="b">
        <v>0</v>
      </c>
      <c r="M735" t="str">
        <f t="shared" si="22"/>
        <v>INSTAGRAM</v>
      </c>
      <c r="N735" t="str">
        <f t="shared" si="23"/>
        <v>Sub_Urban-INSTAGRAM</v>
      </c>
      <c r="O735">
        <v>18266</v>
      </c>
    </row>
    <row r="736" spans="1:15" x14ac:dyDescent="0.3">
      <c r="A736">
        <v>58</v>
      </c>
      <c r="B736" t="s">
        <v>18</v>
      </c>
      <c r="C736" s="1">
        <v>9</v>
      </c>
      <c r="D736" t="s">
        <v>13</v>
      </c>
      <c r="E736" t="s">
        <v>20</v>
      </c>
      <c r="F736" t="s">
        <v>15</v>
      </c>
      <c r="G736" t="s">
        <v>16</v>
      </c>
      <c r="H736" t="s">
        <v>21</v>
      </c>
      <c r="I736" s="2">
        <v>10294</v>
      </c>
      <c r="J736" t="b">
        <v>0</v>
      </c>
      <c r="K736" t="b">
        <v>1</v>
      </c>
      <c r="L736" t="b">
        <v>0</v>
      </c>
      <c r="M736" t="str">
        <f t="shared" si="22"/>
        <v>INSTAGRAM</v>
      </c>
      <c r="N736" t="str">
        <f t="shared" si="23"/>
        <v>Urban-INSTAGRAM</v>
      </c>
      <c r="O736">
        <v>10294</v>
      </c>
    </row>
    <row r="737" spans="1:15" x14ac:dyDescent="0.3">
      <c r="A737">
        <v>52</v>
      </c>
      <c r="B737" t="s">
        <v>25</v>
      </c>
      <c r="C737" s="1">
        <v>4</v>
      </c>
      <c r="D737" t="s">
        <v>28</v>
      </c>
      <c r="E737" t="s">
        <v>14</v>
      </c>
      <c r="F737" t="s">
        <v>27</v>
      </c>
      <c r="G737" t="s">
        <v>29</v>
      </c>
      <c r="H737" t="s">
        <v>17</v>
      </c>
      <c r="I737" s="2">
        <v>18212</v>
      </c>
      <c r="J737" t="b">
        <v>0</v>
      </c>
      <c r="K737" t="b">
        <v>1</v>
      </c>
      <c r="L737" t="b">
        <v>0</v>
      </c>
      <c r="M737" t="str">
        <f t="shared" si="22"/>
        <v>YOUTUBE</v>
      </c>
      <c r="N737" t="str">
        <f t="shared" si="23"/>
        <v>Rural-YOUTUBE</v>
      </c>
      <c r="O737">
        <v>18212</v>
      </c>
    </row>
    <row r="738" spans="1:15" x14ac:dyDescent="0.3">
      <c r="A738">
        <v>18</v>
      </c>
      <c r="B738" t="s">
        <v>18</v>
      </c>
      <c r="C738" s="1">
        <v>5</v>
      </c>
      <c r="D738" t="s">
        <v>19</v>
      </c>
      <c r="E738" t="s">
        <v>14</v>
      </c>
      <c r="F738" t="s">
        <v>15</v>
      </c>
      <c r="G738" t="s">
        <v>16</v>
      </c>
      <c r="H738" t="s">
        <v>21</v>
      </c>
      <c r="I738" s="2">
        <v>19230</v>
      </c>
      <c r="J738" t="b">
        <v>1</v>
      </c>
      <c r="K738" t="b">
        <v>1</v>
      </c>
      <c r="L738" t="b">
        <v>1</v>
      </c>
      <c r="M738" t="str">
        <f t="shared" si="22"/>
        <v>FACEBOOK</v>
      </c>
      <c r="N738" t="str">
        <f t="shared" si="23"/>
        <v>Urban-FACEBOOK</v>
      </c>
      <c r="O738">
        <v>19230</v>
      </c>
    </row>
    <row r="739" spans="1:15" x14ac:dyDescent="0.3">
      <c r="A739">
        <v>38</v>
      </c>
      <c r="B739" t="s">
        <v>12</v>
      </c>
      <c r="C739" s="1">
        <v>8</v>
      </c>
      <c r="D739" t="s">
        <v>28</v>
      </c>
      <c r="E739" t="s">
        <v>20</v>
      </c>
      <c r="F739" t="s">
        <v>22</v>
      </c>
      <c r="G739" t="s">
        <v>23</v>
      </c>
      <c r="H739" t="s">
        <v>17</v>
      </c>
      <c r="I739" s="2">
        <v>15330</v>
      </c>
      <c r="J739" t="b">
        <v>1</v>
      </c>
      <c r="K739" t="b">
        <v>0</v>
      </c>
      <c r="L739" t="b">
        <v>0</v>
      </c>
      <c r="M739" t="str">
        <f t="shared" si="22"/>
        <v>YOUTUBE</v>
      </c>
      <c r="N739" t="str">
        <f t="shared" si="23"/>
        <v>Sub_Urban-YOUTUBE</v>
      </c>
      <c r="O739">
        <v>15330</v>
      </c>
    </row>
    <row r="740" spans="1:15" x14ac:dyDescent="0.3">
      <c r="A740">
        <v>23</v>
      </c>
      <c r="B740" t="s">
        <v>18</v>
      </c>
      <c r="C740" s="1">
        <v>6</v>
      </c>
      <c r="D740" t="s">
        <v>13</v>
      </c>
      <c r="E740" t="s">
        <v>20</v>
      </c>
      <c r="F740" t="s">
        <v>27</v>
      </c>
      <c r="G740" t="s">
        <v>29</v>
      </c>
      <c r="H740" t="s">
        <v>21</v>
      </c>
      <c r="I740" s="2">
        <v>14655</v>
      </c>
      <c r="J740" t="b">
        <v>0</v>
      </c>
      <c r="K740" t="b">
        <v>0</v>
      </c>
      <c r="L740" t="b">
        <v>1</v>
      </c>
      <c r="M740" t="str">
        <f t="shared" si="22"/>
        <v>INSTAGRAM</v>
      </c>
      <c r="N740" t="str">
        <f t="shared" si="23"/>
        <v>Rural-INSTAGRAM</v>
      </c>
      <c r="O740">
        <v>14655</v>
      </c>
    </row>
    <row r="741" spans="1:15" x14ac:dyDescent="0.3">
      <c r="A741">
        <v>45</v>
      </c>
      <c r="B741" t="s">
        <v>25</v>
      </c>
      <c r="C741" s="1">
        <v>7</v>
      </c>
      <c r="D741" t="s">
        <v>19</v>
      </c>
      <c r="E741" t="s">
        <v>14</v>
      </c>
      <c r="F741" t="s">
        <v>22</v>
      </c>
      <c r="G741" t="s">
        <v>23</v>
      </c>
      <c r="H741" t="s">
        <v>24</v>
      </c>
      <c r="I741" s="2">
        <v>11109</v>
      </c>
      <c r="J741" t="b">
        <v>0</v>
      </c>
      <c r="K741" t="b">
        <v>1</v>
      </c>
      <c r="L741" t="b">
        <v>0</v>
      </c>
      <c r="M741" t="str">
        <f t="shared" si="22"/>
        <v>FACEBOOK</v>
      </c>
      <c r="N741" t="str">
        <f t="shared" si="23"/>
        <v>Sub_Urban-FACEBOOK</v>
      </c>
      <c r="O741">
        <v>11109</v>
      </c>
    </row>
    <row r="742" spans="1:15" x14ac:dyDescent="0.3">
      <c r="A742">
        <v>34</v>
      </c>
      <c r="B742" t="s">
        <v>25</v>
      </c>
      <c r="C742" s="1">
        <v>3</v>
      </c>
      <c r="D742" t="s">
        <v>28</v>
      </c>
      <c r="E742" t="s">
        <v>26</v>
      </c>
      <c r="F742" t="s">
        <v>22</v>
      </c>
      <c r="G742" t="s">
        <v>16</v>
      </c>
      <c r="H742" t="s">
        <v>21</v>
      </c>
      <c r="I742" s="2">
        <v>13771</v>
      </c>
      <c r="J742" t="b">
        <v>0</v>
      </c>
      <c r="K742" t="b">
        <v>1</v>
      </c>
      <c r="L742" t="b">
        <v>0</v>
      </c>
      <c r="M742" t="str">
        <f t="shared" si="22"/>
        <v>YOUTUBE</v>
      </c>
      <c r="N742" t="str">
        <f t="shared" si="23"/>
        <v>Urban-YOUTUBE</v>
      </c>
      <c r="O742">
        <v>13771</v>
      </c>
    </row>
    <row r="743" spans="1:15" x14ac:dyDescent="0.3">
      <c r="A743">
        <v>22</v>
      </c>
      <c r="B743" t="s">
        <v>18</v>
      </c>
      <c r="C743" s="1">
        <v>7</v>
      </c>
      <c r="D743" t="s">
        <v>13</v>
      </c>
      <c r="E743" t="s">
        <v>26</v>
      </c>
      <c r="F743" t="s">
        <v>27</v>
      </c>
      <c r="G743" t="s">
        <v>29</v>
      </c>
      <c r="H743" t="s">
        <v>21</v>
      </c>
      <c r="I743" s="2">
        <v>18563</v>
      </c>
      <c r="J743" t="b">
        <v>0</v>
      </c>
      <c r="K743" t="b">
        <v>1</v>
      </c>
      <c r="L743" t="b">
        <v>0</v>
      </c>
      <c r="M743" t="str">
        <f t="shared" si="22"/>
        <v>INSTAGRAM</v>
      </c>
      <c r="N743" t="str">
        <f t="shared" si="23"/>
        <v>Rural-INSTAGRAM</v>
      </c>
      <c r="O743">
        <v>18563</v>
      </c>
    </row>
    <row r="744" spans="1:15" x14ac:dyDescent="0.3">
      <c r="A744">
        <v>48</v>
      </c>
      <c r="B744" t="s">
        <v>12</v>
      </c>
      <c r="C744" s="1">
        <v>8</v>
      </c>
      <c r="D744" t="s">
        <v>13</v>
      </c>
      <c r="E744" t="s">
        <v>20</v>
      </c>
      <c r="F744" t="s">
        <v>22</v>
      </c>
      <c r="G744" t="s">
        <v>23</v>
      </c>
      <c r="H744" t="s">
        <v>17</v>
      </c>
      <c r="I744" s="2">
        <v>16123</v>
      </c>
      <c r="J744" t="b">
        <v>1</v>
      </c>
      <c r="K744" t="b">
        <v>0</v>
      </c>
      <c r="L744" t="b">
        <v>1</v>
      </c>
      <c r="M744" t="str">
        <f t="shared" si="22"/>
        <v>INSTAGRAM</v>
      </c>
      <c r="N744" t="str">
        <f t="shared" si="23"/>
        <v>Sub_Urban-INSTAGRAM</v>
      </c>
      <c r="O744">
        <v>16123</v>
      </c>
    </row>
    <row r="745" spans="1:15" x14ac:dyDescent="0.3">
      <c r="A745">
        <v>22</v>
      </c>
      <c r="B745" t="s">
        <v>12</v>
      </c>
      <c r="C745" s="1">
        <v>6</v>
      </c>
      <c r="D745" t="s">
        <v>28</v>
      </c>
      <c r="E745" t="s">
        <v>20</v>
      </c>
      <c r="F745" t="s">
        <v>22</v>
      </c>
      <c r="G745" t="s">
        <v>23</v>
      </c>
      <c r="H745" t="s">
        <v>17</v>
      </c>
      <c r="I745" s="2">
        <v>17647</v>
      </c>
      <c r="J745" t="b">
        <v>0</v>
      </c>
      <c r="K745" t="b">
        <v>0</v>
      </c>
      <c r="L745" t="b">
        <v>0</v>
      </c>
      <c r="M745" t="str">
        <f t="shared" si="22"/>
        <v>YOUTUBE</v>
      </c>
      <c r="N745" t="str">
        <f t="shared" si="23"/>
        <v>Sub_Urban-YOUTUBE</v>
      </c>
      <c r="O745">
        <v>17647</v>
      </c>
    </row>
    <row r="746" spans="1:15" x14ac:dyDescent="0.3">
      <c r="A746">
        <v>55</v>
      </c>
      <c r="B746" t="s">
        <v>18</v>
      </c>
      <c r="C746" s="1">
        <v>9</v>
      </c>
      <c r="D746" t="s">
        <v>28</v>
      </c>
      <c r="E746" t="s">
        <v>26</v>
      </c>
      <c r="F746" t="s">
        <v>27</v>
      </c>
      <c r="G746" t="s">
        <v>23</v>
      </c>
      <c r="H746" t="s">
        <v>17</v>
      </c>
      <c r="I746" s="2">
        <v>11174</v>
      </c>
      <c r="J746" t="b">
        <v>1</v>
      </c>
      <c r="K746" t="b">
        <v>1</v>
      </c>
      <c r="L746" t="b">
        <v>1</v>
      </c>
      <c r="M746" t="str">
        <f t="shared" si="22"/>
        <v>YOUTUBE</v>
      </c>
      <c r="N746" t="str">
        <f t="shared" si="23"/>
        <v>Sub_Urban-YOUTUBE</v>
      </c>
      <c r="O746">
        <v>11174</v>
      </c>
    </row>
    <row r="747" spans="1:15" x14ac:dyDescent="0.3">
      <c r="A747">
        <v>20</v>
      </c>
      <c r="B747" t="s">
        <v>18</v>
      </c>
      <c r="C747" s="1">
        <v>6</v>
      </c>
      <c r="D747" t="s">
        <v>28</v>
      </c>
      <c r="E747" t="s">
        <v>14</v>
      </c>
      <c r="F747" t="s">
        <v>22</v>
      </c>
      <c r="G747" t="s">
        <v>16</v>
      </c>
      <c r="H747" t="s">
        <v>17</v>
      </c>
      <c r="I747" s="2">
        <v>11164</v>
      </c>
      <c r="J747" t="b">
        <v>1</v>
      </c>
      <c r="K747" t="b">
        <v>1</v>
      </c>
      <c r="L747" t="b">
        <v>1</v>
      </c>
      <c r="M747" t="str">
        <f t="shared" si="22"/>
        <v>YOUTUBE</v>
      </c>
      <c r="N747" t="str">
        <f t="shared" si="23"/>
        <v>Urban-YOUTUBE</v>
      </c>
      <c r="O747">
        <v>11164</v>
      </c>
    </row>
    <row r="748" spans="1:15" x14ac:dyDescent="0.3">
      <c r="A748">
        <v>40</v>
      </c>
      <c r="B748" t="s">
        <v>25</v>
      </c>
      <c r="C748" s="1">
        <v>9</v>
      </c>
      <c r="D748" t="s">
        <v>13</v>
      </c>
      <c r="E748" t="s">
        <v>26</v>
      </c>
      <c r="F748" t="s">
        <v>15</v>
      </c>
      <c r="G748" t="s">
        <v>29</v>
      </c>
      <c r="H748" t="s">
        <v>17</v>
      </c>
      <c r="I748" s="2">
        <v>19284</v>
      </c>
      <c r="J748" t="b">
        <v>1</v>
      </c>
      <c r="K748" t="b">
        <v>0</v>
      </c>
      <c r="L748" t="b">
        <v>0</v>
      </c>
      <c r="M748" t="str">
        <f t="shared" si="22"/>
        <v>INSTAGRAM</v>
      </c>
      <c r="N748" t="str">
        <f t="shared" si="23"/>
        <v>Rural-INSTAGRAM</v>
      </c>
      <c r="O748">
        <v>19284</v>
      </c>
    </row>
    <row r="749" spans="1:15" x14ac:dyDescent="0.3">
      <c r="A749">
        <v>54</v>
      </c>
      <c r="B749" t="s">
        <v>12</v>
      </c>
      <c r="C749" s="1">
        <v>4</v>
      </c>
      <c r="D749" t="s">
        <v>28</v>
      </c>
      <c r="E749" t="s">
        <v>26</v>
      </c>
      <c r="F749" t="s">
        <v>22</v>
      </c>
      <c r="G749" t="s">
        <v>16</v>
      </c>
      <c r="H749" t="s">
        <v>17</v>
      </c>
      <c r="I749" s="2">
        <v>19475</v>
      </c>
      <c r="J749" t="b">
        <v>0</v>
      </c>
      <c r="K749" t="b">
        <v>1</v>
      </c>
      <c r="L749" t="b">
        <v>1</v>
      </c>
      <c r="M749" t="str">
        <f t="shared" si="22"/>
        <v>YOUTUBE</v>
      </c>
      <c r="N749" t="str">
        <f t="shared" si="23"/>
        <v>Urban-YOUTUBE</v>
      </c>
      <c r="O749">
        <v>19475</v>
      </c>
    </row>
    <row r="750" spans="1:15" x14ac:dyDescent="0.3">
      <c r="A750">
        <v>54</v>
      </c>
      <c r="B750" t="s">
        <v>18</v>
      </c>
      <c r="C750" s="1">
        <v>8</v>
      </c>
      <c r="D750" t="s">
        <v>13</v>
      </c>
      <c r="E750" t="s">
        <v>26</v>
      </c>
      <c r="F750" t="s">
        <v>15</v>
      </c>
      <c r="G750" t="s">
        <v>16</v>
      </c>
      <c r="H750" t="s">
        <v>24</v>
      </c>
      <c r="I750" s="2">
        <v>19037</v>
      </c>
      <c r="J750" t="b">
        <v>1</v>
      </c>
      <c r="K750" t="b">
        <v>0</v>
      </c>
      <c r="L750" t="b">
        <v>1</v>
      </c>
      <c r="M750" t="str">
        <f t="shared" si="22"/>
        <v>INSTAGRAM</v>
      </c>
      <c r="N750" t="str">
        <f t="shared" si="23"/>
        <v>Urban-INSTAGRAM</v>
      </c>
      <c r="O750">
        <v>19037</v>
      </c>
    </row>
    <row r="751" spans="1:15" x14ac:dyDescent="0.3">
      <c r="A751">
        <v>27</v>
      </c>
      <c r="B751" t="s">
        <v>12</v>
      </c>
      <c r="C751" s="1">
        <v>4</v>
      </c>
      <c r="D751" t="s">
        <v>28</v>
      </c>
      <c r="E751" t="s">
        <v>26</v>
      </c>
      <c r="F751" t="s">
        <v>22</v>
      </c>
      <c r="G751" t="s">
        <v>16</v>
      </c>
      <c r="H751" t="s">
        <v>21</v>
      </c>
      <c r="I751" s="2">
        <v>18712</v>
      </c>
      <c r="J751" t="b">
        <v>1</v>
      </c>
      <c r="K751" t="b">
        <v>0</v>
      </c>
      <c r="L751" t="b">
        <v>0</v>
      </c>
      <c r="M751" t="str">
        <f t="shared" si="22"/>
        <v>YOUTUBE</v>
      </c>
      <c r="N751" t="str">
        <f t="shared" si="23"/>
        <v>Urban-YOUTUBE</v>
      </c>
      <c r="O751">
        <v>18712</v>
      </c>
    </row>
    <row r="752" spans="1:15" x14ac:dyDescent="0.3">
      <c r="A752">
        <v>27</v>
      </c>
      <c r="B752" t="s">
        <v>18</v>
      </c>
      <c r="C752" s="1">
        <v>2</v>
      </c>
      <c r="D752" t="s">
        <v>13</v>
      </c>
      <c r="E752" t="s">
        <v>20</v>
      </c>
      <c r="F752" t="s">
        <v>27</v>
      </c>
      <c r="G752" t="s">
        <v>29</v>
      </c>
      <c r="H752" t="s">
        <v>21</v>
      </c>
      <c r="I752" s="2">
        <v>14466</v>
      </c>
      <c r="J752" t="b">
        <v>0</v>
      </c>
      <c r="K752" t="b">
        <v>1</v>
      </c>
      <c r="L752" t="b">
        <v>0</v>
      </c>
      <c r="M752" t="str">
        <f t="shared" si="22"/>
        <v>INSTAGRAM</v>
      </c>
      <c r="N752" t="str">
        <f t="shared" si="23"/>
        <v>Rural-INSTAGRAM</v>
      </c>
      <c r="O752">
        <v>14466</v>
      </c>
    </row>
    <row r="753" spans="1:15" x14ac:dyDescent="0.3">
      <c r="A753">
        <v>36</v>
      </c>
      <c r="B753" t="s">
        <v>18</v>
      </c>
      <c r="C753" s="1">
        <v>9</v>
      </c>
      <c r="D753" t="s">
        <v>13</v>
      </c>
      <c r="E753" t="s">
        <v>20</v>
      </c>
      <c r="F753" t="s">
        <v>27</v>
      </c>
      <c r="G753" t="s">
        <v>16</v>
      </c>
      <c r="H753" t="s">
        <v>21</v>
      </c>
      <c r="I753" s="2">
        <v>15538</v>
      </c>
      <c r="J753" t="b">
        <v>0</v>
      </c>
      <c r="K753" t="b">
        <v>1</v>
      </c>
      <c r="L753" t="b">
        <v>0</v>
      </c>
      <c r="M753" t="str">
        <f t="shared" si="22"/>
        <v>INSTAGRAM</v>
      </c>
      <c r="N753" t="str">
        <f t="shared" si="23"/>
        <v>Urban-INSTAGRAM</v>
      </c>
      <c r="O753">
        <v>15538</v>
      </c>
    </row>
    <row r="754" spans="1:15" x14ac:dyDescent="0.3">
      <c r="A754">
        <v>34</v>
      </c>
      <c r="B754" t="s">
        <v>12</v>
      </c>
      <c r="C754" s="1">
        <v>5</v>
      </c>
      <c r="D754" t="s">
        <v>19</v>
      </c>
      <c r="E754" t="s">
        <v>14</v>
      </c>
      <c r="F754" t="s">
        <v>22</v>
      </c>
      <c r="G754" t="s">
        <v>16</v>
      </c>
      <c r="H754" t="s">
        <v>24</v>
      </c>
      <c r="I754" s="2">
        <v>17111</v>
      </c>
      <c r="J754" t="b">
        <v>0</v>
      </c>
      <c r="K754" t="b">
        <v>0</v>
      </c>
      <c r="L754" t="b">
        <v>0</v>
      </c>
      <c r="M754" t="str">
        <f t="shared" si="22"/>
        <v>FACEBOOK</v>
      </c>
      <c r="N754" t="str">
        <f t="shared" si="23"/>
        <v>Urban-FACEBOOK</v>
      </c>
      <c r="O754">
        <v>17111</v>
      </c>
    </row>
    <row r="755" spans="1:15" x14ac:dyDescent="0.3">
      <c r="A755">
        <v>38</v>
      </c>
      <c r="B755" t="s">
        <v>18</v>
      </c>
      <c r="C755" s="1">
        <v>4</v>
      </c>
      <c r="D755" t="s">
        <v>28</v>
      </c>
      <c r="E755" t="s">
        <v>14</v>
      </c>
      <c r="F755" t="s">
        <v>27</v>
      </c>
      <c r="G755" t="s">
        <v>16</v>
      </c>
      <c r="H755" t="s">
        <v>21</v>
      </c>
      <c r="I755" s="2">
        <v>18434</v>
      </c>
      <c r="J755" t="b">
        <v>1</v>
      </c>
      <c r="K755" t="b">
        <v>0</v>
      </c>
      <c r="L755" t="b">
        <v>0</v>
      </c>
      <c r="M755" t="str">
        <f t="shared" si="22"/>
        <v>YOUTUBE</v>
      </c>
      <c r="N755" t="str">
        <f t="shared" si="23"/>
        <v>Urban-YOUTUBE</v>
      </c>
      <c r="O755">
        <v>18434</v>
      </c>
    </row>
    <row r="756" spans="1:15" x14ac:dyDescent="0.3">
      <c r="A756">
        <v>31</v>
      </c>
      <c r="B756" t="s">
        <v>18</v>
      </c>
      <c r="C756" s="1">
        <v>2</v>
      </c>
      <c r="D756" t="s">
        <v>28</v>
      </c>
      <c r="E756" t="s">
        <v>14</v>
      </c>
      <c r="F756" t="s">
        <v>22</v>
      </c>
      <c r="G756" t="s">
        <v>16</v>
      </c>
      <c r="H756" t="s">
        <v>24</v>
      </c>
      <c r="I756" s="2">
        <v>12800</v>
      </c>
      <c r="J756" t="b">
        <v>0</v>
      </c>
      <c r="K756" t="b">
        <v>0</v>
      </c>
      <c r="L756" t="b">
        <v>0</v>
      </c>
      <c r="M756" t="str">
        <f t="shared" si="22"/>
        <v>YOUTUBE</v>
      </c>
      <c r="N756" t="str">
        <f t="shared" si="23"/>
        <v>Urban-YOUTUBE</v>
      </c>
      <c r="O756">
        <v>12800</v>
      </c>
    </row>
    <row r="757" spans="1:15" x14ac:dyDescent="0.3">
      <c r="A757">
        <v>26</v>
      </c>
      <c r="B757" t="s">
        <v>25</v>
      </c>
      <c r="C757" s="1">
        <v>1</v>
      </c>
      <c r="D757" t="s">
        <v>13</v>
      </c>
      <c r="E757" t="s">
        <v>14</v>
      </c>
      <c r="F757" t="s">
        <v>27</v>
      </c>
      <c r="G757" t="s">
        <v>23</v>
      </c>
      <c r="H757" t="s">
        <v>24</v>
      </c>
      <c r="I757" s="2">
        <v>14607</v>
      </c>
      <c r="J757" t="b">
        <v>1</v>
      </c>
      <c r="K757" t="b">
        <v>0</v>
      </c>
      <c r="L757" t="b">
        <v>1</v>
      </c>
      <c r="M757" t="str">
        <f t="shared" si="22"/>
        <v>INSTAGRAM</v>
      </c>
      <c r="N757" t="str">
        <f t="shared" si="23"/>
        <v>Sub_Urban-INSTAGRAM</v>
      </c>
      <c r="O757">
        <v>14607</v>
      </c>
    </row>
    <row r="758" spans="1:15" x14ac:dyDescent="0.3">
      <c r="A758">
        <v>63</v>
      </c>
      <c r="B758" t="s">
        <v>18</v>
      </c>
      <c r="C758" s="1">
        <v>7</v>
      </c>
      <c r="D758" t="s">
        <v>13</v>
      </c>
      <c r="E758" t="s">
        <v>26</v>
      </c>
      <c r="F758" t="s">
        <v>15</v>
      </c>
      <c r="G758" t="s">
        <v>16</v>
      </c>
      <c r="H758" t="s">
        <v>24</v>
      </c>
      <c r="I758" s="2">
        <v>17262</v>
      </c>
      <c r="J758" t="b">
        <v>1</v>
      </c>
      <c r="K758" t="b">
        <v>0</v>
      </c>
      <c r="L758" t="b">
        <v>0</v>
      </c>
      <c r="M758" t="str">
        <f t="shared" si="22"/>
        <v>INSTAGRAM</v>
      </c>
      <c r="N758" t="str">
        <f t="shared" si="23"/>
        <v>Urban-INSTAGRAM</v>
      </c>
      <c r="O758">
        <v>17262</v>
      </c>
    </row>
    <row r="759" spans="1:15" x14ac:dyDescent="0.3">
      <c r="A759">
        <v>18</v>
      </c>
      <c r="B759" t="s">
        <v>18</v>
      </c>
      <c r="C759" s="1">
        <v>6</v>
      </c>
      <c r="D759" t="s">
        <v>13</v>
      </c>
      <c r="E759" t="s">
        <v>20</v>
      </c>
      <c r="F759" t="s">
        <v>22</v>
      </c>
      <c r="G759" t="s">
        <v>23</v>
      </c>
      <c r="H759" t="s">
        <v>21</v>
      </c>
      <c r="I759" s="2">
        <v>11541</v>
      </c>
      <c r="J759" t="b">
        <v>0</v>
      </c>
      <c r="K759" t="b">
        <v>1</v>
      </c>
      <c r="L759" t="b">
        <v>0</v>
      </c>
      <c r="M759" t="str">
        <f t="shared" si="22"/>
        <v>INSTAGRAM</v>
      </c>
      <c r="N759" t="str">
        <f t="shared" si="23"/>
        <v>Sub_Urban-INSTAGRAM</v>
      </c>
      <c r="O759">
        <v>11541</v>
      </c>
    </row>
    <row r="760" spans="1:15" x14ac:dyDescent="0.3">
      <c r="A760">
        <v>62</v>
      </c>
      <c r="B760" t="s">
        <v>18</v>
      </c>
      <c r="C760" s="1">
        <v>2</v>
      </c>
      <c r="D760" t="s">
        <v>19</v>
      </c>
      <c r="E760" t="s">
        <v>20</v>
      </c>
      <c r="F760" t="s">
        <v>15</v>
      </c>
      <c r="G760" t="s">
        <v>16</v>
      </c>
      <c r="H760" t="s">
        <v>24</v>
      </c>
      <c r="I760" s="2">
        <v>12765</v>
      </c>
      <c r="J760" t="b">
        <v>1</v>
      </c>
      <c r="K760" t="b">
        <v>0</v>
      </c>
      <c r="L760" t="b">
        <v>1</v>
      </c>
      <c r="M760" t="str">
        <f t="shared" si="22"/>
        <v>FACEBOOK</v>
      </c>
      <c r="N760" t="str">
        <f t="shared" si="23"/>
        <v>Urban-FACEBOOK</v>
      </c>
      <c r="O760">
        <v>12765</v>
      </c>
    </row>
    <row r="761" spans="1:15" x14ac:dyDescent="0.3">
      <c r="A761">
        <v>30</v>
      </c>
      <c r="B761" t="s">
        <v>25</v>
      </c>
      <c r="C761" s="1">
        <v>8</v>
      </c>
      <c r="D761" t="s">
        <v>19</v>
      </c>
      <c r="E761" t="s">
        <v>14</v>
      </c>
      <c r="F761" t="s">
        <v>15</v>
      </c>
      <c r="G761" t="s">
        <v>29</v>
      </c>
      <c r="H761" t="s">
        <v>21</v>
      </c>
      <c r="I761" s="2">
        <v>14491</v>
      </c>
      <c r="J761" t="b">
        <v>1</v>
      </c>
      <c r="K761" t="b">
        <v>0</v>
      </c>
      <c r="L761" t="b">
        <v>0</v>
      </c>
      <c r="M761" t="str">
        <f t="shared" si="22"/>
        <v>FACEBOOK</v>
      </c>
      <c r="N761" t="str">
        <f t="shared" si="23"/>
        <v>Rural-FACEBOOK</v>
      </c>
      <c r="O761">
        <v>14491</v>
      </c>
    </row>
    <row r="762" spans="1:15" x14ac:dyDescent="0.3">
      <c r="A762">
        <v>21</v>
      </c>
      <c r="B762" t="s">
        <v>12</v>
      </c>
      <c r="C762" s="1">
        <v>4</v>
      </c>
      <c r="D762" t="s">
        <v>13</v>
      </c>
      <c r="E762" t="s">
        <v>14</v>
      </c>
      <c r="F762" t="s">
        <v>22</v>
      </c>
      <c r="G762" t="s">
        <v>23</v>
      </c>
      <c r="H762" t="s">
        <v>21</v>
      </c>
      <c r="I762" s="2">
        <v>13083</v>
      </c>
      <c r="J762" t="b">
        <v>1</v>
      </c>
      <c r="K762" t="b">
        <v>0</v>
      </c>
      <c r="L762" t="b">
        <v>1</v>
      </c>
      <c r="M762" t="str">
        <f t="shared" si="22"/>
        <v>INSTAGRAM</v>
      </c>
      <c r="N762" t="str">
        <f t="shared" si="23"/>
        <v>Sub_Urban-INSTAGRAM</v>
      </c>
      <c r="O762">
        <v>13083</v>
      </c>
    </row>
    <row r="763" spans="1:15" x14ac:dyDescent="0.3">
      <c r="A763">
        <v>18</v>
      </c>
      <c r="B763" t="s">
        <v>25</v>
      </c>
      <c r="C763" s="1">
        <v>8</v>
      </c>
      <c r="D763" t="s">
        <v>28</v>
      </c>
      <c r="E763" t="s">
        <v>26</v>
      </c>
      <c r="F763" t="s">
        <v>15</v>
      </c>
      <c r="G763" t="s">
        <v>23</v>
      </c>
      <c r="H763" t="s">
        <v>17</v>
      </c>
      <c r="I763" s="2">
        <v>15356</v>
      </c>
      <c r="J763" t="b">
        <v>1</v>
      </c>
      <c r="K763" t="b">
        <v>1</v>
      </c>
      <c r="L763" t="b">
        <v>0</v>
      </c>
      <c r="M763" t="str">
        <f t="shared" si="22"/>
        <v>YOUTUBE</v>
      </c>
      <c r="N763" t="str">
        <f t="shared" si="23"/>
        <v>Sub_Urban-YOUTUBE</v>
      </c>
      <c r="O763">
        <v>15356</v>
      </c>
    </row>
    <row r="764" spans="1:15" x14ac:dyDescent="0.3">
      <c r="A764">
        <v>57</v>
      </c>
      <c r="B764" t="s">
        <v>25</v>
      </c>
      <c r="C764" s="1">
        <v>7</v>
      </c>
      <c r="D764" t="s">
        <v>28</v>
      </c>
      <c r="E764" t="s">
        <v>26</v>
      </c>
      <c r="F764" t="s">
        <v>22</v>
      </c>
      <c r="G764" t="s">
        <v>23</v>
      </c>
      <c r="H764" t="s">
        <v>17</v>
      </c>
      <c r="I764" s="2">
        <v>11857</v>
      </c>
      <c r="J764" t="b">
        <v>0</v>
      </c>
      <c r="K764" t="b">
        <v>1</v>
      </c>
      <c r="L764" t="b">
        <v>0</v>
      </c>
      <c r="M764" t="str">
        <f t="shared" si="22"/>
        <v>YOUTUBE</v>
      </c>
      <c r="N764" t="str">
        <f t="shared" si="23"/>
        <v>Sub_Urban-YOUTUBE</v>
      </c>
      <c r="O764">
        <v>11857</v>
      </c>
    </row>
    <row r="765" spans="1:15" x14ac:dyDescent="0.3">
      <c r="A765">
        <v>49</v>
      </c>
      <c r="B765" t="s">
        <v>12</v>
      </c>
      <c r="C765" s="1">
        <v>5</v>
      </c>
      <c r="D765" t="s">
        <v>19</v>
      </c>
      <c r="E765" t="s">
        <v>14</v>
      </c>
      <c r="F765" t="s">
        <v>15</v>
      </c>
      <c r="G765" t="s">
        <v>23</v>
      </c>
      <c r="H765" t="s">
        <v>24</v>
      </c>
      <c r="I765" s="2">
        <v>10769</v>
      </c>
      <c r="J765" t="b">
        <v>1</v>
      </c>
      <c r="K765" t="b">
        <v>0</v>
      </c>
      <c r="L765" t="b">
        <v>1</v>
      </c>
      <c r="M765" t="str">
        <f t="shared" si="22"/>
        <v>FACEBOOK</v>
      </c>
      <c r="N765" t="str">
        <f t="shared" si="23"/>
        <v>Sub_Urban-FACEBOOK</v>
      </c>
      <c r="O765">
        <v>10769</v>
      </c>
    </row>
    <row r="766" spans="1:15" x14ac:dyDescent="0.3">
      <c r="A766">
        <v>51</v>
      </c>
      <c r="B766" t="s">
        <v>25</v>
      </c>
      <c r="C766" s="1">
        <v>8</v>
      </c>
      <c r="D766" t="s">
        <v>19</v>
      </c>
      <c r="E766" t="s">
        <v>20</v>
      </c>
      <c r="F766" t="s">
        <v>22</v>
      </c>
      <c r="G766" t="s">
        <v>29</v>
      </c>
      <c r="H766" t="s">
        <v>24</v>
      </c>
      <c r="I766" s="2">
        <v>11422</v>
      </c>
      <c r="J766" t="b">
        <v>0</v>
      </c>
      <c r="K766" t="b">
        <v>0</v>
      </c>
      <c r="L766" t="b">
        <v>0</v>
      </c>
      <c r="M766" t="str">
        <f t="shared" si="22"/>
        <v>FACEBOOK</v>
      </c>
      <c r="N766" t="str">
        <f t="shared" si="23"/>
        <v>Rural-FACEBOOK</v>
      </c>
      <c r="O766">
        <v>11422</v>
      </c>
    </row>
    <row r="767" spans="1:15" x14ac:dyDescent="0.3">
      <c r="A767">
        <v>45</v>
      </c>
      <c r="B767" t="s">
        <v>12</v>
      </c>
      <c r="C767" s="1">
        <v>9</v>
      </c>
      <c r="D767" t="s">
        <v>13</v>
      </c>
      <c r="E767" t="s">
        <v>20</v>
      </c>
      <c r="F767" t="s">
        <v>22</v>
      </c>
      <c r="G767" t="s">
        <v>16</v>
      </c>
      <c r="H767" t="s">
        <v>21</v>
      </c>
      <c r="I767" s="2">
        <v>18598</v>
      </c>
      <c r="J767" t="b">
        <v>1</v>
      </c>
      <c r="K767" t="b">
        <v>1</v>
      </c>
      <c r="L767" t="b">
        <v>1</v>
      </c>
      <c r="M767" t="str">
        <f t="shared" si="22"/>
        <v>INSTAGRAM</v>
      </c>
      <c r="N767" t="str">
        <f t="shared" si="23"/>
        <v>Urban-INSTAGRAM</v>
      </c>
      <c r="O767">
        <v>18598</v>
      </c>
    </row>
    <row r="768" spans="1:15" x14ac:dyDescent="0.3">
      <c r="A768">
        <v>48</v>
      </c>
      <c r="B768" t="s">
        <v>25</v>
      </c>
      <c r="C768" s="1">
        <v>5</v>
      </c>
      <c r="D768" t="s">
        <v>28</v>
      </c>
      <c r="E768" t="s">
        <v>20</v>
      </c>
      <c r="F768" t="s">
        <v>27</v>
      </c>
      <c r="G768" t="s">
        <v>23</v>
      </c>
      <c r="H768" t="s">
        <v>24</v>
      </c>
      <c r="I768" s="2">
        <v>12972</v>
      </c>
      <c r="J768" t="b">
        <v>1</v>
      </c>
      <c r="K768" t="b">
        <v>1</v>
      </c>
      <c r="L768" t="b">
        <v>0</v>
      </c>
      <c r="M768" t="str">
        <f t="shared" si="22"/>
        <v>YOUTUBE</v>
      </c>
      <c r="N768" t="str">
        <f t="shared" si="23"/>
        <v>Sub_Urban-YOUTUBE</v>
      </c>
      <c r="O768">
        <v>12972</v>
      </c>
    </row>
    <row r="769" spans="1:15" x14ac:dyDescent="0.3">
      <c r="A769">
        <v>25</v>
      </c>
      <c r="B769" t="s">
        <v>12</v>
      </c>
      <c r="C769" s="1">
        <v>5</v>
      </c>
      <c r="D769" t="s">
        <v>13</v>
      </c>
      <c r="E769" t="s">
        <v>14</v>
      </c>
      <c r="F769" t="s">
        <v>22</v>
      </c>
      <c r="G769" t="s">
        <v>29</v>
      </c>
      <c r="H769" t="s">
        <v>24</v>
      </c>
      <c r="I769" s="2">
        <v>11872</v>
      </c>
      <c r="J769" t="b">
        <v>0</v>
      </c>
      <c r="K769" t="b">
        <v>1</v>
      </c>
      <c r="L769" t="b">
        <v>0</v>
      </c>
      <c r="M769" t="str">
        <f t="shared" si="22"/>
        <v>INSTAGRAM</v>
      </c>
      <c r="N769" t="str">
        <f t="shared" si="23"/>
        <v>Rural-INSTAGRAM</v>
      </c>
      <c r="O769">
        <v>11872</v>
      </c>
    </row>
    <row r="770" spans="1:15" x14ac:dyDescent="0.3">
      <c r="A770">
        <v>56</v>
      </c>
      <c r="B770" t="s">
        <v>18</v>
      </c>
      <c r="C770" s="1">
        <v>2</v>
      </c>
      <c r="D770" t="s">
        <v>19</v>
      </c>
      <c r="E770" t="s">
        <v>20</v>
      </c>
      <c r="F770" t="s">
        <v>22</v>
      </c>
      <c r="G770" t="s">
        <v>23</v>
      </c>
      <c r="H770" t="s">
        <v>21</v>
      </c>
      <c r="I770" s="2">
        <v>15599</v>
      </c>
      <c r="J770" t="b">
        <v>1</v>
      </c>
      <c r="K770" t="b">
        <v>1</v>
      </c>
      <c r="L770" t="b">
        <v>1</v>
      </c>
      <c r="M770" t="str">
        <f t="shared" ref="M770:M833" si="24">UPPER(D770)</f>
        <v>FACEBOOK</v>
      </c>
      <c r="N770" t="str">
        <f t="shared" ref="N770:N833" si="25">_xlfn.CONCAT(G770,"-",M770)</f>
        <v>Sub_Urban-FACEBOOK</v>
      </c>
      <c r="O770">
        <v>15599</v>
      </c>
    </row>
    <row r="771" spans="1:15" x14ac:dyDescent="0.3">
      <c r="A771">
        <v>43</v>
      </c>
      <c r="B771" t="s">
        <v>25</v>
      </c>
      <c r="C771" s="1">
        <v>5</v>
      </c>
      <c r="D771" t="s">
        <v>28</v>
      </c>
      <c r="E771" t="s">
        <v>26</v>
      </c>
      <c r="F771" t="s">
        <v>15</v>
      </c>
      <c r="G771" t="s">
        <v>16</v>
      </c>
      <c r="H771" t="s">
        <v>24</v>
      </c>
      <c r="I771" s="2">
        <v>12269</v>
      </c>
      <c r="J771" t="b">
        <v>1</v>
      </c>
      <c r="K771" t="b">
        <v>0</v>
      </c>
      <c r="L771" t="b">
        <v>0</v>
      </c>
      <c r="M771" t="str">
        <f t="shared" si="24"/>
        <v>YOUTUBE</v>
      </c>
      <c r="N771" t="str">
        <f t="shared" si="25"/>
        <v>Urban-YOUTUBE</v>
      </c>
      <c r="O771">
        <v>12269</v>
      </c>
    </row>
    <row r="772" spans="1:15" x14ac:dyDescent="0.3">
      <c r="A772">
        <v>51</v>
      </c>
      <c r="B772" t="s">
        <v>25</v>
      </c>
      <c r="C772" s="1">
        <v>3</v>
      </c>
      <c r="D772" t="s">
        <v>28</v>
      </c>
      <c r="E772" t="s">
        <v>26</v>
      </c>
      <c r="F772" t="s">
        <v>22</v>
      </c>
      <c r="G772" t="s">
        <v>23</v>
      </c>
      <c r="H772" t="s">
        <v>24</v>
      </c>
      <c r="I772" s="2">
        <v>15275</v>
      </c>
      <c r="J772" t="b">
        <v>1</v>
      </c>
      <c r="K772" t="b">
        <v>1</v>
      </c>
      <c r="L772" t="b">
        <v>0</v>
      </c>
      <c r="M772" t="str">
        <f t="shared" si="24"/>
        <v>YOUTUBE</v>
      </c>
      <c r="N772" t="str">
        <f t="shared" si="25"/>
        <v>Sub_Urban-YOUTUBE</v>
      </c>
      <c r="O772">
        <v>15275</v>
      </c>
    </row>
    <row r="773" spans="1:15" x14ac:dyDescent="0.3">
      <c r="A773">
        <v>20</v>
      </c>
      <c r="B773" t="s">
        <v>25</v>
      </c>
      <c r="C773" s="1">
        <v>7</v>
      </c>
      <c r="D773" t="s">
        <v>19</v>
      </c>
      <c r="E773" t="s">
        <v>14</v>
      </c>
      <c r="F773" t="s">
        <v>27</v>
      </c>
      <c r="G773" t="s">
        <v>29</v>
      </c>
      <c r="H773" t="s">
        <v>21</v>
      </c>
      <c r="I773" s="2">
        <v>14749</v>
      </c>
      <c r="J773" t="b">
        <v>1</v>
      </c>
      <c r="K773" t="b">
        <v>0</v>
      </c>
      <c r="L773" t="b">
        <v>1</v>
      </c>
      <c r="M773" t="str">
        <f t="shared" si="24"/>
        <v>FACEBOOK</v>
      </c>
      <c r="N773" t="str">
        <f t="shared" si="25"/>
        <v>Rural-FACEBOOK</v>
      </c>
      <c r="O773">
        <v>14749</v>
      </c>
    </row>
    <row r="774" spans="1:15" x14ac:dyDescent="0.3">
      <c r="A774">
        <v>29</v>
      </c>
      <c r="B774" t="s">
        <v>25</v>
      </c>
      <c r="C774" s="1">
        <v>5</v>
      </c>
      <c r="D774" t="s">
        <v>13</v>
      </c>
      <c r="E774" t="s">
        <v>26</v>
      </c>
      <c r="F774" t="s">
        <v>15</v>
      </c>
      <c r="G774" t="s">
        <v>16</v>
      </c>
      <c r="H774" t="s">
        <v>21</v>
      </c>
      <c r="I774" s="2">
        <v>16571</v>
      </c>
      <c r="J774" t="b">
        <v>1</v>
      </c>
      <c r="K774" t="b">
        <v>0</v>
      </c>
      <c r="L774" t="b">
        <v>0</v>
      </c>
      <c r="M774" t="str">
        <f t="shared" si="24"/>
        <v>INSTAGRAM</v>
      </c>
      <c r="N774" t="str">
        <f t="shared" si="25"/>
        <v>Urban-INSTAGRAM</v>
      </c>
      <c r="O774">
        <v>16571</v>
      </c>
    </row>
    <row r="775" spans="1:15" x14ac:dyDescent="0.3">
      <c r="A775">
        <v>18</v>
      </c>
      <c r="B775" t="s">
        <v>18</v>
      </c>
      <c r="C775" s="1">
        <v>8</v>
      </c>
      <c r="D775" t="s">
        <v>13</v>
      </c>
      <c r="E775" t="s">
        <v>14</v>
      </c>
      <c r="F775" t="s">
        <v>15</v>
      </c>
      <c r="G775" t="s">
        <v>29</v>
      </c>
      <c r="H775" t="s">
        <v>17</v>
      </c>
      <c r="I775" s="2">
        <v>19373</v>
      </c>
      <c r="J775" t="b">
        <v>1</v>
      </c>
      <c r="K775" t="b">
        <v>1</v>
      </c>
      <c r="L775" t="b">
        <v>1</v>
      </c>
      <c r="M775" t="str">
        <f t="shared" si="24"/>
        <v>INSTAGRAM</v>
      </c>
      <c r="N775" t="str">
        <f t="shared" si="25"/>
        <v>Rural-INSTAGRAM</v>
      </c>
      <c r="O775">
        <v>19373</v>
      </c>
    </row>
    <row r="776" spans="1:15" x14ac:dyDescent="0.3">
      <c r="A776">
        <v>61</v>
      </c>
      <c r="B776" t="s">
        <v>25</v>
      </c>
      <c r="C776" s="1">
        <v>1</v>
      </c>
      <c r="D776" t="s">
        <v>28</v>
      </c>
      <c r="E776" t="s">
        <v>20</v>
      </c>
      <c r="F776" t="s">
        <v>27</v>
      </c>
      <c r="G776" t="s">
        <v>16</v>
      </c>
      <c r="H776" t="s">
        <v>21</v>
      </c>
      <c r="I776" s="2">
        <v>15072</v>
      </c>
      <c r="J776" t="b">
        <v>0</v>
      </c>
      <c r="K776" t="b">
        <v>1</v>
      </c>
      <c r="L776" t="b">
        <v>0</v>
      </c>
      <c r="M776" t="str">
        <f t="shared" si="24"/>
        <v>YOUTUBE</v>
      </c>
      <c r="N776" t="str">
        <f t="shared" si="25"/>
        <v>Urban-YOUTUBE</v>
      </c>
      <c r="O776">
        <v>15072</v>
      </c>
    </row>
    <row r="777" spans="1:15" x14ac:dyDescent="0.3">
      <c r="A777">
        <v>22</v>
      </c>
      <c r="B777" t="s">
        <v>18</v>
      </c>
      <c r="C777" s="1">
        <v>3</v>
      </c>
      <c r="D777" t="s">
        <v>19</v>
      </c>
      <c r="E777" t="s">
        <v>20</v>
      </c>
      <c r="F777" t="s">
        <v>15</v>
      </c>
      <c r="G777" t="s">
        <v>16</v>
      </c>
      <c r="H777" t="s">
        <v>17</v>
      </c>
      <c r="I777" s="2">
        <v>19631</v>
      </c>
      <c r="J777" t="b">
        <v>0</v>
      </c>
      <c r="K777" t="b">
        <v>1</v>
      </c>
      <c r="L777" t="b">
        <v>1</v>
      </c>
      <c r="M777" t="str">
        <f t="shared" si="24"/>
        <v>FACEBOOK</v>
      </c>
      <c r="N777" t="str">
        <f t="shared" si="25"/>
        <v>Urban-FACEBOOK</v>
      </c>
      <c r="O777">
        <v>19631</v>
      </c>
    </row>
    <row r="778" spans="1:15" x14ac:dyDescent="0.3">
      <c r="A778">
        <v>47</v>
      </c>
      <c r="B778" t="s">
        <v>18</v>
      </c>
      <c r="C778" s="1">
        <v>3</v>
      </c>
      <c r="D778" t="s">
        <v>28</v>
      </c>
      <c r="E778" t="s">
        <v>20</v>
      </c>
      <c r="F778" t="s">
        <v>15</v>
      </c>
      <c r="G778" t="s">
        <v>16</v>
      </c>
      <c r="H778" t="s">
        <v>24</v>
      </c>
      <c r="I778" s="2">
        <v>15463</v>
      </c>
      <c r="J778" t="b">
        <v>0</v>
      </c>
      <c r="K778" t="b">
        <v>1</v>
      </c>
      <c r="L778" t="b">
        <v>0</v>
      </c>
      <c r="M778" t="str">
        <f t="shared" si="24"/>
        <v>YOUTUBE</v>
      </c>
      <c r="N778" t="str">
        <f t="shared" si="25"/>
        <v>Urban-YOUTUBE</v>
      </c>
      <c r="O778">
        <v>15463</v>
      </c>
    </row>
    <row r="779" spans="1:15" x14ac:dyDescent="0.3">
      <c r="A779">
        <v>47</v>
      </c>
      <c r="B779" t="s">
        <v>18</v>
      </c>
      <c r="C779" s="1">
        <v>9</v>
      </c>
      <c r="D779" t="s">
        <v>19</v>
      </c>
      <c r="E779" t="s">
        <v>26</v>
      </c>
      <c r="F779" t="s">
        <v>15</v>
      </c>
      <c r="G779" t="s">
        <v>23</v>
      </c>
      <c r="H779" t="s">
        <v>21</v>
      </c>
      <c r="I779" s="2">
        <v>17450</v>
      </c>
      <c r="J779" t="b">
        <v>1</v>
      </c>
      <c r="K779" t="b">
        <v>0</v>
      </c>
      <c r="L779" t="b">
        <v>1</v>
      </c>
      <c r="M779" t="str">
        <f t="shared" si="24"/>
        <v>FACEBOOK</v>
      </c>
      <c r="N779" t="str">
        <f t="shared" si="25"/>
        <v>Sub_Urban-FACEBOOK</v>
      </c>
      <c r="O779">
        <v>17450</v>
      </c>
    </row>
    <row r="780" spans="1:15" x14ac:dyDescent="0.3">
      <c r="A780">
        <v>34</v>
      </c>
      <c r="B780" t="s">
        <v>18</v>
      </c>
      <c r="C780" s="1">
        <v>5</v>
      </c>
      <c r="D780" t="s">
        <v>13</v>
      </c>
      <c r="E780" t="s">
        <v>14</v>
      </c>
      <c r="F780" t="s">
        <v>15</v>
      </c>
      <c r="G780" t="s">
        <v>29</v>
      </c>
      <c r="H780" t="s">
        <v>21</v>
      </c>
      <c r="I780" s="2">
        <v>18420</v>
      </c>
      <c r="J780" t="b">
        <v>1</v>
      </c>
      <c r="K780" t="b">
        <v>0</v>
      </c>
      <c r="L780" t="b">
        <v>1</v>
      </c>
      <c r="M780" t="str">
        <f t="shared" si="24"/>
        <v>INSTAGRAM</v>
      </c>
      <c r="N780" t="str">
        <f t="shared" si="25"/>
        <v>Rural-INSTAGRAM</v>
      </c>
      <c r="O780">
        <v>18420</v>
      </c>
    </row>
    <row r="781" spans="1:15" x14ac:dyDescent="0.3">
      <c r="A781">
        <v>64</v>
      </c>
      <c r="B781" t="s">
        <v>12</v>
      </c>
      <c r="C781" s="1">
        <v>9</v>
      </c>
      <c r="D781" t="s">
        <v>19</v>
      </c>
      <c r="E781" t="s">
        <v>20</v>
      </c>
      <c r="F781" t="s">
        <v>27</v>
      </c>
      <c r="G781" t="s">
        <v>29</v>
      </c>
      <c r="H781" t="s">
        <v>21</v>
      </c>
      <c r="I781" s="2">
        <v>13959</v>
      </c>
      <c r="J781" t="b">
        <v>1</v>
      </c>
      <c r="K781" t="b">
        <v>0</v>
      </c>
      <c r="L781" t="b">
        <v>0</v>
      </c>
      <c r="M781" t="str">
        <f t="shared" si="24"/>
        <v>FACEBOOK</v>
      </c>
      <c r="N781" t="str">
        <f t="shared" si="25"/>
        <v>Rural-FACEBOOK</v>
      </c>
      <c r="O781">
        <v>13959</v>
      </c>
    </row>
    <row r="782" spans="1:15" x14ac:dyDescent="0.3">
      <c r="A782">
        <v>40</v>
      </c>
      <c r="B782" t="s">
        <v>12</v>
      </c>
      <c r="C782" s="1">
        <v>9</v>
      </c>
      <c r="D782" t="s">
        <v>13</v>
      </c>
      <c r="E782" t="s">
        <v>14</v>
      </c>
      <c r="F782" t="s">
        <v>27</v>
      </c>
      <c r="G782" t="s">
        <v>29</v>
      </c>
      <c r="H782" t="s">
        <v>24</v>
      </c>
      <c r="I782" s="2">
        <v>11313</v>
      </c>
      <c r="J782" t="b">
        <v>0</v>
      </c>
      <c r="K782" t="b">
        <v>1</v>
      </c>
      <c r="L782" t="b">
        <v>0</v>
      </c>
      <c r="M782" t="str">
        <f t="shared" si="24"/>
        <v>INSTAGRAM</v>
      </c>
      <c r="N782" t="str">
        <f t="shared" si="25"/>
        <v>Rural-INSTAGRAM</v>
      </c>
      <c r="O782">
        <v>11313</v>
      </c>
    </row>
    <row r="783" spans="1:15" x14ac:dyDescent="0.3">
      <c r="A783">
        <v>32</v>
      </c>
      <c r="B783" t="s">
        <v>25</v>
      </c>
      <c r="C783" s="1">
        <v>1</v>
      </c>
      <c r="D783" t="s">
        <v>19</v>
      </c>
      <c r="E783" t="s">
        <v>20</v>
      </c>
      <c r="F783" t="s">
        <v>15</v>
      </c>
      <c r="G783" t="s">
        <v>16</v>
      </c>
      <c r="H783" t="s">
        <v>17</v>
      </c>
      <c r="I783" s="2">
        <v>17847</v>
      </c>
      <c r="J783" t="b">
        <v>1</v>
      </c>
      <c r="K783" t="b">
        <v>0</v>
      </c>
      <c r="L783" t="b">
        <v>1</v>
      </c>
      <c r="M783" t="str">
        <f t="shared" si="24"/>
        <v>FACEBOOK</v>
      </c>
      <c r="N783" t="str">
        <f t="shared" si="25"/>
        <v>Urban-FACEBOOK</v>
      </c>
      <c r="O783">
        <v>17847</v>
      </c>
    </row>
    <row r="784" spans="1:15" x14ac:dyDescent="0.3">
      <c r="A784">
        <v>54</v>
      </c>
      <c r="B784" t="s">
        <v>12</v>
      </c>
      <c r="C784" s="1">
        <v>2</v>
      </c>
      <c r="D784" t="s">
        <v>28</v>
      </c>
      <c r="E784" t="s">
        <v>26</v>
      </c>
      <c r="F784" t="s">
        <v>15</v>
      </c>
      <c r="G784" t="s">
        <v>23</v>
      </c>
      <c r="H784" t="s">
        <v>24</v>
      </c>
      <c r="I784" s="2">
        <v>11070</v>
      </c>
      <c r="J784" t="b">
        <v>0</v>
      </c>
      <c r="K784" t="b">
        <v>1</v>
      </c>
      <c r="L784" t="b">
        <v>0</v>
      </c>
      <c r="M784" t="str">
        <f t="shared" si="24"/>
        <v>YOUTUBE</v>
      </c>
      <c r="N784" t="str">
        <f t="shared" si="25"/>
        <v>Sub_Urban-YOUTUBE</v>
      </c>
      <c r="O784">
        <v>11070</v>
      </c>
    </row>
    <row r="785" spans="1:15" x14ac:dyDescent="0.3">
      <c r="A785">
        <v>38</v>
      </c>
      <c r="B785" t="s">
        <v>12</v>
      </c>
      <c r="C785" s="1">
        <v>5</v>
      </c>
      <c r="D785" t="s">
        <v>13</v>
      </c>
      <c r="E785" t="s">
        <v>26</v>
      </c>
      <c r="F785" t="s">
        <v>27</v>
      </c>
      <c r="G785" t="s">
        <v>16</v>
      </c>
      <c r="H785" t="s">
        <v>24</v>
      </c>
      <c r="I785" s="2">
        <v>19166</v>
      </c>
      <c r="J785" t="b">
        <v>1</v>
      </c>
      <c r="K785" t="b">
        <v>0</v>
      </c>
      <c r="L785" t="b">
        <v>1</v>
      </c>
      <c r="M785" t="str">
        <f t="shared" si="24"/>
        <v>INSTAGRAM</v>
      </c>
      <c r="N785" t="str">
        <f t="shared" si="25"/>
        <v>Urban-INSTAGRAM</v>
      </c>
      <c r="O785">
        <v>19166</v>
      </c>
    </row>
    <row r="786" spans="1:15" x14ac:dyDescent="0.3">
      <c r="A786">
        <v>31</v>
      </c>
      <c r="B786" t="s">
        <v>25</v>
      </c>
      <c r="C786" s="1">
        <v>4</v>
      </c>
      <c r="D786" t="s">
        <v>28</v>
      </c>
      <c r="E786" t="s">
        <v>14</v>
      </c>
      <c r="F786" t="s">
        <v>27</v>
      </c>
      <c r="G786" t="s">
        <v>29</v>
      </c>
      <c r="H786" t="s">
        <v>21</v>
      </c>
      <c r="I786" s="2">
        <v>19930</v>
      </c>
      <c r="J786" t="b">
        <v>1</v>
      </c>
      <c r="K786" t="b">
        <v>1</v>
      </c>
      <c r="L786" t="b">
        <v>0</v>
      </c>
      <c r="M786" t="str">
        <f t="shared" si="24"/>
        <v>YOUTUBE</v>
      </c>
      <c r="N786" t="str">
        <f t="shared" si="25"/>
        <v>Rural-YOUTUBE</v>
      </c>
      <c r="O786">
        <v>19930</v>
      </c>
    </row>
    <row r="787" spans="1:15" x14ac:dyDescent="0.3">
      <c r="A787">
        <v>19</v>
      </c>
      <c r="B787" t="s">
        <v>25</v>
      </c>
      <c r="C787" s="1">
        <v>9</v>
      </c>
      <c r="D787" t="s">
        <v>28</v>
      </c>
      <c r="E787" t="s">
        <v>26</v>
      </c>
      <c r="F787" t="s">
        <v>27</v>
      </c>
      <c r="G787" t="s">
        <v>23</v>
      </c>
      <c r="H787" t="s">
        <v>17</v>
      </c>
      <c r="I787" s="2">
        <v>13285</v>
      </c>
      <c r="J787" t="b">
        <v>1</v>
      </c>
      <c r="K787" t="b">
        <v>0</v>
      </c>
      <c r="L787" t="b">
        <v>0</v>
      </c>
      <c r="M787" t="str">
        <f t="shared" si="24"/>
        <v>YOUTUBE</v>
      </c>
      <c r="N787" t="str">
        <f t="shared" si="25"/>
        <v>Sub_Urban-YOUTUBE</v>
      </c>
      <c r="O787">
        <v>13285</v>
      </c>
    </row>
    <row r="788" spans="1:15" x14ac:dyDescent="0.3">
      <c r="A788">
        <v>28</v>
      </c>
      <c r="B788" t="s">
        <v>25</v>
      </c>
      <c r="C788" s="1">
        <v>7</v>
      </c>
      <c r="D788" t="s">
        <v>13</v>
      </c>
      <c r="E788" t="s">
        <v>26</v>
      </c>
      <c r="F788" t="s">
        <v>15</v>
      </c>
      <c r="G788" t="s">
        <v>23</v>
      </c>
      <c r="H788" t="s">
        <v>24</v>
      </c>
      <c r="I788" s="2">
        <v>18949</v>
      </c>
      <c r="J788" t="b">
        <v>0</v>
      </c>
      <c r="K788" t="b">
        <v>0</v>
      </c>
      <c r="L788" t="b">
        <v>1</v>
      </c>
      <c r="M788" t="str">
        <f t="shared" si="24"/>
        <v>INSTAGRAM</v>
      </c>
      <c r="N788" t="str">
        <f t="shared" si="25"/>
        <v>Sub_Urban-INSTAGRAM</v>
      </c>
      <c r="O788">
        <v>18949</v>
      </c>
    </row>
    <row r="789" spans="1:15" x14ac:dyDescent="0.3">
      <c r="A789">
        <v>56</v>
      </c>
      <c r="B789" t="s">
        <v>12</v>
      </c>
      <c r="C789" s="1">
        <v>6</v>
      </c>
      <c r="D789" t="s">
        <v>13</v>
      </c>
      <c r="E789" t="s">
        <v>14</v>
      </c>
      <c r="F789" t="s">
        <v>15</v>
      </c>
      <c r="G789" t="s">
        <v>23</v>
      </c>
      <c r="H789" t="s">
        <v>21</v>
      </c>
      <c r="I789" s="2">
        <v>13095</v>
      </c>
      <c r="J789" t="b">
        <v>1</v>
      </c>
      <c r="K789" t="b">
        <v>1</v>
      </c>
      <c r="L789" t="b">
        <v>1</v>
      </c>
      <c r="M789" t="str">
        <f t="shared" si="24"/>
        <v>INSTAGRAM</v>
      </c>
      <c r="N789" t="str">
        <f t="shared" si="25"/>
        <v>Sub_Urban-INSTAGRAM</v>
      </c>
      <c r="O789">
        <v>13095</v>
      </c>
    </row>
    <row r="790" spans="1:15" x14ac:dyDescent="0.3">
      <c r="A790">
        <v>55</v>
      </c>
      <c r="B790" t="s">
        <v>12</v>
      </c>
      <c r="C790" s="1">
        <v>7</v>
      </c>
      <c r="D790" t="s">
        <v>28</v>
      </c>
      <c r="E790" t="s">
        <v>20</v>
      </c>
      <c r="F790" t="s">
        <v>22</v>
      </c>
      <c r="G790" t="s">
        <v>29</v>
      </c>
      <c r="H790" t="s">
        <v>24</v>
      </c>
      <c r="I790" s="2">
        <v>10320</v>
      </c>
      <c r="J790" t="b">
        <v>0</v>
      </c>
      <c r="K790" t="b">
        <v>0</v>
      </c>
      <c r="L790" t="b">
        <v>0</v>
      </c>
      <c r="M790" t="str">
        <f t="shared" si="24"/>
        <v>YOUTUBE</v>
      </c>
      <c r="N790" t="str">
        <f t="shared" si="25"/>
        <v>Rural-YOUTUBE</v>
      </c>
      <c r="O790">
        <v>10320</v>
      </c>
    </row>
    <row r="791" spans="1:15" x14ac:dyDescent="0.3">
      <c r="A791">
        <v>51</v>
      </c>
      <c r="B791" t="s">
        <v>25</v>
      </c>
      <c r="C791" s="1">
        <v>1</v>
      </c>
      <c r="D791" t="s">
        <v>28</v>
      </c>
      <c r="E791" t="s">
        <v>26</v>
      </c>
      <c r="F791" t="s">
        <v>27</v>
      </c>
      <c r="G791" t="s">
        <v>23</v>
      </c>
      <c r="H791" t="s">
        <v>24</v>
      </c>
      <c r="I791" s="2">
        <v>12321</v>
      </c>
      <c r="J791" t="b">
        <v>1</v>
      </c>
      <c r="K791" t="b">
        <v>0</v>
      </c>
      <c r="L791" t="b">
        <v>0</v>
      </c>
      <c r="M791" t="str">
        <f t="shared" si="24"/>
        <v>YOUTUBE</v>
      </c>
      <c r="N791" t="str">
        <f t="shared" si="25"/>
        <v>Sub_Urban-YOUTUBE</v>
      </c>
      <c r="O791">
        <v>12321</v>
      </c>
    </row>
    <row r="792" spans="1:15" x14ac:dyDescent="0.3">
      <c r="A792">
        <v>55</v>
      </c>
      <c r="B792" t="s">
        <v>18</v>
      </c>
      <c r="C792" s="1">
        <v>1</v>
      </c>
      <c r="D792" t="s">
        <v>28</v>
      </c>
      <c r="E792" t="s">
        <v>14</v>
      </c>
      <c r="F792" t="s">
        <v>15</v>
      </c>
      <c r="G792" t="s">
        <v>23</v>
      </c>
      <c r="H792" t="s">
        <v>21</v>
      </c>
      <c r="I792" s="2">
        <v>10555</v>
      </c>
      <c r="J792" t="b">
        <v>1</v>
      </c>
      <c r="K792" t="b">
        <v>1</v>
      </c>
      <c r="L792" t="b">
        <v>0</v>
      </c>
      <c r="M792" t="str">
        <f t="shared" si="24"/>
        <v>YOUTUBE</v>
      </c>
      <c r="N792" t="str">
        <f t="shared" si="25"/>
        <v>Sub_Urban-YOUTUBE</v>
      </c>
      <c r="O792">
        <v>10555</v>
      </c>
    </row>
    <row r="793" spans="1:15" x14ac:dyDescent="0.3">
      <c r="A793">
        <v>51</v>
      </c>
      <c r="B793" t="s">
        <v>25</v>
      </c>
      <c r="C793" s="1">
        <v>8</v>
      </c>
      <c r="D793" t="s">
        <v>28</v>
      </c>
      <c r="E793" t="s">
        <v>26</v>
      </c>
      <c r="F793" t="s">
        <v>27</v>
      </c>
      <c r="G793" t="s">
        <v>16</v>
      </c>
      <c r="H793" t="s">
        <v>21</v>
      </c>
      <c r="I793" s="2">
        <v>14939</v>
      </c>
      <c r="J793" t="b">
        <v>0</v>
      </c>
      <c r="K793" t="b">
        <v>1</v>
      </c>
      <c r="L793" t="b">
        <v>0</v>
      </c>
      <c r="M793" t="str">
        <f t="shared" si="24"/>
        <v>YOUTUBE</v>
      </c>
      <c r="N793" t="str">
        <f t="shared" si="25"/>
        <v>Urban-YOUTUBE</v>
      </c>
      <c r="O793">
        <v>14939</v>
      </c>
    </row>
    <row r="794" spans="1:15" x14ac:dyDescent="0.3">
      <c r="A794">
        <v>35</v>
      </c>
      <c r="B794" t="s">
        <v>18</v>
      </c>
      <c r="C794" s="1">
        <v>2</v>
      </c>
      <c r="D794" t="s">
        <v>13</v>
      </c>
      <c r="E794" t="s">
        <v>26</v>
      </c>
      <c r="F794" t="s">
        <v>15</v>
      </c>
      <c r="G794" t="s">
        <v>16</v>
      </c>
      <c r="H794" t="s">
        <v>17</v>
      </c>
      <c r="I794" s="2">
        <v>15432</v>
      </c>
      <c r="J794" t="b">
        <v>1</v>
      </c>
      <c r="K794" t="b">
        <v>1</v>
      </c>
      <c r="L794" t="b">
        <v>0</v>
      </c>
      <c r="M794" t="str">
        <f t="shared" si="24"/>
        <v>INSTAGRAM</v>
      </c>
      <c r="N794" t="str">
        <f t="shared" si="25"/>
        <v>Urban-INSTAGRAM</v>
      </c>
      <c r="O794">
        <v>15432</v>
      </c>
    </row>
    <row r="795" spans="1:15" x14ac:dyDescent="0.3">
      <c r="A795">
        <v>47</v>
      </c>
      <c r="B795" t="s">
        <v>18</v>
      </c>
      <c r="C795" s="1">
        <v>9</v>
      </c>
      <c r="D795" t="s">
        <v>13</v>
      </c>
      <c r="E795" t="s">
        <v>26</v>
      </c>
      <c r="F795" t="s">
        <v>27</v>
      </c>
      <c r="G795" t="s">
        <v>23</v>
      </c>
      <c r="H795" t="s">
        <v>24</v>
      </c>
      <c r="I795" s="2">
        <v>11386</v>
      </c>
      <c r="J795" t="b">
        <v>1</v>
      </c>
      <c r="K795" t="b">
        <v>1</v>
      </c>
      <c r="L795" t="b">
        <v>1</v>
      </c>
      <c r="M795" t="str">
        <f t="shared" si="24"/>
        <v>INSTAGRAM</v>
      </c>
      <c r="N795" t="str">
        <f t="shared" si="25"/>
        <v>Sub_Urban-INSTAGRAM</v>
      </c>
      <c r="O795">
        <v>11386</v>
      </c>
    </row>
    <row r="796" spans="1:15" x14ac:dyDescent="0.3">
      <c r="A796">
        <v>32</v>
      </c>
      <c r="B796" t="s">
        <v>25</v>
      </c>
      <c r="C796" s="1">
        <v>7</v>
      </c>
      <c r="D796" t="s">
        <v>28</v>
      </c>
      <c r="E796" t="s">
        <v>26</v>
      </c>
      <c r="F796" t="s">
        <v>15</v>
      </c>
      <c r="G796" t="s">
        <v>23</v>
      </c>
      <c r="H796" t="s">
        <v>21</v>
      </c>
      <c r="I796" s="2">
        <v>14763</v>
      </c>
      <c r="J796" t="b">
        <v>1</v>
      </c>
      <c r="K796" t="b">
        <v>1</v>
      </c>
      <c r="L796" t="b">
        <v>0</v>
      </c>
      <c r="M796" t="str">
        <f t="shared" si="24"/>
        <v>YOUTUBE</v>
      </c>
      <c r="N796" t="str">
        <f t="shared" si="25"/>
        <v>Sub_Urban-YOUTUBE</v>
      </c>
      <c r="O796">
        <v>14763</v>
      </c>
    </row>
    <row r="797" spans="1:15" x14ac:dyDescent="0.3">
      <c r="A797">
        <v>44</v>
      </c>
      <c r="B797" t="s">
        <v>25</v>
      </c>
      <c r="C797" s="1">
        <v>6</v>
      </c>
      <c r="D797" t="s">
        <v>19</v>
      </c>
      <c r="E797" t="s">
        <v>14</v>
      </c>
      <c r="F797" t="s">
        <v>22</v>
      </c>
      <c r="G797" t="s">
        <v>16</v>
      </c>
      <c r="H797" t="s">
        <v>21</v>
      </c>
      <c r="I797" s="2">
        <v>16854</v>
      </c>
      <c r="J797" t="b">
        <v>1</v>
      </c>
      <c r="K797" t="b">
        <v>0</v>
      </c>
      <c r="L797" t="b">
        <v>0</v>
      </c>
      <c r="M797" t="str">
        <f t="shared" si="24"/>
        <v>FACEBOOK</v>
      </c>
      <c r="N797" t="str">
        <f t="shared" si="25"/>
        <v>Urban-FACEBOOK</v>
      </c>
      <c r="O797">
        <v>16854</v>
      </c>
    </row>
    <row r="798" spans="1:15" x14ac:dyDescent="0.3">
      <c r="A798">
        <v>51</v>
      </c>
      <c r="B798" t="s">
        <v>25</v>
      </c>
      <c r="C798" s="1">
        <v>1</v>
      </c>
      <c r="D798" t="s">
        <v>19</v>
      </c>
      <c r="E798" t="s">
        <v>14</v>
      </c>
      <c r="F798" t="s">
        <v>22</v>
      </c>
      <c r="G798" t="s">
        <v>16</v>
      </c>
      <c r="H798" t="s">
        <v>17</v>
      </c>
      <c r="I798" s="2">
        <v>17637</v>
      </c>
      <c r="J798" t="b">
        <v>0</v>
      </c>
      <c r="K798" t="b">
        <v>1</v>
      </c>
      <c r="L798" t="b">
        <v>1</v>
      </c>
      <c r="M798" t="str">
        <f t="shared" si="24"/>
        <v>FACEBOOK</v>
      </c>
      <c r="N798" t="str">
        <f t="shared" si="25"/>
        <v>Urban-FACEBOOK</v>
      </c>
      <c r="O798">
        <v>17637</v>
      </c>
    </row>
    <row r="799" spans="1:15" x14ac:dyDescent="0.3">
      <c r="A799">
        <v>55</v>
      </c>
      <c r="B799" t="s">
        <v>12</v>
      </c>
      <c r="C799" s="1">
        <v>1</v>
      </c>
      <c r="D799" t="s">
        <v>13</v>
      </c>
      <c r="E799" t="s">
        <v>14</v>
      </c>
      <c r="F799" t="s">
        <v>27</v>
      </c>
      <c r="G799" t="s">
        <v>16</v>
      </c>
      <c r="H799" t="s">
        <v>17</v>
      </c>
      <c r="I799" s="2">
        <v>14841</v>
      </c>
      <c r="J799" t="b">
        <v>0</v>
      </c>
      <c r="K799" t="b">
        <v>0</v>
      </c>
      <c r="L799" t="b">
        <v>1</v>
      </c>
      <c r="M799" t="str">
        <f t="shared" si="24"/>
        <v>INSTAGRAM</v>
      </c>
      <c r="N799" t="str">
        <f t="shared" si="25"/>
        <v>Urban-INSTAGRAM</v>
      </c>
      <c r="O799">
        <v>14841</v>
      </c>
    </row>
    <row r="800" spans="1:15" x14ac:dyDescent="0.3">
      <c r="A800">
        <v>50</v>
      </c>
      <c r="B800" t="s">
        <v>18</v>
      </c>
      <c r="C800" s="1">
        <v>2</v>
      </c>
      <c r="D800" t="s">
        <v>28</v>
      </c>
      <c r="E800" t="s">
        <v>26</v>
      </c>
      <c r="F800" t="s">
        <v>15</v>
      </c>
      <c r="G800" t="s">
        <v>29</v>
      </c>
      <c r="H800" t="s">
        <v>21</v>
      </c>
      <c r="I800" s="2">
        <v>13867</v>
      </c>
      <c r="J800" t="b">
        <v>1</v>
      </c>
      <c r="K800" t="b">
        <v>0</v>
      </c>
      <c r="L800" t="b">
        <v>1</v>
      </c>
      <c r="M800" t="str">
        <f t="shared" si="24"/>
        <v>YOUTUBE</v>
      </c>
      <c r="N800" t="str">
        <f t="shared" si="25"/>
        <v>Rural-YOUTUBE</v>
      </c>
      <c r="O800">
        <v>13867</v>
      </c>
    </row>
    <row r="801" spans="1:15" x14ac:dyDescent="0.3">
      <c r="A801">
        <v>41</v>
      </c>
      <c r="B801" t="s">
        <v>12</v>
      </c>
      <c r="C801" s="1">
        <v>6</v>
      </c>
      <c r="D801" t="s">
        <v>28</v>
      </c>
      <c r="E801" t="s">
        <v>26</v>
      </c>
      <c r="F801" t="s">
        <v>15</v>
      </c>
      <c r="G801" t="s">
        <v>29</v>
      </c>
      <c r="H801" t="s">
        <v>17</v>
      </c>
      <c r="I801" s="2">
        <v>13793</v>
      </c>
      <c r="J801" t="b">
        <v>1</v>
      </c>
      <c r="K801" t="b">
        <v>1</v>
      </c>
      <c r="L801" t="b">
        <v>0</v>
      </c>
      <c r="M801" t="str">
        <f t="shared" si="24"/>
        <v>YOUTUBE</v>
      </c>
      <c r="N801" t="str">
        <f t="shared" si="25"/>
        <v>Rural-YOUTUBE</v>
      </c>
      <c r="O801">
        <v>13793</v>
      </c>
    </row>
    <row r="802" spans="1:15" x14ac:dyDescent="0.3">
      <c r="A802">
        <v>32</v>
      </c>
      <c r="B802" t="s">
        <v>12</v>
      </c>
      <c r="C802" s="1">
        <v>6</v>
      </c>
      <c r="D802" t="s">
        <v>13</v>
      </c>
      <c r="E802" t="s">
        <v>26</v>
      </c>
      <c r="F802" t="s">
        <v>27</v>
      </c>
      <c r="G802" t="s">
        <v>16</v>
      </c>
      <c r="H802" t="s">
        <v>21</v>
      </c>
      <c r="I802" s="2">
        <v>17373</v>
      </c>
      <c r="J802" t="b">
        <v>0</v>
      </c>
      <c r="K802" t="b">
        <v>0</v>
      </c>
      <c r="L802" t="b">
        <v>1</v>
      </c>
      <c r="M802" t="str">
        <f t="shared" si="24"/>
        <v>INSTAGRAM</v>
      </c>
      <c r="N802" t="str">
        <f t="shared" si="25"/>
        <v>Urban-INSTAGRAM</v>
      </c>
      <c r="O802">
        <v>17373</v>
      </c>
    </row>
    <row r="803" spans="1:15" x14ac:dyDescent="0.3">
      <c r="A803">
        <v>47</v>
      </c>
      <c r="B803" t="s">
        <v>25</v>
      </c>
      <c r="C803" s="1">
        <v>2</v>
      </c>
      <c r="D803" t="s">
        <v>19</v>
      </c>
      <c r="E803" t="s">
        <v>14</v>
      </c>
      <c r="F803" t="s">
        <v>15</v>
      </c>
      <c r="G803" t="s">
        <v>23</v>
      </c>
      <c r="H803" t="s">
        <v>24</v>
      </c>
      <c r="I803" s="2">
        <v>12513</v>
      </c>
      <c r="J803" t="b">
        <v>1</v>
      </c>
      <c r="K803" t="b">
        <v>0</v>
      </c>
      <c r="L803" t="b">
        <v>1</v>
      </c>
      <c r="M803" t="str">
        <f t="shared" si="24"/>
        <v>FACEBOOK</v>
      </c>
      <c r="N803" t="str">
        <f t="shared" si="25"/>
        <v>Sub_Urban-FACEBOOK</v>
      </c>
      <c r="O803">
        <v>12513</v>
      </c>
    </row>
    <row r="804" spans="1:15" x14ac:dyDescent="0.3">
      <c r="A804">
        <v>59</v>
      </c>
      <c r="B804" t="s">
        <v>12</v>
      </c>
      <c r="C804" s="1">
        <v>1</v>
      </c>
      <c r="D804" t="s">
        <v>19</v>
      </c>
      <c r="E804" t="s">
        <v>26</v>
      </c>
      <c r="F804" t="s">
        <v>27</v>
      </c>
      <c r="G804" t="s">
        <v>16</v>
      </c>
      <c r="H804" t="s">
        <v>17</v>
      </c>
      <c r="I804" s="2">
        <v>13803</v>
      </c>
      <c r="J804" t="b">
        <v>0</v>
      </c>
      <c r="K804" t="b">
        <v>1</v>
      </c>
      <c r="L804" t="b">
        <v>1</v>
      </c>
      <c r="M804" t="str">
        <f t="shared" si="24"/>
        <v>FACEBOOK</v>
      </c>
      <c r="N804" t="str">
        <f t="shared" si="25"/>
        <v>Urban-FACEBOOK</v>
      </c>
      <c r="O804">
        <v>13803</v>
      </c>
    </row>
    <row r="805" spans="1:15" x14ac:dyDescent="0.3">
      <c r="A805">
        <v>34</v>
      </c>
      <c r="B805" t="s">
        <v>25</v>
      </c>
      <c r="C805" s="1">
        <v>5</v>
      </c>
      <c r="D805" t="s">
        <v>19</v>
      </c>
      <c r="E805" t="s">
        <v>20</v>
      </c>
      <c r="F805" t="s">
        <v>15</v>
      </c>
      <c r="G805" t="s">
        <v>29</v>
      </c>
      <c r="H805" t="s">
        <v>24</v>
      </c>
      <c r="I805" s="2">
        <v>12327</v>
      </c>
      <c r="J805" t="b">
        <v>1</v>
      </c>
      <c r="K805" t="b">
        <v>0</v>
      </c>
      <c r="L805" t="b">
        <v>1</v>
      </c>
      <c r="M805" t="str">
        <f t="shared" si="24"/>
        <v>FACEBOOK</v>
      </c>
      <c r="N805" t="str">
        <f t="shared" si="25"/>
        <v>Rural-FACEBOOK</v>
      </c>
      <c r="O805">
        <v>12327</v>
      </c>
    </row>
    <row r="806" spans="1:15" x14ac:dyDescent="0.3">
      <c r="A806">
        <v>22</v>
      </c>
      <c r="B806" t="s">
        <v>18</v>
      </c>
      <c r="C806" s="1">
        <v>5</v>
      </c>
      <c r="D806" t="s">
        <v>13</v>
      </c>
      <c r="E806" t="s">
        <v>26</v>
      </c>
      <c r="F806" t="s">
        <v>27</v>
      </c>
      <c r="G806" t="s">
        <v>23</v>
      </c>
      <c r="H806" t="s">
        <v>24</v>
      </c>
      <c r="I806" s="2">
        <v>18809</v>
      </c>
      <c r="J806" t="b">
        <v>0</v>
      </c>
      <c r="K806" t="b">
        <v>1</v>
      </c>
      <c r="L806" t="b">
        <v>0</v>
      </c>
      <c r="M806" t="str">
        <f t="shared" si="24"/>
        <v>INSTAGRAM</v>
      </c>
      <c r="N806" t="str">
        <f t="shared" si="25"/>
        <v>Sub_Urban-INSTAGRAM</v>
      </c>
      <c r="O806">
        <v>18809</v>
      </c>
    </row>
    <row r="807" spans="1:15" x14ac:dyDescent="0.3">
      <c r="A807">
        <v>46</v>
      </c>
      <c r="B807" t="s">
        <v>25</v>
      </c>
      <c r="C807" s="1">
        <v>2</v>
      </c>
      <c r="D807" t="s">
        <v>19</v>
      </c>
      <c r="E807" t="s">
        <v>20</v>
      </c>
      <c r="F807" t="s">
        <v>15</v>
      </c>
      <c r="G807" t="s">
        <v>29</v>
      </c>
      <c r="H807" t="s">
        <v>24</v>
      </c>
      <c r="I807" s="2">
        <v>12165</v>
      </c>
      <c r="J807" t="b">
        <v>0</v>
      </c>
      <c r="K807" t="b">
        <v>1</v>
      </c>
      <c r="L807" t="b">
        <v>0</v>
      </c>
      <c r="M807" t="str">
        <f t="shared" si="24"/>
        <v>FACEBOOK</v>
      </c>
      <c r="N807" t="str">
        <f t="shared" si="25"/>
        <v>Rural-FACEBOOK</v>
      </c>
      <c r="O807">
        <v>12165</v>
      </c>
    </row>
    <row r="808" spans="1:15" x14ac:dyDescent="0.3">
      <c r="A808">
        <v>21</v>
      </c>
      <c r="B808" t="s">
        <v>12</v>
      </c>
      <c r="C808" s="1">
        <v>6</v>
      </c>
      <c r="D808" t="s">
        <v>13</v>
      </c>
      <c r="E808" t="s">
        <v>26</v>
      </c>
      <c r="F808" t="s">
        <v>27</v>
      </c>
      <c r="G808" t="s">
        <v>23</v>
      </c>
      <c r="H808" t="s">
        <v>21</v>
      </c>
      <c r="I808" s="2">
        <v>13308</v>
      </c>
      <c r="J808" t="b">
        <v>0</v>
      </c>
      <c r="K808" t="b">
        <v>1</v>
      </c>
      <c r="L808" t="b">
        <v>0</v>
      </c>
      <c r="M808" t="str">
        <f t="shared" si="24"/>
        <v>INSTAGRAM</v>
      </c>
      <c r="N808" t="str">
        <f t="shared" si="25"/>
        <v>Sub_Urban-INSTAGRAM</v>
      </c>
      <c r="O808">
        <v>13308</v>
      </c>
    </row>
    <row r="809" spans="1:15" x14ac:dyDescent="0.3">
      <c r="A809">
        <v>27</v>
      </c>
      <c r="B809" t="s">
        <v>12</v>
      </c>
      <c r="C809" s="1">
        <v>9</v>
      </c>
      <c r="D809" t="s">
        <v>13</v>
      </c>
      <c r="E809" t="s">
        <v>14</v>
      </c>
      <c r="F809" t="s">
        <v>15</v>
      </c>
      <c r="G809" t="s">
        <v>29</v>
      </c>
      <c r="H809" t="s">
        <v>24</v>
      </c>
      <c r="I809" s="2">
        <v>16452</v>
      </c>
      <c r="J809" t="b">
        <v>0</v>
      </c>
      <c r="K809" t="b">
        <v>0</v>
      </c>
      <c r="L809" t="b">
        <v>1</v>
      </c>
      <c r="M809" t="str">
        <f t="shared" si="24"/>
        <v>INSTAGRAM</v>
      </c>
      <c r="N809" t="str">
        <f t="shared" si="25"/>
        <v>Rural-INSTAGRAM</v>
      </c>
      <c r="O809">
        <v>16452</v>
      </c>
    </row>
    <row r="810" spans="1:15" x14ac:dyDescent="0.3">
      <c r="A810">
        <v>34</v>
      </c>
      <c r="B810" t="s">
        <v>25</v>
      </c>
      <c r="C810" s="1">
        <v>2</v>
      </c>
      <c r="D810" t="s">
        <v>28</v>
      </c>
      <c r="E810" t="s">
        <v>26</v>
      </c>
      <c r="F810" t="s">
        <v>22</v>
      </c>
      <c r="G810" t="s">
        <v>23</v>
      </c>
      <c r="H810" t="s">
        <v>24</v>
      </c>
      <c r="I810" s="2">
        <v>18067</v>
      </c>
      <c r="J810" t="b">
        <v>1</v>
      </c>
      <c r="K810" t="b">
        <v>0</v>
      </c>
      <c r="L810" t="b">
        <v>1</v>
      </c>
      <c r="M810" t="str">
        <f t="shared" si="24"/>
        <v>YOUTUBE</v>
      </c>
      <c r="N810" t="str">
        <f t="shared" si="25"/>
        <v>Sub_Urban-YOUTUBE</v>
      </c>
      <c r="O810">
        <v>18067</v>
      </c>
    </row>
    <row r="811" spans="1:15" x14ac:dyDescent="0.3">
      <c r="A811">
        <v>27</v>
      </c>
      <c r="B811" t="s">
        <v>25</v>
      </c>
      <c r="C811" s="1">
        <v>2</v>
      </c>
      <c r="D811" t="s">
        <v>19</v>
      </c>
      <c r="E811" t="s">
        <v>20</v>
      </c>
      <c r="F811" t="s">
        <v>15</v>
      </c>
      <c r="G811" t="s">
        <v>23</v>
      </c>
      <c r="H811" t="s">
        <v>24</v>
      </c>
      <c r="I811" s="2">
        <v>17642</v>
      </c>
      <c r="J811" t="b">
        <v>1</v>
      </c>
      <c r="K811" t="b">
        <v>0</v>
      </c>
      <c r="L811" t="b">
        <v>1</v>
      </c>
      <c r="M811" t="str">
        <f t="shared" si="24"/>
        <v>FACEBOOK</v>
      </c>
      <c r="N811" t="str">
        <f t="shared" si="25"/>
        <v>Sub_Urban-FACEBOOK</v>
      </c>
      <c r="O811">
        <v>17642</v>
      </c>
    </row>
    <row r="812" spans="1:15" x14ac:dyDescent="0.3">
      <c r="A812">
        <v>34</v>
      </c>
      <c r="B812" t="s">
        <v>12</v>
      </c>
      <c r="C812" s="1">
        <v>3</v>
      </c>
      <c r="D812" t="s">
        <v>13</v>
      </c>
      <c r="E812" t="s">
        <v>20</v>
      </c>
      <c r="F812" t="s">
        <v>27</v>
      </c>
      <c r="G812" t="s">
        <v>23</v>
      </c>
      <c r="H812" t="s">
        <v>21</v>
      </c>
      <c r="I812" s="2">
        <v>16404</v>
      </c>
      <c r="J812" t="b">
        <v>0</v>
      </c>
      <c r="K812" t="b">
        <v>0</v>
      </c>
      <c r="L812" t="b">
        <v>1</v>
      </c>
      <c r="M812" t="str">
        <f t="shared" si="24"/>
        <v>INSTAGRAM</v>
      </c>
      <c r="N812" t="str">
        <f t="shared" si="25"/>
        <v>Sub_Urban-INSTAGRAM</v>
      </c>
      <c r="O812">
        <v>16404</v>
      </c>
    </row>
    <row r="813" spans="1:15" x14ac:dyDescent="0.3">
      <c r="A813">
        <v>37</v>
      </c>
      <c r="B813" t="s">
        <v>18</v>
      </c>
      <c r="C813" s="1">
        <v>7</v>
      </c>
      <c r="D813" t="s">
        <v>19</v>
      </c>
      <c r="E813" t="s">
        <v>26</v>
      </c>
      <c r="F813" t="s">
        <v>22</v>
      </c>
      <c r="G813" t="s">
        <v>23</v>
      </c>
      <c r="H813" t="s">
        <v>24</v>
      </c>
      <c r="I813" s="2">
        <v>10992</v>
      </c>
      <c r="J813" t="b">
        <v>0</v>
      </c>
      <c r="K813" t="b">
        <v>1</v>
      </c>
      <c r="L813" t="b">
        <v>1</v>
      </c>
      <c r="M813" t="str">
        <f t="shared" si="24"/>
        <v>FACEBOOK</v>
      </c>
      <c r="N813" t="str">
        <f t="shared" si="25"/>
        <v>Sub_Urban-FACEBOOK</v>
      </c>
      <c r="O813">
        <v>10992</v>
      </c>
    </row>
    <row r="814" spans="1:15" x14ac:dyDescent="0.3">
      <c r="A814">
        <v>41</v>
      </c>
      <c r="B814" t="s">
        <v>18</v>
      </c>
      <c r="C814" s="1">
        <v>6</v>
      </c>
      <c r="D814" t="s">
        <v>19</v>
      </c>
      <c r="E814" t="s">
        <v>20</v>
      </c>
      <c r="F814" t="s">
        <v>15</v>
      </c>
      <c r="G814" t="s">
        <v>29</v>
      </c>
      <c r="H814" t="s">
        <v>24</v>
      </c>
      <c r="I814" s="2">
        <v>15424</v>
      </c>
      <c r="J814" t="b">
        <v>0</v>
      </c>
      <c r="K814" t="b">
        <v>0</v>
      </c>
      <c r="L814" t="b">
        <v>1</v>
      </c>
      <c r="M814" t="str">
        <f t="shared" si="24"/>
        <v>FACEBOOK</v>
      </c>
      <c r="N814" t="str">
        <f t="shared" si="25"/>
        <v>Rural-FACEBOOK</v>
      </c>
      <c r="O814">
        <v>15424</v>
      </c>
    </row>
    <row r="815" spans="1:15" x14ac:dyDescent="0.3">
      <c r="A815">
        <v>22</v>
      </c>
      <c r="B815" t="s">
        <v>25</v>
      </c>
      <c r="C815" s="1">
        <v>8</v>
      </c>
      <c r="D815" t="s">
        <v>28</v>
      </c>
      <c r="E815" t="s">
        <v>20</v>
      </c>
      <c r="F815" t="s">
        <v>22</v>
      </c>
      <c r="G815" t="s">
        <v>29</v>
      </c>
      <c r="H815" t="s">
        <v>17</v>
      </c>
      <c r="I815" s="2">
        <v>19569</v>
      </c>
      <c r="J815" t="b">
        <v>0</v>
      </c>
      <c r="K815" t="b">
        <v>1</v>
      </c>
      <c r="L815" t="b">
        <v>0</v>
      </c>
      <c r="M815" t="str">
        <f t="shared" si="24"/>
        <v>YOUTUBE</v>
      </c>
      <c r="N815" t="str">
        <f t="shared" si="25"/>
        <v>Rural-YOUTUBE</v>
      </c>
      <c r="O815">
        <v>19569</v>
      </c>
    </row>
    <row r="816" spans="1:15" x14ac:dyDescent="0.3">
      <c r="A816">
        <v>51</v>
      </c>
      <c r="B816" t="s">
        <v>18</v>
      </c>
      <c r="C816" s="1">
        <v>8</v>
      </c>
      <c r="D816" t="s">
        <v>19</v>
      </c>
      <c r="E816" t="s">
        <v>14</v>
      </c>
      <c r="F816" t="s">
        <v>15</v>
      </c>
      <c r="G816" t="s">
        <v>23</v>
      </c>
      <c r="H816" t="s">
        <v>21</v>
      </c>
      <c r="I816" s="2">
        <v>14381</v>
      </c>
      <c r="J816" t="b">
        <v>1</v>
      </c>
      <c r="K816" t="b">
        <v>0</v>
      </c>
      <c r="L816" t="b">
        <v>0</v>
      </c>
      <c r="M816" t="str">
        <f t="shared" si="24"/>
        <v>FACEBOOK</v>
      </c>
      <c r="N816" t="str">
        <f t="shared" si="25"/>
        <v>Sub_Urban-FACEBOOK</v>
      </c>
      <c r="O816">
        <v>14381</v>
      </c>
    </row>
    <row r="817" spans="1:15" x14ac:dyDescent="0.3">
      <c r="A817">
        <v>23</v>
      </c>
      <c r="B817" t="s">
        <v>12</v>
      </c>
      <c r="C817" s="1">
        <v>6</v>
      </c>
      <c r="D817" t="s">
        <v>28</v>
      </c>
      <c r="E817" t="s">
        <v>26</v>
      </c>
      <c r="F817" t="s">
        <v>22</v>
      </c>
      <c r="G817" t="s">
        <v>23</v>
      </c>
      <c r="H817" t="s">
        <v>24</v>
      </c>
      <c r="I817" s="2">
        <v>13174</v>
      </c>
      <c r="J817" t="b">
        <v>0</v>
      </c>
      <c r="K817" t="b">
        <v>0</v>
      </c>
      <c r="L817" t="b">
        <v>1</v>
      </c>
      <c r="M817" t="str">
        <f t="shared" si="24"/>
        <v>YOUTUBE</v>
      </c>
      <c r="N817" t="str">
        <f t="shared" si="25"/>
        <v>Sub_Urban-YOUTUBE</v>
      </c>
      <c r="O817">
        <v>13174</v>
      </c>
    </row>
    <row r="818" spans="1:15" x14ac:dyDescent="0.3">
      <c r="A818">
        <v>19</v>
      </c>
      <c r="B818" t="s">
        <v>25</v>
      </c>
      <c r="C818" s="1">
        <v>3</v>
      </c>
      <c r="D818" t="s">
        <v>13</v>
      </c>
      <c r="E818" t="s">
        <v>26</v>
      </c>
      <c r="F818" t="s">
        <v>27</v>
      </c>
      <c r="G818" t="s">
        <v>29</v>
      </c>
      <c r="H818" t="s">
        <v>17</v>
      </c>
      <c r="I818" s="2">
        <v>14782</v>
      </c>
      <c r="J818" t="b">
        <v>0</v>
      </c>
      <c r="K818" t="b">
        <v>0</v>
      </c>
      <c r="L818" t="b">
        <v>0</v>
      </c>
      <c r="M818" t="str">
        <f t="shared" si="24"/>
        <v>INSTAGRAM</v>
      </c>
      <c r="N818" t="str">
        <f t="shared" si="25"/>
        <v>Rural-INSTAGRAM</v>
      </c>
      <c r="O818">
        <v>14782</v>
      </c>
    </row>
    <row r="819" spans="1:15" x14ac:dyDescent="0.3">
      <c r="A819">
        <v>30</v>
      </c>
      <c r="B819" t="s">
        <v>12</v>
      </c>
      <c r="C819" s="1">
        <v>3</v>
      </c>
      <c r="D819" t="s">
        <v>19</v>
      </c>
      <c r="E819" t="s">
        <v>26</v>
      </c>
      <c r="F819" t="s">
        <v>15</v>
      </c>
      <c r="G819" t="s">
        <v>23</v>
      </c>
      <c r="H819" t="s">
        <v>21</v>
      </c>
      <c r="I819" s="2">
        <v>19497</v>
      </c>
      <c r="J819" t="b">
        <v>0</v>
      </c>
      <c r="K819" t="b">
        <v>0</v>
      </c>
      <c r="L819" t="b">
        <v>1</v>
      </c>
      <c r="M819" t="str">
        <f t="shared" si="24"/>
        <v>FACEBOOK</v>
      </c>
      <c r="N819" t="str">
        <f t="shared" si="25"/>
        <v>Sub_Urban-FACEBOOK</v>
      </c>
      <c r="O819">
        <v>19497</v>
      </c>
    </row>
    <row r="820" spans="1:15" x14ac:dyDescent="0.3">
      <c r="A820">
        <v>60</v>
      </c>
      <c r="B820" t="s">
        <v>12</v>
      </c>
      <c r="C820" s="1">
        <v>1</v>
      </c>
      <c r="D820" t="s">
        <v>13</v>
      </c>
      <c r="E820" t="s">
        <v>20</v>
      </c>
      <c r="F820" t="s">
        <v>15</v>
      </c>
      <c r="G820" t="s">
        <v>23</v>
      </c>
      <c r="H820" t="s">
        <v>21</v>
      </c>
      <c r="I820" s="2">
        <v>15560</v>
      </c>
      <c r="J820" t="b">
        <v>0</v>
      </c>
      <c r="K820" t="b">
        <v>0</v>
      </c>
      <c r="L820" t="b">
        <v>1</v>
      </c>
      <c r="M820" t="str">
        <f t="shared" si="24"/>
        <v>INSTAGRAM</v>
      </c>
      <c r="N820" t="str">
        <f t="shared" si="25"/>
        <v>Sub_Urban-INSTAGRAM</v>
      </c>
      <c r="O820">
        <v>15560</v>
      </c>
    </row>
    <row r="821" spans="1:15" x14ac:dyDescent="0.3">
      <c r="A821">
        <v>60</v>
      </c>
      <c r="B821" t="s">
        <v>18</v>
      </c>
      <c r="C821" s="1">
        <v>7</v>
      </c>
      <c r="D821" t="s">
        <v>19</v>
      </c>
      <c r="E821" t="s">
        <v>26</v>
      </c>
      <c r="F821" t="s">
        <v>27</v>
      </c>
      <c r="G821" t="s">
        <v>23</v>
      </c>
      <c r="H821" t="s">
        <v>21</v>
      </c>
      <c r="I821" s="2">
        <v>17460</v>
      </c>
      <c r="J821" t="b">
        <v>0</v>
      </c>
      <c r="K821" t="b">
        <v>1</v>
      </c>
      <c r="L821" t="b">
        <v>0</v>
      </c>
      <c r="M821" t="str">
        <f t="shared" si="24"/>
        <v>FACEBOOK</v>
      </c>
      <c r="N821" t="str">
        <f t="shared" si="25"/>
        <v>Sub_Urban-FACEBOOK</v>
      </c>
      <c r="O821">
        <v>17460</v>
      </c>
    </row>
    <row r="822" spans="1:15" x14ac:dyDescent="0.3">
      <c r="A822">
        <v>28</v>
      </c>
      <c r="B822" t="s">
        <v>25</v>
      </c>
      <c r="C822" s="1">
        <v>5</v>
      </c>
      <c r="D822" t="s">
        <v>13</v>
      </c>
      <c r="E822" t="s">
        <v>26</v>
      </c>
      <c r="F822" t="s">
        <v>22</v>
      </c>
      <c r="G822" t="s">
        <v>16</v>
      </c>
      <c r="H822" t="s">
        <v>21</v>
      </c>
      <c r="I822" s="2">
        <v>13078</v>
      </c>
      <c r="J822" t="b">
        <v>0</v>
      </c>
      <c r="K822" t="b">
        <v>0</v>
      </c>
      <c r="L822" t="b">
        <v>1</v>
      </c>
      <c r="M822" t="str">
        <f t="shared" si="24"/>
        <v>INSTAGRAM</v>
      </c>
      <c r="N822" t="str">
        <f t="shared" si="25"/>
        <v>Urban-INSTAGRAM</v>
      </c>
      <c r="O822">
        <v>13078</v>
      </c>
    </row>
    <row r="823" spans="1:15" x14ac:dyDescent="0.3">
      <c r="A823">
        <v>64</v>
      </c>
      <c r="B823" t="s">
        <v>25</v>
      </c>
      <c r="C823" s="1">
        <v>4</v>
      </c>
      <c r="D823" t="s">
        <v>19</v>
      </c>
      <c r="E823" t="s">
        <v>14</v>
      </c>
      <c r="F823" t="s">
        <v>27</v>
      </c>
      <c r="G823" t="s">
        <v>23</v>
      </c>
      <c r="H823" t="s">
        <v>21</v>
      </c>
      <c r="I823" s="2">
        <v>12983</v>
      </c>
      <c r="J823" t="b">
        <v>0</v>
      </c>
      <c r="K823" t="b">
        <v>0</v>
      </c>
      <c r="L823" t="b">
        <v>0</v>
      </c>
      <c r="M823" t="str">
        <f t="shared" si="24"/>
        <v>FACEBOOK</v>
      </c>
      <c r="N823" t="str">
        <f t="shared" si="25"/>
        <v>Sub_Urban-FACEBOOK</v>
      </c>
      <c r="O823">
        <v>12983</v>
      </c>
    </row>
    <row r="824" spans="1:15" x14ac:dyDescent="0.3">
      <c r="A824">
        <v>40</v>
      </c>
      <c r="B824" t="s">
        <v>18</v>
      </c>
      <c r="C824" s="1">
        <v>4</v>
      </c>
      <c r="D824" t="s">
        <v>19</v>
      </c>
      <c r="E824" t="s">
        <v>14</v>
      </c>
      <c r="F824" t="s">
        <v>27</v>
      </c>
      <c r="G824" t="s">
        <v>16</v>
      </c>
      <c r="H824" t="s">
        <v>21</v>
      </c>
      <c r="I824" s="2">
        <v>17259</v>
      </c>
      <c r="J824" t="b">
        <v>1</v>
      </c>
      <c r="K824" t="b">
        <v>0</v>
      </c>
      <c r="L824" t="b">
        <v>1</v>
      </c>
      <c r="M824" t="str">
        <f t="shared" si="24"/>
        <v>FACEBOOK</v>
      </c>
      <c r="N824" t="str">
        <f t="shared" si="25"/>
        <v>Urban-FACEBOOK</v>
      </c>
      <c r="O824">
        <v>17259</v>
      </c>
    </row>
    <row r="825" spans="1:15" x14ac:dyDescent="0.3">
      <c r="A825">
        <v>33</v>
      </c>
      <c r="B825" t="s">
        <v>12</v>
      </c>
      <c r="C825" s="1">
        <v>4</v>
      </c>
      <c r="D825" t="s">
        <v>19</v>
      </c>
      <c r="E825" t="s">
        <v>14</v>
      </c>
      <c r="F825" t="s">
        <v>22</v>
      </c>
      <c r="G825" t="s">
        <v>23</v>
      </c>
      <c r="H825" t="s">
        <v>24</v>
      </c>
      <c r="I825" s="2">
        <v>16054</v>
      </c>
      <c r="J825" t="b">
        <v>0</v>
      </c>
      <c r="K825" t="b">
        <v>0</v>
      </c>
      <c r="L825" t="b">
        <v>1</v>
      </c>
      <c r="M825" t="str">
        <f t="shared" si="24"/>
        <v>FACEBOOK</v>
      </c>
      <c r="N825" t="str">
        <f t="shared" si="25"/>
        <v>Sub_Urban-FACEBOOK</v>
      </c>
      <c r="O825">
        <v>16054</v>
      </c>
    </row>
    <row r="826" spans="1:15" x14ac:dyDescent="0.3">
      <c r="A826">
        <v>48</v>
      </c>
      <c r="B826" t="s">
        <v>12</v>
      </c>
      <c r="C826" s="1">
        <v>6</v>
      </c>
      <c r="D826" t="s">
        <v>19</v>
      </c>
      <c r="E826" t="s">
        <v>20</v>
      </c>
      <c r="F826" t="s">
        <v>27</v>
      </c>
      <c r="G826" t="s">
        <v>29</v>
      </c>
      <c r="H826" t="s">
        <v>24</v>
      </c>
      <c r="I826" s="2">
        <v>12523</v>
      </c>
      <c r="J826" t="b">
        <v>0</v>
      </c>
      <c r="K826" t="b">
        <v>1</v>
      </c>
      <c r="L826" t="b">
        <v>0</v>
      </c>
      <c r="M826" t="str">
        <f t="shared" si="24"/>
        <v>FACEBOOK</v>
      </c>
      <c r="N826" t="str">
        <f t="shared" si="25"/>
        <v>Rural-FACEBOOK</v>
      </c>
      <c r="O826">
        <v>12523</v>
      </c>
    </row>
    <row r="827" spans="1:15" x14ac:dyDescent="0.3">
      <c r="A827">
        <v>28</v>
      </c>
      <c r="B827" t="s">
        <v>12</v>
      </c>
      <c r="C827" s="1">
        <v>8</v>
      </c>
      <c r="D827" t="s">
        <v>19</v>
      </c>
      <c r="E827" t="s">
        <v>26</v>
      </c>
      <c r="F827" t="s">
        <v>15</v>
      </c>
      <c r="G827" t="s">
        <v>16</v>
      </c>
      <c r="H827" t="s">
        <v>24</v>
      </c>
      <c r="I827" s="2">
        <v>19677</v>
      </c>
      <c r="J827" t="b">
        <v>0</v>
      </c>
      <c r="K827" t="b">
        <v>0</v>
      </c>
      <c r="L827" t="b">
        <v>1</v>
      </c>
      <c r="M827" t="str">
        <f t="shared" si="24"/>
        <v>FACEBOOK</v>
      </c>
      <c r="N827" t="str">
        <f t="shared" si="25"/>
        <v>Urban-FACEBOOK</v>
      </c>
      <c r="O827">
        <v>19677</v>
      </c>
    </row>
    <row r="828" spans="1:15" x14ac:dyDescent="0.3">
      <c r="A828">
        <v>33</v>
      </c>
      <c r="B828" t="s">
        <v>12</v>
      </c>
      <c r="C828" s="1">
        <v>8</v>
      </c>
      <c r="D828" t="s">
        <v>19</v>
      </c>
      <c r="E828" t="s">
        <v>14</v>
      </c>
      <c r="F828" t="s">
        <v>15</v>
      </c>
      <c r="G828" t="s">
        <v>16</v>
      </c>
      <c r="H828" t="s">
        <v>24</v>
      </c>
      <c r="I828" s="2">
        <v>14581</v>
      </c>
      <c r="J828" t="b">
        <v>1</v>
      </c>
      <c r="K828" t="b">
        <v>1</v>
      </c>
      <c r="L828" t="b">
        <v>1</v>
      </c>
      <c r="M828" t="str">
        <f t="shared" si="24"/>
        <v>FACEBOOK</v>
      </c>
      <c r="N828" t="str">
        <f t="shared" si="25"/>
        <v>Urban-FACEBOOK</v>
      </c>
      <c r="O828">
        <v>14581</v>
      </c>
    </row>
    <row r="829" spans="1:15" x14ac:dyDescent="0.3">
      <c r="A829">
        <v>25</v>
      </c>
      <c r="B829" t="s">
        <v>25</v>
      </c>
      <c r="C829" s="1">
        <v>5</v>
      </c>
      <c r="D829" t="s">
        <v>19</v>
      </c>
      <c r="E829" t="s">
        <v>14</v>
      </c>
      <c r="F829" t="s">
        <v>15</v>
      </c>
      <c r="G829" t="s">
        <v>23</v>
      </c>
      <c r="H829" t="s">
        <v>17</v>
      </c>
      <c r="I829" s="2">
        <v>15609</v>
      </c>
      <c r="J829" t="b">
        <v>1</v>
      </c>
      <c r="K829" t="b">
        <v>0</v>
      </c>
      <c r="L829" t="b">
        <v>1</v>
      </c>
      <c r="M829" t="str">
        <f t="shared" si="24"/>
        <v>FACEBOOK</v>
      </c>
      <c r="N829" t="str">
        <f t="shared" si="25"/>
        <v>Sub_Urban-FACEBOOK</v>
      </c>
      <c r="O829">
        <v>15609</v>
      </c>
    </row>
    <row r="830" spans="1:15" x14ac:dyDescent="0.3">
      <c r="A830">
        <v>21</v>
      </c>
      <c r="B830" t="s">
        <v>25</v>
      </c>
      <c r="C830" s="1">
        <v>6</v>
      </c>
      <c r="D830" t="s">
        <v>19</v>
      </c>
      <c r="E830" t="s">
        <v>14</v>
      </c>
      <c r="F830" t="s">
        <v>27</v>
      </c>
      <c r="G830" t="s">
        <v>23</v>
      </c>
      <c r="H830" t="s">
        <v>24</v>
      </c>
      <c r="I830" s="2">
        <v>12001</v>
      </c>
      <c r="J830" t="b">
        <v>1</v>
      </c>
      <c r="K830" t="b">
        <v>1</v>
      </c>
      <c r="L830" t="b">
        <v>0</v>
      </c>
      <c r="M830" t="str">
        <f t="shared" si="24"/>
        <v>FACEBOOK</v>
      </c>
      <c r="N830" t="str">
        <f t="shared" si="25"/>
        <v>Sub_Urban-FACEBOOK</v>
      </c>
      <c r="O830">
        <v>12001</v>
      </c>
    </row>
    <row r="831" spans="1:15" x14ac:dyDescent="0.3">
      <c r="A831">
        <v>57</v>
      </c>
      <c r="B831" t="s">
        <v>18</v>
      </c>
      <c r="C831" s="1">
        <v>4</v>
      </c>
      <c r="D831" t="s">
        <v>19</v>
      </c>
      <c r="E831" t="s">
        <v>26</v>
      </c>
      <c r="F831" t="s">
        <v>15</v>
      </c>
      <c r="G831" t="s">
        <v>16</v>
      </c>
      <c r="H831" t="s">
        <v>21</v>
      </c>
      <c r="I831" s="2">
        <v>11387</v>
      </c>
      <c r="J831" t="b">
        <v>0</v>
      </c>
      <c r="K831" t="b">
        <v>1</v>
      </c>
      <c r="L831" t="b">
        <v>1</v>
      </c>
      <c r="M831" t="str">
        <f t="shared" si="24"/>
        <v>FACEBOOK</v>
      </c>
      <c r="N831" t="str">
        <f t="shared" si="25"/>
        <v>Urban-FACEBOOK</v>
      </c>
      <c r="O831">
        <v>11387</v>
      </c>
    </row>
    <row r="832" spans="1:15" x14ac:dyDescent="0.3">
      <c r="A832">
        <v>21</v>
      </c>
      <c r="B832" t="s">
        <v>18</v>
      </c>
      <c r="C832" s="1">
        <v>9</v>
      </c>
      <c r="D832" t="s">
        <v>13</v>
      </c>
      <c r="E832" t="s">
        <v>26</v>
      </c>
      <c r="F832" t="s">
        <v>15</v>
      </c>
      <c r="G832" t="s">
        <v>29</v>
      </c>
      <c r="H832" t="s">
        <v>24</v>
      </c>
      <c r="I832" s="2">
        <v>16552</v>
      </c>
      <c r="J832" t="b">
        <v>0</v>
      </c>
      <c r="K832" t="b">
        <v>1</v>
      </c>
      <c r="L832" t="b">
        <v>1</v>
      </c>
      <c r="M832" t="str">
        <f t="shared" si="24"/>
        <v>INSTAGRAM</v>
      </c>
      <c r="N832" t="str">
        <f t="shared" si="25"/>
        <v>Rural-INSTAGRAM</v>
      </c>
      <c r="O832">
        <v>16552</v>
      </c>
    </row>
    <row r="833" spans="1:15" x14ac:dyDescent="0.3">
      <c r="A833">
        <v>42</v>
      </c>
      <c r="B833" t="s">
        <v>25</v>
      </c>
      <c r="C833" s="1">
        <v>8</v>
      </c>
      <c r="D833" t="s">
        <v>28</v>
      </c>
      <c r="E833" t="s">
        <v>26</v>
      </c>
      <c r="F833" t="s">
        <v>15</v>
      </c>
      <c r="G833" t="s">
        <v>29</v>
      </c>
      <c r="H833" t="s">
        <v>24</v>
      </c>
      <c r="I833" s="2">
        <v>11030</v>
      </c>
      <c r="J833" t="b">
        <v>0</v>
      </c>
      <c r="K833" t="b">
        <v>1</v>
      </c>
      <c r="L833" t="b">
        <v>1</v>
      </c>
      <c r="M833" t="str">
        <f t="shared" si="24"/>
        <v>YOUTUBE</v>
      </c>
      <c r="N833" t="str">
        <f t="shared" si="25"/>
        <v>Rural-YOUTUBE</v>
      </c>
      <c r="O833">
        <v>11030</v>
      </c>
    </row>
    <row r="834" spans="1:15" x14ac:dyDescent="0.3">
      <c r="A834">
        <v>20</v>
      </c>
      <c r="B834" t="s">
        <v>25</v>
      </c>
      <c r="C834" s="1">
        <v>1</v>
      </c>
      <c r="D834" t="s">
        <v>19</v>
      </c>
      <c r="E834" t="s">
        <v>20</v>
      </c>
      <c r="F834" t="s">
        <v>15</v>
      </c>
      <c r="G834" t="s">
        <v>23</v>
      </c>
      <c r="H834" t="s">
        <v>21</v>
      </c>
      <c r="I834" s="2">
        <v>19957</v>
      </c>
      <c r="J834" t="b">
        <v>1</v>
      </c>
      <c r="K834" t="b">
        <v>1</v>
      </c>
      <c r="L834" t="b">
        <v>0</v>
      </c>
      <c r="M834" t="str">
        <f t="shared" ref="M834:M897" si="26">UPPER(D834)</f>
        <v>FACEBOOK</v>
      </c>
      <c r="N834" t="str">
        <f t="shared" ref="N834:N897" si="27">_xlfn.CONCAT(G834,"-",M834)</f>
        <v>Sub_Urban-FACEBOOK</v>
      </c>
      <c r="O834">
        <v>19957</v>
      </c>
    </row>
    <row r="835" spans="1:15" x14ac:dyDescent="0.3">
      <c r="A835">
        <v>49</v>
      </c>
      <c r="B835" t="s">
        <v>12</v>
      </c>
      <c r="C835" s="1">
        <v>2</v>
      </c>
      <c r="D835" t="s">
        <v>28</v>
      </c>
      <c r="E835" t="s">
        <v>20</v>
      </c>
      <c r="F835" t="s">
        <v>15</v>
      </c>
      <c r="G835" t="s">
        <v>29</v>
      </c>
      <c r="H835" t="s">
        <v>24</v>
      </c>
      <c r="I835" s="2">
        <v>11220</v>
      </c>
      <c r="J835" t="b">
        <v>0</v>
      </c>
      <c r="K835" t="b">
        <v>0</v>
      </c>
      <c r="L835" t="b">
        <v>0</v>
      </c>
      <c r="M835" t="str">
        <f t="shared" si="26"/>
        <v>YOUTUBE</v>
      </c>
      <c r="N835" t="str">
        <f t="shared" si="27"/>
        <v>Rural-YOUTUBE</v>
      </c>
      <c r="O835">
        <v>11220</v>
      </c>
    </row>
    <row r="836" spans="1:15" x14ac:dyDescent="0.3">
      <c r="A836">
        <v>20</v>
      </c>
      <c r="B836" t="s">
        <v>12</v>
      </c>
      <c r="C836" s="1">
        <v>9</v>
      </c>
      <c r="D836" t="s">
        <v>19</v>
      </c>
      <c r="E836" t="s">
        <v>14</v>
      </c>
      <c r="F836" t="s">
        <v>15</v>
      </c>
      <c r="G836" t="s">
        <v>29</v>
      </c>
      <c r="H836" t="s">
        <v>24</v>
      </c>
      <c r="I836" s="2">
        <v>16035</v>
      </c>
      <c r="J836" t="b">
        <v>1</v>
      </c>
      <c r="K836" t="b">
        <v>1</v>
      </c>
      <c r="L836" t="b">
        <v>0</v>
      </c>
      <c r="M836" t="str">
        <f t="shared" si="26"/>
        <v>FACEBOOK</v>
      </c>
      <c r="N836" t="str">
        <f t="shared" si="27"/>
        <v>Rural-FACEBOOK</v>
      </c>
      <c r="O836">
        <v>16035</v>
      </c>
    </row>
    <row r="837" spans="1:15" x14ac:dyDescent="0.3">
      <c r="A837">
        <v>44</v>
      </c>
      <c r="B837" t="s">
        <v>18</v>
      </c>
      <c r="C837" s="1">
        <v>8</v>
      </c>
      <c r="D837" t="s">
        <v>19</v>
      </c>
      <c r="E837" t="s">
        <v>26</v>
      </c>
      <c r="F837" t="s">
        <v>27</v>
      </c>
      <c r="G837" t="s">
        <v>23</v>
      </c>
      <c r="H837" t="s">
        <v>24</v>
      </c>
      <c r="I837" s="2">
        <v>19810</v>
      </c>
      <c r="J837" t="b">
        <v>1</v>
      </c>
      <c r="K837" t="b">
        <v>0</v>
      </c>
      <c r="L837" t="b">
        <v>0</v>
      </c>
      <c r="M837" t="str">
        <f t="shared" si="26"/>
        <v>FACEBOOK</v>
      </c>
      <c r="N837" t="str">
        <f t="shared" si="27"/>
        <v>Sub_Urban-FACEBOOK</v>
      </c>
      <c r="O837">
        <v>19810</v>
      </c>
    </row>
    <row r="838" spans="1:15" x14ac:dyDescent="0.3">
      <c r="A838">
        <v>46</v>
      </c>
      <c r="B838" t="s">
        <v>25</v>
      </c>
      <c r="C838" s="1">
        <v>3</v>
      </c>
      <c r="D838" t="s">
        <v>13</v>
      </c>
      <c r="E838" t="s">
        <v>14</v>
      </c>
      <c r="F838" t="s">
        <v>15</v>
      </c>
      <c r="G838" t="s">
        <v>29</v>
      </c>
      <c r="H838" t="s">
        <v>17</v>
      </c>
      <c r="I838" s="2">
        <v>19455</v>
      </c>
      <c r="J838" t="b">
        <v>1</v>
      </c>
      <c r="K838" t="b">
        <v>1</v>
      </c>
      <c r="L838" t="b">
        <v>0</v>
      </c>
      <c r="M838" t="str">
        <f t="shared" si="26"/>
        <v>INSTAGRAM</v>
      </c>
      <c r="N838" t="str">
        <f t="shared" si="27"/>
        <v>Rural-INSTAGRAM</v>
      </c>
      <c r="O838">
        <v>19455</v>
      </c>
    </row>
    <row r="839" spans="1:15" x14ac:dyDescent="0.3">
      <c r="A839">
        <v>49</v>
      </c>
      <c r="B839" t="s">
        <v>18</v>
      </c>
      <c r="C839" s="1">
        <v>8</v>
      </c>
      <c r="D839" t="s">
        <v>13</v>
      </c>
      <c r="E839" t="s">
        <v>26</v>
      </c>
      <c r="F839" t="s">
        <v>15</v>
      </c>
      <c r="G839" t="s">
        <v>23</v>
      </c>
      <c r="H839" t="s">
        <v>24</v>
      </c>
      <c r="I839" s="2">
        <v>16523</v>
      </c>
      <c r="J839" t="b">
        <v>1</v>
      </c>
      <c r="K839" t="b">
        <v>1</v>
      </c>
      <c r="L839" t="b">
        <v>1</v>
      </c>
      <c r="M839" t="str">
        <f t="shared" si="26"/>
        <v>INSTAGRAM</v>
      </c>
      <c r="N839" t="str">
        <f t="shared" si="27"/>
        <v>Sub_Urban-INSTAGRAM</v>
      </c>
      <c r="O839">
        <v>16523</v>
      </c>
    </row>
    <row r="840" spans="1:15" x14ac:dyDescent="0.3">
      <c r="A840">
        <v>36</v>
      </c>
      <c r="B840" t="s">
        <v>25</v>
      </c>
      <c r="C840" s="1">
        <v>1</v>
      </c>
      <c r="D840" t="s">
        <v>28</v>
      </c>
      <c r="E840" t="s">
        <v>26</v>
      </c>
      <c r="F840" t="s">
        <v>22</v>
      </c>
      <c r="G840" t="s">
        <v>16</v>
      </c>
      <c r="H840" t="s">
        <v>21</v>
      </c>
      <c r="I840" s="2">
        <v>18074</v>
      </c>
      <c r="J840" t="b">
        <v>1</v>
      </c>
      <c r="K840" t="b">
        <v>0</v>
      </c>
      <c r="L840" t="b">
        <v>0</v>
      </c>
      <c r="M840" t="str">
        <f t="shared" si="26"/>
        <v>YOUTUBE</v>
      </c>
      <c r="N840" t="str">
        <f t="shared" si="27"/>
        <v>Urban-YOUTUBE</v>
      </c>
      <c r="O840">
        <v>18074</v>
      </c>
    </row>
    <row r="841" spans="1:15" x14ac:dyDescent="0.3">
      <c r="A841">
        <v>38</v>
      </c>
      <c r="B841" t="s">
        <v>12</v>
      </c>
      <c r="C841" s="1">
        <v>4</v>
      </c>
      <c r="D841" t="s">
        <v>13</v>
      </c>
      <c r="E841" t="s">
        <v>26</v>
      </c>
      <c r="F841" t="s">
        <v>27</v>
      </c>
      <c r="G841" t="s">
        <v>23</v>
      </c>
      <c r="H841" t="s">
        <v>21</v>
      </c>
      <c r="I841" s="2">
        <v>19063</v>
      </c>
      <c r="J841" t="b">
        <v>0</v>
      </c>
      <c r="K841" t="b">
        <v>1</v>
      </c>
      <c r="L841" t="b">
        <v>0</v>
      </c>
      <c r="M841" t="str">
        <f t="shared" si="26"/>
        <v>INSTAGRAM</v>
      </c>
      <c r="N841" t="str">
        <f t="shared" si="27"/>
        <v>Sub_Urban-INSTAGRAM</v>
      </c>
      <c r="O841">
        <v>19063</v>
      </c>
    </row>
    <row r="842" spans="1:15" x14ac:dyDescent="0.3">
      <c r="A842">
        <v>22</v>
      </c>
      <c r="B842" t="s">
        <v>18</v>
      </c>
      <c r="C842" s="1">
        <v>3</v>
      </c>
      <c r="D842" t="s">
        <v>13</v>
      </c>
      <c r="E842" t="s">
        <v>20</v>
      </c>
      <c r="F842" t="s">
        <v>27</v>
      </c>
      <c r="G842" t="s">
        <v>16</v>
      </c>
      <c r="H842" t="s">
        <v>24</v>
      </c>
      <c r="I842" s="2">
        <v>10834</v>
      </c>
      <c r="J842" t="b">
        <v>0</v>
      </c>
      <c r="K842" t="b">
        <v>1</v>
      </c>
      <c r="L842" t="b">
        <v>1</v>
      </c>
      <c r="M842" t="str">
        <f t="shared" si="26"/>
        <v>INSTAGRAM</v>
      </c>
      <c r="N842" t="str">
        <f t="shared" si="27"/>
        <v>Urban-INSTAGRAM</v>
      </c>
      <c r="O842">
        <v>10834</v>
      </c>
    </row>
    <row r="843" spans="1:15" x14ac:dyDescent="0.3">
      <c r="A843">
        <v>35</v>
      </c>
      <c r="B843" t="s">
        <v>18</v>
      </c>
      <c r="C843" s="1">
        <v>6</v>
      </c>
      <c r="D843" t="s">
        <v>28</v>
      </c>
      <c r="E843" t="s">
        <v>20</v>
      </c>
      <c r="F843" t="s">
        <v>27</v>
      </c>
      <c r="G843" t="s">
        <v>16</v>
      </c>
      <c r="H843" t="s">
        <v>24</v>
      </c>
      <c r="I843" s="2">
        <v>19110</v>
      </c>
      <c r="J843" t="b">
        <v>1</v>
      </c>
      <c r="K843" t="b">
        <v>1</v>
      </c>
      <c r="L843" t="b">
        <v>0</v>
      </c>
      <c r="M843" t="str">
        <f t="shared" si="26"/>
        <v>YOUTUBE</v>
      </c>
      <c r="N843" t="str">
        <f t="shared" si="27"/>
        <v>Urban-YOUTUBE</v>
      </c>
      <c r="O843">
        <v>19110</v>
      </c>
    </row>
    <row r="844" spans="1:15" x14ac:dyDescent="0.3">
      <c r="A844">
        <v>45</v>
      </c>
      <c r="B844" t="s">
        <v>25</v>
      </c>
      <c r="C844" s="1">
        <v>7</v>
      </c>
      <c r="D844" t="s">
        <v>13</v>
      </c>
      <c r="E844" t="s">
        <v>26</v>
      </c>
      <c r="F844" t="s">
        <v>27</v>
      </c>
      <c r="G844" t="s">
        <v>29</v>
      </c>
      <c r="H844" t="s">
        <v>24</v>
      </c>
      <c r="I844" s="2">
        <v>11724</v>
      </c>
      <c r="J844" t="b">
        <v>0</v>
      </c>
      <c r="K844" t="b">
        <v>1</v>
      </c>
      <c r="L844" t="b">
        <v>1</v>
      </c>
      <c r="M844" t="str">
        <f t="shared" si="26"/>
        <v>INSTAGRAM</v>
      </c>
      <c r="N844" t="str">
        <f t="shared" si="27"/>
        <v>Rural-INSTAGRAM</v>
      </c>
      <c r="O844">
        <v>11724</v>
      </c>
    </row>
    <row r="845" spans="1:15" x14ac:dyDescent="0.3">
      <c r="A845">
        <v>59</v>
      </c>
      <c r="B845" t="s">
        <v>12</v>
      </c>
      <c r="C845" s="1">
        <v>4</v>
      </c>
      <c r="D845" t="s">
        <v>19</v>
      </c>
      <c r="E845" t="s">
        <v>14</v>
      </c>
      <c r="F845" t="s">
        <v>15</v>
      </c>
      <c r="G845" t="s">
        <v>29</v>
      </c>
      <c r="H845" t="s">
        <v>21</v>
      </c>
      <c r="I845" s="2">
        <v>16598</v>
      </c>
      <c r="J845" t="b">
        <v>0</v>
      </c>
      <c r="K845" t="b">
        <v>0</v>
      </c>
      <c r="L845" t="b">
        <v>0</v>
      </c>
      <c r="M845" t="str">
        <f t="shared" si="26"/>
        <v>FACEBOOK</v>
      </c>
      <c r="N845" t="str">
        <f t="shared" si="27"/>
        <v>Rural-FACEBOOK</v>
      </c>
      <c r="O845">
        <v>16598</v>
      </c>
    </row>
    <row r="846" spans="1:15" x14ac:dyDescent="0.3">
      <c r="A846">
        <v>39</v>
      </c>
      <c r="B846" t="s">
        <v>18</v>
      </c>
      <c r="C846" s="1">
        <v>7</v>
      </c>
      <c r="D846" t="s">
        <v>28</v>
      </c>
      <c r="E846" t="s">
        <v>26</v>
      </c>
      <c r="F846" t="s">
        <v>15</v>
      </c>
      <c r="G846" t="s">
        <v>29</v>
      </c>
      <c r="H846" t="s">
        <v>21</v>
      </c>
      <c r="I846" s="2">
        <v>12413</v>
      </c>
      <c r="J846" t="b">
        <v>1</v>
      </c>
      <c r="K846" t="b">
        <v>1</v>
      </c>
      <c r="L846" t="b">
        <v>1</v>
      </c>
      <c r="M846" t="str">
        <f t="shared" si="26"/>
        <v>YOUTUBE</v>
      </c>
      <c r="N846" t="str">
        <f t="shared" si="27"/>
        <v>Rural-YOUTUBE</v>
      </c>
      <c r="O846">
        <v>12413</v>
      </c>
    </row>
    <row r="847" spans="1:15" x14ac:dyDescent="0.3">
      <c r="A847">
        <v>38</v>
      </c>
      <c r="B847" t="s">
        <v>12</v>
      </c>
      <c r="C847" s="1">
        <v>9</v>
      </c>
      <c r="D847" t="s">
        <v>28</v>
      </c>
      <c r="E847" t="s">
        <v>26</v>
      </c>
      <c r="F847" t="s">
        <v>22</v>
      </c>
      <c r="G847" t="s">
        <v>23</v>
      </c>
      <c r="H847" t="s">
        <v>17</v>
      </c>
      <c r="I847" s="2">
        <v>19505</v>
      </c>
      <c r="J847" t="b">
        <v>1</v>
      </c>
      <c r="K847" t="b">
        <v>1</v>
      </c>
      <c r="L847" t="b">
        <v>1</v>
      </c>
      <c r="M847" t="str">
        <f t="shared" si="26"/>
        <v>YOUTUBE</v>
      </c>
      <c r="N847" t="str">
        <f t="shared" si="27"/>
        <v>Sub_Urban-YOUTUBE</v>
      </c>
      <c r="O847">
        <v>19505</v>
      </c>
    </row>
    <row r="848" spans="1:15" x14ac:dyDescent="0.3">
      <c r="A848">
        <v>23</v>
      </c>
      <c r="B848" t="s">
        <v>18</v>
      </c>
      <c r="C848" s="1">
        <v>2</v>
      </c>
      <c r="D848" t="s">
        <v>19</v>
      </c>
      <c r="E848" t="s">
        <v>14</v>
      </c>
      <c r="F848" t="s">
        <v>22</v>
      </c>
      <c r="G848" t="s">
        <v>29</v>
      </c>
      <c r="H848" t="s">
        <v>17</v>
      </c>
      <c r="I848" s="2">
        <v>15993</v>
      </c>
      <c r="J848" t="b">
        <v>0</v>
      </c>
      <c r="K848" t="b">
        <v>0</v>
      </c>
      <c r="L848" t="b">
        <v>0</v>
      </c>
      <c r="M848" t="str">
        <f t="shared" si="26"/>
        <v>FACEBOOK</v>
      </c>
      <c r="N848" t="str">
        <f t="shared" si="27"/>
        <v>Rural-FACEBOOK</v>
      </c>
      <c r="O848">
        <v>15993</v>
      </c>
    </row>
    <row r="849" spans="1:15" x14ac:dyDescent="0.3">
      <c r="A849">
        <v>18</v>
      </c>
      <c r="B849" t="s">
        <v>12</v>
      </c>
      <c r="C849" s="1">
        <v>3</v>
      </c>
      <c r="D849" t="s">
        <v>13</v>
      </c>
      <c r="E849" t="s">
        <v>26</v>
      </c>
      <c r="F849" t="s">
        <v>27</v>
      </c>
      <c r="G849" t="s">
        <v>16</v>
      </c>
      <c r="H849" t="s">
        <v>17</v>
      </c>
      <c r="I849" s="2">
        <v>14498</v>
      </c>
      <c r="J849" t="b">
        <v>0</v>
      </c>
      <c r="K849" t="b">
        <v>0</v>
      </c>
      <c r="L849" t="b">
        <v>0</v>
      </c>
      <c r="M849" t="str">
        <f t="shared" si="26"/>
        <v>INSTAGRAM</v>
      </c>
      <c r="N849" t="str">
        <f t="shared" si="27"/>
        <v>Urban-INSTAGRAM</v>
      </c>
      <c r="O849">
        <v>14498</v>
      </c>
    </row>
    <row r="850" spans="1:15" x14ac:dyDescent="0.3">
      <c r="A850">
        <v>22</v>
      </c>
      <c r="B850" t="s">
        <v>25</v>
      </c>
      <c r="C850" s="1">
        <v>5</v>
      </c>
      <c r="D850" t="s">
        <v>28</v>
      </c>
      <c r="E850" t="s">
        <v>14</v>
      </c>
      <c r="F850" t="s">
        <v>22</v>
      </c>
      <c r="G850" t="s">
        <v>29</v>
      </c>
      <c r="H850" t="s">
        <v>21</v>
      </c>
      <c r="I850" s="2">
        <v>12105</v>
      </c>
      <c r="J850" t="b">
        <v>0</v>
      </c>
      <c r="K850" t="b">
        <v>1</v>
      </c>
      <c r="L850" t="b">
        <v>1</v>
      </c>
      <c r="M850" t="str">
        <f t="shared" si="26"/>
        <v>YOUTUBE</v>
      </c>
      <c r="N850" t="str">
        <f t="shared" si="27"/>
        <v>Rural-YOUTUBE</v>
      </c>
      <c r="O850">
        <v>12105</v>
      </c>
    </row>
    <row r="851" spans="1:15" x14ac:dyDescent="0.3">
      <c r="A851">
        <v>58</v>
      </c>
      <c r="B851" t="s">
        <v>18</v>
      </c>
      <c r="C851" s="1">
        <v>3</v>
      </c>
      <c r="D851" t="s">
        <v>28</v>
      </c>
      <c r="E851" t="s">
        <v>20</v>
      </c>
      <c r="F851" t="s">
        <v>22</v>
      </c>
      <c r="G851" t="s">
        <v>29</v>
      </c>
      <c r="H851" t="s">
        <v>17</v>
      </c>
      <c r="I851" s="2">
        <v>12568</v>
      </c>
      <c r="J851" t="b">
        <v>0</v>
      </c>
      <c r="K851" t="b">
        <v>1</v>
      </c>
      <c r="L851" t="b">
        <v>1</v>
      </c>
      <c r="M851" t="str">
        <f t="shared" si="26"/>
        <v>YOUTUBE</v>
      </c>
      <c r="N851" t="str">
        <f t="shared" si="27"/>
        <v>Rural-YOUTUBE</v>
      </c>
      <c r="O851">
        <v>12568</v>
      </c>
    </row>
    <row r="852" spans="1:15" x14ac:dyDescent="0.3">
      <c r="A852">
        <v>29</v>
      </c>
      <c r="B852" t="s">
        <v>18</v>
      </c>
      <c r="C852" s="1">
        <v>8</v>
      </c>
      <c r="D852" t="s">
        <v>19</v>
      </c>
      <c r="E852" t="s">
        <v>20</v>
      </c>
      <c r="F852" t="s">
        <v>27</v>
      </c>
      <c r="G852" t="s">
        <v>23</v>
      </c>
      <c r="H852" t="s">
        <v>24</v>
      </c>
      <c r="I852" s="2">
        <v>19330</v>
      </c>
      <c r="J852" t="b">
        <v>1</v>
      </c>
      <c r="K852" t="b">
        <v>0</v>
      </c>
      <c r="L852" t="b">
        <v>1</v>
      </c>
      <c r="M852" t="str">
        <f t="shared" si="26"/>
        <v>FACEBOOK</v>
      </c>
      <c r="N852" t="str">
        <f t="shared" si="27"/>
        <v>Sub_Urban-FACEBOOK</v>
      </c>
      <c r="O852">
        <v>19330</v>
      </c>
    </row>
    <row r="853" spans="1:15" x14ac:dyDescent="0.3">
      <c r="A853">
        <v>43</v>
      </c>
      <c r="B853" t="s">
        <v>12</v>
      </c>
      <c r="C853" s="1">
        <v>8</v>
      </c>
      <c r="D853" t="s">
        <v>19</v>
      </c>
      <c r="E853" t="s">
        <v>14</v>
      </c>
      <c r="F853" t="s">
        <v>27</v>
      </c>
      <c r="G853" t="s">
        <v>23</v>
      </c>
      <c r="H853" t="s">
        <v>24</v>
      </c>
      <c r="I853" s="2">
        <v>10209</v>
      </c>
      <c r="J853" t="b">
        <v>0</v>
      </c>
      <c r="K853" t="b">
        <v>1</v>
      </c>
      <c r="L853" t="b">
        <v>1</v>
      </c>
      <c r="M853" t="str">
        <f t="shared" si="26"/>
        <v>FACEBOOK</v>
      </c>
      <c r="N853" t="str">
        <f t="shared" si="27"/>
        <v>Sub_Urban-FACEBOOK</v>
      </c>
      <c r="O853">
        <v>10209</v>
      </c>
    </row>
    <row r="854" spans="1:15" x14ac:dyDescent="0.3">
      <c r="A854">
        <v>63</v>
      </c>
      <c r="B854" t="s">
        <v>12</v>
      </c>
      <c r="C854" s="1">
        <v>8</v>
      </c>
      <c r="D854" t="s">
        <v>13</v>
      </c>
      <c r="E854" t="s">
        <v>20</v>
      </c>
      <c r="F854" t="s">
        <v>22</v>
      </c>
      <c r="G854" t="s">
        <v>16</v>
      </c>
      <c r="H854" t="s">
        <v>21</v>
      </c>
      <c r="I854" s="2">
        <v>19256</v>
      </c>
      <c r="J854" t="b">
        <v>1</v>
      </c>
      <c r="K854" t="b">
        <v>0</v>
      </c>
      <c r="L854" t="b">
        <v>1</v>
      </c>
      <c r="M854" t="str">
        <f t="shared" si="26"/>
        <v>INSTAGRAM</v>
      </c>
      <c r="N854" t="str">
        <f t="shared" si="27"/>
        <v>Urban-INSTAGRAM</v>
      </c>
      <c r="O854">
        <v>19256</v>
      </c>
    </row>
    <row r="855" spans="1:15" x14ac:dyDescent="0.3">
      <c r="A855">
        <v>51</v>
      </c>
      <c r="B855" t="s">
        <v>18</v>
      </c>
      <c r="C855" s="1">
        <v>9</v>
      </c>
      <c r="D855" t="s">
        <v>28</v>
      </c>
      <c r="E855" t="s">
        <v>20</v>
      </c>
      <c r="F855" t="s">
        <v>15</v>
      </c>
      <c r="G855" t="s">
        <v>23</v>
      </c>
      <c r="H855" t="s">
        <v>17</v>
      </c>
      <c r="I855" s="2">
        <v>14911</v>
      </c>
      <c r="J855" t="b">
        <v>1</v>
      </c>
      <c r="K855" t="b">
        <v>1</v>
      </c>
      <c r="L855" t="b">
        <v>1</v>
      </c>
      <c r="M855" t="str">
        <f t="shared" si="26"/>
        <v>YOUTUBE</v>
      </c>
      <c r="N855" t="str">
        <f t="shared" si="27"/>
        <v>Sub_Urban-YOUTUBE</v>
      </c>
      <c r="O855">
        <v>14911</v>
      </c>
    </row>
    <row r="856" spans="1:15" x14ac:dyDescent="0.3">
      <c r="A856">
        <v>31</v>
      </c>
      <c r="B856" t="s">
        <v>25</v>
      </c>
      <c r="C856" s="1">
        <v>4</v>
      </c>
      <c r="D856" t="s">
        <v>13</v>
      </c>
      <c r="E856" t="s">
        <v>14</v>
      </c>
      <c r="F856" t="s">
        <v>22</v>
      </c>
      <c r="G856" t="s">
        <v>29</v>
      </c>
      <c r="H856" t="s">
        <v>24</v>
      </c>
      <c r="I856" s="2">
        <v>12220</v>
      </c>
      <c r="J856" t="b">
        <v>0</v>
      </c>
      <c r="K856" t="b">
        <v>0</v>
      </c>
      <c r="L856" t="b">
        <v>1</v>
      </c>
      <c r="M856" t="str">
        <f t="shared" si="26"/>
        <v>INSTAGRAM</v>
      </c>
      <c r="N856" t="str">
        <f t="shared" si="27"/>
        <v>Rural-INSTAGRAM</v>
      </c>
      <c r="O856">
        <v>12220</v>
      </c>
    </row>
    <row r="857" spans="1:15" x14ac:dyDescent="0.3">
      <c r="A857">
        <v>43</v>
      </c>
      <c r="B857" t="s">
        <v>12</v>
      </c>
      <c r="C857" s="1">
        <v>5</v>
      </c>
      <c r="D857" t="s">
        <v>13</v>
      </c>
      <c r="E857" t="s">
        <v>20</v>
      </c>
      <c r="F857" t="s">
        <v>22</v>
      </c>
      <c r="G857" t="s">
        <v>23</v>
      </c>
      <c r="H857" t="s">
        <v>21</v>
      </c>
      <c r="I857" s="2">
        <v>10233</v>
      </c>
      <c r="J857" t="b">
        <v>0</v>
      </c>
      <c r="K857" t="b">
        <v>0</v>
      </c>
      <c r="L857" t="b">
        <v>0</v>
      </c>
      <c r="M857" t="str">
        <f t="shared" si="26"/>
        <v>INSTAGRAM</v>
      </c>
      <c r="N857" t="str">
        <f t="shared" si="27"/>
        <v>Sub_Urban-INSTAGRAM</v>
      </c>
      <c r="O857">
        <v>10233</v>
      </c>
    </row>
    <row r="858" spans="1:15" x14ac:dyDescent="0.3">
      <c r="A858">
        <v>62</v>
      </c>
      <c r="B858" t="s">
        <v>12</v>
      </c>
      <c r="C858" s="1">
        <v>5</v>
      </c>
      <c r="D858" t="s">
        <v>19</v>
      </c>
      <c r="E858" t="s">
        <v>26</v>
      </c>
      <c r="F858" t="s">
        <v>15</v>
      </c>
      <c r="G858" t="s">
        <v>16</v>
      </c>
      <c r="H858" t="s">
        <v>17</v>
      </c>
      <c r="I858" s="2">
        <v>10792</v>
      </c>
      <c r="J858" t="b">
        <v>0</v>
      </c>
      <c r="K858" t="b">
        <v>0</v>
      </c>
      <c r="L858" t="b">
        <v>1</v>
      </c>
      <c r="M858" t="str">
        <f t="shared" si="26"/>
        <v>FACEBOOK</v>
      </c>
      <c r="N858" t="str">
        <f t="shared" si="27"/>
        <v>Urban-FACEBOOK</v>
      </c>
      <c r="O858">
        <v>10792</v>
      </c>
    </row>
    <row r="859" spans="1:15" x14ac:dyDescent="0.3">
      <c r="A859">
        <v>44</v>
      </c>
      <c r="B859" t="s">
        <v>12</v>
      </c>
      <c r="C859" s="1">
        <v>8</v>
      </c>
      <c r="D859" t="s">
        <v>28</v>
      </c>
      <c r="E859" t="s">
        <v>26</v>
      </c>
      <c r="F859" t="s">
        <v>15</v>
      </c>
      <c r="G859" t="s">
        <v>29</v>
      </c>
      <c r="H859" t="s">
        <v>24</v>
      </c>
      <c r="I859" s="2">
        <v>13110</v>
      </c>
      <c r="J859" t="b">
        <v>1</v>
      </c>
      <c r="K859" t="b">
        <v>1</v>
      </c>
      <c r="L859" t="b">
        <v>0</v>
      </c>
      <c r="M859" t="str">
        <f t="shared" si="26"/>
        <v>YOUTUBE</v>
      </c>
      <c r="N859" t="str">
        <f t="shared" si="27"/>
        <v>Rural-YOUTUBE</v>
      </c>
      <c r="O859">
        <v>13110</v>
      </c>
    </row>
    <row r="860" spans="1:15" x14ac:dyDescent="0.3">
      <c r="A860">
        <v>26</v>
      </c>
      <c r="B860" t="s">
        <v>18</v>
      </c>
      <c r="C860" s="1">
        <v>7</v>
      </c>
      <c r="D860" t="s">
        <v>28</v>
      </c>
      <c r="E860" t="s">
        <v>14</v>
      </c>
      <c r="F860" t="s">
        <v>27</v>
      </c>
      <c r="G860" t="s">
        <v>16</v>
      </c>
      <c r="H860" t="s">
        <v>17</v>
      </c>
      <c r="I860" s="2">
        <v>12166</v>
      </c>
      <c r="J860" t="b">
        <v>1</v>
      </c>
      <c r="K860" t="b">
        <v>1</v>
      </c>
      <c r="L860" t="b">
        <v>0</v>
      </c>
      <c r="M860" t="str">
        <f t="shared" si="26"/>
        <v>YOUTUBE</v>
      </c>
      <c r="N860" t="str">
        <f t="shared" si="27"/>
        <v>Urban-YOUTUBE</v>
      </c>
      <c r="O860">
        <v>12166</v>
      </c>
    </row>
    <row r="861" spans="1:15" x14ac:dyDescent="0.3">
      <c r="A861">
        <v>43</v>
      </c>
      <c r="B861" t="s">
        <v>18</v>
      </c>
      <c r="C861" s="1">
        <v>9</v>
      </c>
      <c r="D861" t="s">
        <v>28</v>
      </c>
      <c r="E861" t="s">
        <v>20</v>
      </c>
      <c r="F861" t="s">
        <v>27</v>
      </c>
      <c r="G861" t="s">
        <v>23</v>
      </c>
      <c r="H861" t="s">
        <v>21</v>
      </c>
      <c r="I861" s="2">
        <v>18526</v>
      </c>
      <c r="J861" t="b">
        <v>1</v>
      </c>
      <c r="K861" t="b">
        <v>1</v>
      </c>
      <c r="L861" t="b">
        <v>1</v>
      </c>
      <c r="M861" t="str">
        <f t="shared" si="26"/>
        <v>YOUTUBE</v>
      </c>
      <c r="N861" t="str">
        <f t="shared" si="27"/>
        <v>Sub_Urban-YOUTUBE</v>
      </c>
      <c r="O861">
        <v>18526</v>
      </c>
    </row>
    <row r="862" spans="1:15" x14ac:dyDescent="0.3">
      <c r="A862">
        <v>64</v>
      </c>
      <c r="B862" t="s">
        <v>18</v>
      </c>
      <c r="C862" s="1">
        <v>8</v>
      </c>
      <c r="D862" t="s">
        <v>19</v>
      </c>
      <c r="E862" t="s">
        <v>26</v>
      </c>
      <c r="F862" t="s">
        <v>22</v>
      </c>
      <c r="G862" t="s">
        <v>23</v>
      </c>
      <c r="H862" t="s">
        <v>17</v>
      </c>
      <c r="I862" s="2">
        <v>19551</v>
      </c>
      <c r="J862" t="b">
        <v>1</v>
      </c>
      <c r="K862" t="b">
        <v>1</v>
      </c>
      <c r="L862" t="b">
        <v>1</v>
      </c>
      <c r="M862" t="str">
        <f t="shared" si="26"/>
        <v>FACEBOOK</v>
      </c>
      <c r="N862" t="str">
        <f t="shared" si="27"/>
        <v>Sub_Urban-FACEBOOK</v>
      </c>
      <c r="O862">
        <v>19551</v>
      </c>
    </row>
    <row r="863" spans="1:15" x14ac:dyDescent="0.3">
      <c r="A863">
        <v>39</v>
      </c>
      <c r="B863" t="s">
        <v>18</v>
      </c>
      <c r="C863" s="1">
        <v>2</v>
      </c>
      <c r="D863" t="s">
        <v>19</v>
      </c>
      <c r="E863" t="s">
        <v>26</v>
      </c>
      <c r="F863" t="s">
        <v>15</v>
      </c>
      <c r="G863" t="s">
        <v>16</v>
      </c>
      <c r="H863" t="s">
        <v>21</v>
      </c>
      <c r="I863" s="2">
        <v>15193</v>
      </c>
      <c r="J863" t="b">
        <v>0</v>
      </c>
      <c r="K863" t="b">
        <v>0</v>
      </c>
      <c r="L863" t="b">
        <v>0</v>
      </c>
      <c r="M863" t="str">
        <f t="shared" si="26"/>
        <v>FACEBOOK</v>
      </c>
      <c r="N863" t="str">
        <f t="shared" si="27"/>
        <v>Urban-FACEBOOK</v>
      </c>
      <c r="O863">
        <v>15193</v>
      </c>
    </row>
    <row r="864" spans="1:15" x14ac:dyDescent="0.3">
      <c r="A864">
        <v>64</v>
      </c>
      <c r="B864" t="s">
        <v>25</v>
      </c>
      <c r="C864" s="1">
        <v>4</v>
      </c>
      <c r="D864" t="s">
        <v>19</v>
      </c>
      <c r="E864" t="s">
        <v>20</v>
      </c>
      <c r="F864" t="s">
        <v>27</v>
      </c>
      <c r="G864" t="s">
        <v>29</v>
      </c>
      <c r="H864" t="s">
        <v>17</v>
      </c>
      <c r="I864" s="2">
        <v>11214</v>
      </c>
      <c r="J864" t="b">
        <v>1</v>
      </c>
      <c r="K864" t="b">
        <v>0</v>
      </c>
      <c r="L864" t="b">
        <v>1</v>
      </c>
      <c r="M864" t="str">
        <f t="shared" si="26"/>
        <v>FACEBOOK</v>
      </c>
      <c r="N864" t="str">
        <f t="shared" si="27"/>
        <v>Rural-FACEBOOK</v>
      </c>
      <c r="O864">
        <v>11214</v>
      </c>
    </row>
    <row r="865" spans="1:15" x14ac:dyDescent="0.3">
      <c r="A865">
        <v>47</v>
      </c>
      <c r="B865" t="s">
        <v>25</v>
      </c>
      <c r="C865" s="1">
        <v>6</v>
      </c>
      <c r="D865" t="s">
        <v>19</v>
      </c>
      <c r="E865" t="s">
        <v>20</v>
      </c>
      <c r="F865" t="s">
        <v>22</v>
      </c>
      <c r="G865" t="s">
        <v>23</v>
      </c>
      <c r="H865" t="s">
        <v>24</v>
      </c>
      <c r="I865" s="2">
        <v>14419</v>
      </c>
      <c r="J865" t="b">
        <v>1</v>
      </c>
      <c r="K865" t="b">
        <v>0</v>
      </c>
      <c r="L865" t="b">
        <v>1</v>
      </c>
      <c r="M865" t="str">
        <f t="shared" si="26"/>
        <v>FACEBOOK</v>
      </c>
      <c r="N865" t="str">
        <f t="shared" si="27"/>
        <v>Sub_Urban-FACEBOOK</v>
      </c>
      <c r="O865">
        <v>14419</v>
      </c>
    </row>
    <row r="866" spans="1:15" x14ac:dyDescent="0.3">
      <c r="A866">
        <v>60</v>
      </c>
      <c r="B866" t="s">
        <v>18</v>
      </c>
      <c r="C866" s="1">
        <v>2</v>
      </c>
      <c r="D866" t="s">
        <v>19</v>
      </c>
      <c r="E866" t="s">
        <v>26</v>
      </c>
      <c r="F866" t="s">
        <v>15</v>
      </c>
      <c r="G866" t="s">
        <v>23</v>
      </c>
      <c r="H866" t="s">
        <v>21</v>
      </c>
      <c r="I866" s="2">
        <v>17314</v>
      </c>
      <c r="J866" t="b">
        <v>0</v>
      </c>
      <c r="K866" t="b">
        <v>1</v>
      </c>
      <c r="L866" t="b">
        <v>0</v>
      </c>
      <c r="M866" t="str">
        <f t="shared" si="26"/>
        <v>FACEBOOK</v>
      </c>
      <c r="N866" t="str">
        <f t="shared" si="27"/>
        <v>Sub_Urban-FACEBOOK</v>
      </c>
      <c r="O866">
        <v>17314</v>
      </c>
    </row>
    <row r="867" spans="1:15" x14ac:dyDescent="0.3">
      <c r="A867">
        <v>34</v>
      </c>
      <c r="B867" t="s">
        <v>25</v>
      </c>
      <c r="C867" s="1">
        <v>7</v>
      </c>
      <c r="D867" t="s">
        <v>28</v>
      </c>
      <c r="E867" t="s">
        <v>26</v>
      </c>
      <c r="F867" t="s">
        <v>22</v>
      </c>
      <c r="G867" t="s">
        <v>29</v>
      </c>
      <c r="H867" t="s">
        <v>21</v>
      </c>
      <c r="I867" s="2">
        <v>18475</v>
      </c>
      <c r="J867" t="b">
        <v>1</v>
      </c>
      <c r="K867" t="b">
        <v>1</v>
      </c>
      <c r="L867" t="b">
        <v>0</v>
      </c>
      <c r="M867" t="str">
        <f t="shared" si="26"/>
        <v>YOUTUBE</v>
      </c>
      <c r="N867" t="str">
        <f t="shared" si="27"/>
        <v>Rural-YOUTUBE</v>
      </c>
      <c r="O867">
        <v>18475</v>
      </c>
    </row>
    <row r="868" spans="1:15" x14ac:dyDescent="0.3">
      <c r="A868">
        <v>43</v>
      </c>
      <c r="B868" t="s">
        <v>12</v>
      </c>
      <c r="C868" s="1">
        <v>3</v>
      </c>
      <c r="D868" t="s">
        <v>13</v>
      </c>
      <c r="E868" t="s">
        <v>14</v>
      </c>
      <c r="F868" t="s">
        <v>27</v>
      </c>
      <c r="G868" t="s">
        <v>23</v>
      </c>
      <c r="H868" t="s">
        <v>21</v>
      </c>
      <c r="I868" s="2">
        <v>10212</v>
      </c>
      <c r="J868" t="b">
        <v>1</v>
      </c>
      <c r="K868" t="b">
        <v>1</v>
      </c>
      <c r="L868" t="b">
        <v>0</v>
      </c>
      <c r="M868" t="str">
        <f t="shared" si="26"/>
        <v>INSTAGRAM</v>
      </c>
      <c r="N868" t="str">
        <f t="shared" si="27"/>
        <v>Sub_Urban-INSTAGRAM</v>
      </c>
      <c r="O868">
        <v>10212</v>
      </c>
    </row>
    <row r="869" spans="1:15" x14ac:dyDescent="0.3">
      <c r="A869">
        <v>53</v>
      </c>
      <c r="B869" t="s">
        <v>12</v>
      </c>
      <c r="C869" s="1">
        <v>3</v>
      </c>
      <c r="D869" t="s">
        <v>28</v>
      </c>
      <c r="E869" t="s">
        <v>14</v>
      </c>
      <c r="F869" t="s">
        <v>27</v>
      </c>
      <c r="G869" t="s">
        <v>16</v>
      </c>
      <c r="H869" t="s">
        <v>17</v>
      </c>
      <c r="I869" s="2">
        <v>11658</v>
      </c>
      <c r="J869" t="b">
        <v>0</v>
      </c>
      <c r="K869" t="b">
        <v>0</v>
      </c>
      <c r="L869" t="b">
        <v>1</v>
      </c>
      <c r="M869" t="str">
        <f t="shared" si="26"/>
        <v>YOUTUBE</v>
      </c>
      <c r="N869" t="str">
        <f t="shared" si="27"/>
        <v>Urban-YOUTUBE</v>
      </c>
      <c r="O869">
        <v>11658</v>
      </c>
    </row>
    <row r="870" spans="1:15" x14ac:dyDescent="0.3">
      <c r="A870">
        <v>18</v>
      </c>
      <c r="B870" t="s">
        <v>12</v>
      </c>
      <c r="C870" s="1">
        <v>2</v>
      </c>
      <c r="D870" t="s">
        <v>13</v>
      </c>
      <c r="E870" t="s">
        <v>26</v>
      </c>
      <c r="F870" t="s">
        <v>15</v>
      </c>
      <c r="G870" t="s">
        <v>23</v>
      </c>
      <c r="H870" t="s">
        <v>17</v>
      </c>
      <c r="I870" s="2">
        <v>15024</v>
      </c>
      <c r="J870" t="b">
        <v>1</v>
      </c>
      <c r="K870" t="b">
        <v>1</v>
      </c>
      <c r="L870" t="b">
        <v>1</v>
      </c>
      <c r="M870" t="str">
        <f t="shared" si="26"/>
        <v>INSTAGRAM</v>
      </c>
      <c r="N870" t="str">
        <f t="shared" si="27"/>
        <v>Sub_Urban-INSTAGRAM</v>
      </c>
      <c r="O870">
        <v>15024</v>
      </c>
    </row>
    <row r="871" spans="1:15" x14ac:dyDescent="0.3">
      <c r="A871">
        <v>25</v>
      </c>
      <c r="B871" t="s">
        <v>18</v>
      </c>
      <c r="C871" s="1">
        <v>8</v>
      </c>
      <c r="D871" t="s">
        <v>19</v>
      </c>
      <c r="E871" t="s">
        <v>14</v>
      </c>
      <c r="F871" t="s">
        <v>22</v>
      </c>
      <c r="G871" t="s">
        <v>23</v>
      </c>
      <c r="H871" t="s">
        <v>24</v>
      </c>
      <c r="I871" s="2">
        <v>19609</v>
      </c>
      <c r="J871" t="b">
        <v>1</v>
      </c>
      <c r="K871" t="b">
        <v>1</v>
      </c>
      <c r="L871" t="b">
        <v>0</v>
      </c>
      <c r="M871" t="str">
        <f t="shared" si="26"/>
        <v>FACEBOOK</v>
      </c>
      <c r="N871" t="str">
        <f t="shared" si="27"/>
        <v>Sub_Urban-FACEBOOK</v>
      </c>
      <c r="O871">
        <v>19609</v>
      </c>
    </row>
    <row r="872" spans="1:15" x14ac:dyDescent="0.3">
      <c r="A872">
        <v>52</v>
      </c>
      <c r="B872" t="s">
        <v>12</v>
      </c>
      <c r="C872" s="1">
        <v>6</v>
      </c>
      <c r="D872" t="s">
        <v>13</v>
      </c>
      <c r="E872" t="s">
        <v>26</v>
      </c>
      <c r="F872" t="s">
        <v>15</v>
      </c>
      <c r="G872" t="s">
        <v>29</v>
      </c>
      <c r="H872" t="s">
        <v>21</v>
      </c>
      <c r="I872" s="2">
        <v>15917</v>
      </c>
      <c r="J872" t="b">
        <v>1</v>
      </c>
      <c r="K872" t="b">
        <v>0</v>
      </c>
      <c r="L872" t="b">
        <v>1</v>
      </c>
      <c r="M872" t="str">
        <f t="shared" si="26"/>
        <v>INSTAGRAM</v>
      </c>
      <c r="N872" t="str">
        <f t="shared" si="27"/>
        <v>Rural-INSTAGRAM</v>
      </c>
      <c r="O872">
        <v>15917</v>
      </c>
    </row>
    <row r="873" spans="1:15" x14ac:dyDescent="0.3">
      <c r="A873">
        <v>32</v>
      </c>
      <c r="B873" t="s">
        <v>25</v>
      </c>
      <c r="C873" s="1">
        <v>1</v>
      </c>
      <c r="D873" t="s">
        <v>28</v>
      </c>
      <c r="E873" t="s">
        <v>26</v>
      </c>
      <c r="F873" t="s">
        <v>27</v>
      </c>
      <c r="G873" t="s">
        <v>16</v>
      </c>
      <c r="H873" t="s">
        <v>21</v>
      </c>
      <c r="I873" s="2">
        <v>15141</v>
      </c>
      <c r="J873" t="b">
        <v>1</v>
      </c>
      <c r="K873" t="b">
        <v>0</v>
      </c>
      <c r="L873" t="b">
        <v>0</v>
      </c>
      <c r="M873" t="str">
        <f t="shared" si="26"/>
        <v>YOUTUBE</v>
      </c>
      <c r="N873" t="str">
        <f t="shared" si="27"/>
        <v>Urban-YOUTUBE</v>
      </c>
      <c r="O873">
        <v>15141</v>
      </c>
    </row>
    <row r="874" spans="1:15" x14ac:dyDescent="0.3">
      <c r="A874">
        <v>64</v>
      </c>
      <c r="B874" t="s">
        <v>18</v>
      </c>
      <c r="C874" s="1">
        <v>1</v>
      </c>
      <c r="D874" t="s">
        <v>28</v>
      </c>
      <c r="E874" t="s">
        <v>14</v>
      </c>
      <c r="F874" t="s">
        <v>27</v>
      </c>
      <c r="G874" t="s">
        <v>29</v>
      </c>
      <c r="H874" t="s">
        <v>17</v>
      </c>
      <c r="I874" s="2">
        <v>11794</v>
      </c>
      <c r="J874" t="b">
        <v>0</v>
      </c>
      <c r="K874" t="b">
        <v>1</v>
      </c>
      <c r="L874" t="b">
        <v>1</v>
      </c>
      <c r="M874" t="str">
        <f t="shared" si="26"/>
        <v>YOUTUBE</v>
      </c>
      <c r="N874" t="str">
        <f t="shared" si="27"/>
        <v>Rural-YOUTUBE</v>
      </c>
      <c r="O874">
        <v>11794</v>
      </c>
    </row>
    <row r="875" spans="1:15" x14ac:dyDescent="0.3">
      <c r="A875">
        <v>39</v>
      </c>
      <c r="B875" t="s">
        <v>25</v>
      </c>
      <c r="C875" s="1">
        <v>7</v>
      </c>
      <c r="D875" t="s">
        <v>13</v>
      </c>
      <c r="E875" t="s">
        <v>14</v>
      </c>
      <c r="F875" t="s">
        <v>22</v>
      </c>
      <c r="G875" t="s">
        <v>23</v>
      </c>
      <c r="H875" t="s">
        <v>17</v>
      </c>
      <c r="I875" s="2">
        <v>15988</v>
      </c>
      <c r="J875" t="b">
        <v>1</v>
      </c>
      <c r="K875" t="b">
        <v>0</v>
      </c>
      <c r="L875" t="b">
        <v>0</v>
      </c>
      <c r="M875" t="str">
        <f t="shared" si="26"/>
        <v>INSTAGRAM</v>
      </c>
      <c r="N875" t="str">
        <f t="shared" si="27"/>
        <v>Sub_Urban-INSTAGRAM</v>
      </c>
      <c r="O875">
        <v>15988</v>
      </c>
    </row>
    <row r="876" spans="1:15" x14ac:dyDescent="0.3">
      <c r="A876">
        <v>31</v>
      </c>
      <c r="B876" t="s">
        <v>12</v>
      </c>
      <c r="C876" s="1">
        <v>8</v>
      </c>
      <c r="D876" t="s">
        <v>19</v>
      </c>
      <c r="E876" t="s">
        <v>20</v>
      </c>
      <c r="F876" t="s">
        <v>22</v>
      </c>
      <c r="G876" t="s">
        <v>23</v>
      </c>
      <c r="H876" t="s">
        <v>24</v>
      </c>
      <c r="I876" s="2">
        <v>18296</v>
      </c>
      <c r="J876" t="b">
        <v>0</v>
      </c>
      <c r="K876" t="b">
        <v>1</v>
      </c>
      <c r="L876" t="b">
        <v>1</v>
      </c>
      <c r="M876" t="str">
        <f t="shared" si="26"/>
        <v>FACEBOOK</v>
      </c>
      <c r="N876" t="str">
        <f t="shared" si="27"/>
        <v>Sub_Urban-FACEBOOK</v>
      </c>
      <c r="O876">
        <v>18296</v>
      </c>
    </row>
    <row r="877" spans="1:15" x14ac:dyDescent="0.3">
      <c r="A877">
        <v>43</v>
      </c>
      <c r="B877" t="s">
        <v>12</v>
      </c>
      <c r="C877" s="1">
        <v>5</v>
      </c>
      <c r="D877" t="s">
        <v>19</v>
      </c>
      <c r="E877" t="s">
        <v>20</v>
      </c>
      <c r="F877" t="s">
        <v>22</v>
      </c>
      <c r="G877" t="s">
        <v>29</v>
      </c>
      <c r="H877" t="s">
        <v>24</v>
      </c>
      <c r="I877" s="2">
        <v>15578</v>
      </c>
      <c r="J877" t="b">
        <v>1</v>
      </c>
      <c r="K877" t="b">
        <v>0</v>
      </c>
      <c r="L877" t="b">
        <v>0</v>
      </c>
      <c r="M877" t="str">
        <f t="shared" si="26"/>
        <v>FACEBOOK</v>
      </c>
      <c r="N877" t="str">
        <f t="shared" si="27"/>
        <v>Rural-FACEBOOK</v>
      </c>
      <c r="O877">
        <v>15578</v>
      </c>
    </row>
    <row r="878" spans="1:15" x14ac:dyDescent="0.3">
      <c r="A878">
        <v>45</v>
      </c>
      <c r="B878" t="s">
        <v>12</v>
      </c>
      <c r="C878" s="1">
        <v>5</v>
      </c>
      <c r="D878" t="s">
        <v>28</v>
      </c>
      <c r="E878" t="s">
        <v>20</v>
      </c>
      <c r="F878" t="s">
        <v>15</v>
      </c>
      <c r="G878" t="s">
        <v>29</v>
      </c>
      <c r="H878" t="s">
        <v>17</v>
      </c>
      <c r="I878" s="2">
        <v>15551</v>
      </c>
      <c r="J878" t="b">
        <v>0</v>
      </c>
      <c r="K878" t="b">
        <v>0</v>
      </c>
      <c r="L878" t="b">
        <v>1</v>
      </c>
      <c r="M878" t="str">
        <f t="shared" si="26"/>
        <v>YOUTUBE</v>
      </c>
      <c r="N878" t="str">
        <f t="shared" si="27"/>
        <v>Rural-YOUTUBE</v>
      </c>
      <c r="O878">
        <v>15551</v>
      </c>
    </row>
    <row r="879" spans="1:15" x14ac:dyDescent="0.3">
      <c r="A879">
        <v>40</v>
      </c>
      <c r="B879" t="s">
        <v>18</v>
      </c>
      <c r="C879" s="1">
        <v>4</v>
      </c>
      <c r="D879" t="s">
        <v>13</v>
      </c>
      <c r="E879" t="s">
        <v>26</v>
      </c>
      <c r="F879" t="s">
        <v>22</v>
      </c>
      <c r="G879" t="s">
        <v>29</v>
      </c>
      <c r="H879" t="s">
        <v>21</v>
      </c>
      <c r="I879" s="2">
        <v>13845</v>
      </c>
      <c r="J879" t="b">
        <v>0</v>
      </c>
      <c r="K879" t="b">
        <v>0</v>
      </c>
      <c r="L879" t="b">
        <v>1</v>
      </c>
      <c r="M879" t="str">
        <f t="shared" si="26"/>
        <v>INSTAGRAM</v>
      </c>
      <c r="N879" t="str">
        <f t="shared" si="27"/>
        <v>Rural-INSTAGRAM</v>
      </c>
      <c r="O879">
        <v>13845</v>
      </c>
    </row>
    <row r="880" spans="1:15" x14ac:dyDescent="0.3">
      <c r="A880">
        <v>31</v>
      </c>
      <c r="B880" t="s">
        <v>25</v>
      </c>
      <c r="C880" s="1">
        <v>6</v>
      </c>
      <c r="D880" t="s">
        <v>19</v>
      </c>
      <c r="E880" t="s">
        <v>14</v>
      </c>
      <c r="F880" t="s">
        <v>22</v>
      </c>
      <c r="G880" t="s">
        <v>16</v>
      </c>
      <c r="H880" t="s">
        <v>24</v>
      </c>
      <c r="I880" s="2">
        <v>16906</v>
      </c>
      <c r="J880" t="b">
        <v>0</v>
      </c>
      <c r="K880" t="b">
        <v>1</v>
      </c>
      <c r="L880" t="b">
        <v>0</v>
      </c>
      <c r="M880" t="str">
        <f t="shared" si="26"/>
        <v>FACEBOOK</v>
      </c>
      <c r="N880" t="str">
        <f t="shared" si="27"/>
        <v>Urban-FACEBOOK</v>
      </c>
      <c r="O880">
        <v>16906</v>
      </c>
    </row>
    <row r="881" spans="1:15" x14ac:dyDescent="0.3">
      <c r="A881">
        <v>41</v>
      </c>
      <c r="B881" t="s">
        <v>18</v>
      </c>
      <c r="C881" s="1">
        <v>6</v>
      </c>
      <c r="D881" t="s">
        <v>19</v>
      </c>
      <c r="E881" t="s">
        <v>26</v>
      </c>
      <c r="F881" t="s">
        <v>27</v>
      </c>
      <c r="G881" t="s">
        <v>23</v>
      </c>
      <c r="H881" t="s">
        <v>17</v>
      </c>
      <c r="I881" s="2">
        <v>10378</v>
      </c>
      <c r="J881" t="b">
        <v>1</v>
      </c>
      <c r="K881" t="b">
        <v>1</v>
      </c>
      <c r="L881" t="b">
        <v>1</v>
      </c>
      <c r="M881" t="str">
        <f t="shared" si="26"/>
        <v>FACEBOOK</v>
      </c>
      <c r="N881" t="str">
        <f t="shared" si="27"/>
        <v>Sub_Urban-FACEBOOK</v>
      </c>
      <c r="O881">
        <v>10378</v>
      </c>
    </row>
    <row r="882" spans="1:15" x14ac:dyDescent="0.3">
      <c r="A882">
        <v>19</v>
      </c>
      <c r="B882" t="s">
        <v>18</v>
      </c>
      <c r="C882" s="1">
        <v>3</v>
      </c>
      <c r="D882" t="s">
        <v>28</v>
      </c>
      <c r="E882" t="s">
        <v>14</v>
      </c>
      <c r="F882" t="s">
        <v>27</v>
      </c>
      <c r="G882" t="s">
        <v>29</v>
      </c>
      <c r="H882" t="s">
        <v>17</v>
      </c>
      <c r="I882" s="2">
        <v>13293</v>
      </c>
      <c r="J882" t="b">
        <v>1</v>
      </c>
      <c r="K882" t="b">
        <v>1</v>
      </c>
      <c r="L882" t="b">
        <v>1</v>
      </c>
      <c r="M882" t="str">
        <f t="shared" si="26"/>
        <v>YOUTUBE</v>
      </c>
      <c r="N882" t="str">
        <f t="shared" si="27"/>
        <v>Rural-YOUTUBE</v>
      </c>
      <c r="O882">
        <v>13293</v>
      </c>
    </row>
    <row r="883" spans="1:15" x14ac:dyDescent="0.3">
      <c r="A883">
        <v>62</v>
      </c>
      <c r="B883" t="s">
        <v>12</v>
      </c>
      <c r="C883" s="1">
        <v>9</v>
      </c>
      <c r="D883" t="s">
        <v>19</v>
      </c>
      <c r="E883" t="s">
        <v>26</v>
      </c>
      <c r="F883" t="s">
        <v>22</v>
      </c>
      <c r="G883" t="s">
        <v>23</v>
      </c>
      <c r="H883" t="s">
        <v>21</v>
      </c>
      <c r="I883" s="2">
        <v>13329</v>
      </c>
      <c r="J883" t="b">
        <v>1</v>
      </c>
      <c r="K883" t="b">
        <v>0</v>
      </c>
      <c r="L883" t="b">
        <v>0</v>
      </c>
      <c r="M883" t="str">
        <f t="shared" si="26"/>
        <v>FACEBOOK</v>
      </c>
      <c r="N883" t="str">
        <f t="shared" si="27"/>
        <v>Sub_Urban-FACEBOOK</v>
      </c>
      <c r="O883">
        <v>13329</v>
      </c>
    </row>
    <row r="884" spans="1:15" x14ac:dyDescent="0.3">
      <c r="A884">
        <v>43</v>
      </c>
      <c r="B884" t="s">
        <v>18</v>
      </c>
      <c r="C884" s="1">
        <v>7</v>
      </c>
      <c r="D884" t="s">
        <v>13</v>
      </c>
      <c r="E884" t="s">
        <v>20</v>
      </c>
      <c r="F884" t="s">
        <v>22</v>
      </c>
      <c r="G884" t="s">
        <v>16</v>
      </c>
      <c r="H884" t="s">
        <v>17</v>
      </c>
      <c r="I884" s="2">
        <v>14808</v>
      </c>
      <c r="J884" t="b">
        <v>0</v>
      </c>
      <c r="K884" t="b">
        <v>0</v>
      </c>
      <c r="L884" t="b">
        <v>1</v>
      </c>
      <c r="M884" t="str">
        <f t="shared" si="26"/>
        <v>INSTAGRAM</v>
      </c>
      <c r="N884" t="str">
        <f t="shared" si="27"/>
        <v>Urban-INSTAGRAM</v>
      </c>
      <c r="O884">
        <v>14808</v>
      </c>
    </row>
    <row r="885" spans="1:15" x14ac:dyDescent="0.3">
      <c r="A885">
        <v>31</v>
      </c>
      <c r="B885" t="s">
        <v>18</v>
      </c>
      <c r="C885" s="1">
        <v>1</v>
      </c>
      <c r="D885" t="s">
        <v>28</v>
      </c>
      <c r="E885" t="s">
        <v>20</v>
      </c>
      <c r="F885" t="s">
        <v>27</v>
      </c>
      <c r="G885" t="s">
        <v>16</v>
      </c>
      <c r="H885" t="s">
        <v>17</v>
      </c>
      <c r="I885" s="2">
        <v>17937</v>
      </c>
      <c r="J885" t="b">
        <v>1</v>
      </c>
      <c r="K885" t="b">
        <v>0</v>
      </c>
      <c r="L885" t="b">
        <v>1</v>
      </c>
      <c r="M885" t="str">
        <f t="shared" si="26"/>
        <v>YOUTUBE</v>
      </c>
      <c r="N885" t="str">
        <f t="shared" si="27"/>
        <v>Urban-YOUTUBE</v>
      </c>
      <c r="O885">
        <v>17937</v>
      </c>
    </row>
    <row r="886" spans="1:15" x14ac:dyDescent="0.3">
      <c r="A886">
        <v>24</v>
      </c>
      <c r="B886" t="s">
        <v>12</v>
      </c>
      <c r="C886" s="1">
        <v>7</v>
      </c>
      <c r="D886" t="s">
        <v>28</v>
      </c>
      <c r="E886" t="s">
        <v>20</v>
      </c>
      <c r="F886" t="s">
        <v>22</v>
      </c>
      <c r="G886" t="s">
        <v>16</v>
      </c>
      <c r="H886" t="s">
        <v>24</v>
      </c>
      <c r="I886" s="2">
        <v>10224</v>
      </c>
      <c r="J886" t="b">
        <v>1</v>
      </c>
      <c r="K886" t="b">
        <v>0</v>
      </c>
      <c r="L886" t="b">
        <v>1</v>
      </c>
      <c r="M886" t="str">
        <f t="shared" si="26"/>
        <v>YOUTUBE</v>
      </c>
      <c r="N886" t="str">
        <f t="shared" si="27"/>
        <v>Urban-YOUTUBE</v>
      </c>
      <c r="O886">
        <v>10224</v>
      </c>
    </row>
    <row r="887" spans="1:15" x14ac:dyDescent="0.3">
      <c r="A887">
        <v>20</v>
      </c>
      <c r="B887" t="s">
        <v>18</v>
      </c>
      <c r="C887" s="1">
        <v>5</v>
      </c>
      <c r="D887" t="s">
        <v>13</v>
      </c>
      <c r="E887" t="s">
        <v>26</v>
      </c>
      <c r="F887" t="s">
        <v>15</v>
      </c>
      <c r="G887" t="s">
        <v>16</v>
      </c>
      <c r="H887" t="s">
        <v>17</v>
      </c>
      <c r="I887" s="2">
        <v>10737</v>
      </c>
      <c r="J887" t="b">
        <v>1</v>
      </c>
      <c r="K887" t="b">
        <v>1</v>
      </c>
      <c r="L887" t="b">
        <v>0</v>
      </c>
      <c r="M887" t="str">
        <f t="shared" si="26"/>
        <v>INSTAGRAM</v>
      </c>
      <c r="N887" t="str">
        <f t="shared" si="27"/>
        <v>Urban-INSTAGRAM</v>
      </c>
      <c r="O887">
        <v>10737</v>
      </c>
    </row>
    <row r="888" spans="1:15" x14ac:dyDescent="0.3">
      <c r="A888">
        <v>64</v>
      </c>
      <c r="B888" t="s">
        <v>12</v>
      </c>
      <c r="C888" s="1">
        <v>5</v>
      </c>
      <c r="D888" t="s">
        <v>28</v>
      </c>
      <c r="E888" t="s">
        <v>14</v>
      </c>
      <c r="F888" t="s">
        <v>15</v>
      </c>
      <c r="G888" t="s">
        <v>23</v>
      </c>
      <c r="H888" t="s">
        <v>17</v>
      </c>
      <c r="I888" s="2">
        <v>10235</v>
      </c>
      <c r="J888" t="b">
        <v>1</v>
      </c>
      <c r="K888" t="b">
        <v>1</v>
      </c>
      <c r="L888" t="b">
        <v>0</v>
      </c>
      <c r="M888" t="str">
        <f t="shared" si="26"/>
        <v>YOUTUBE</v>
      </c>
      <c r="N888" t="str">
        <f t="shared" si="27"/>
        <v>Sub_Urban-YOUTUBE</v>
      </c>
      <c r="O888">
        <v>10235</v>
      </c>
    </row>
    <row r="889" spans="1:15" x14ac:dyDescent="0.3">
      <c r="A889">
        <v>40</v>
      </c>
      <c r="B889" t="s">
        <v>12</v>
      </c>
      <c r="C889" s="1">
        <v>2</v>
      </c>
      <c r="D889" t="s">
        <v>19</v>
      </c>
      <c r="E889" t="s">
        <v>14</v>
      </c>
      <c r="F889" t="s">
        <v>15</v>
      </c>
      <c r="G889" t="s">
        <v>16</v>
      </c>
      <c r="H889" t="s">
        <v>24</v>
      </c>
      <c r="I889" s="2">
        <v>10711</v>
      </c>
      <c r="J889" t="b">
        <v>0</v>
      </c>
      <c r="K889" t="b">
        <v>1</v>
      </c>
      <c r="L889" t="b">
        <v>0</v>
      </c>
      <c r="M889" t="str">
        <f t="shared" si="26"/>
        <v>FACEBOOK</v>
      </c>
      <c r="N889" t="str">
        <f t="shared" si="27"/>
        <v>Urban-FACEBOOK</v>
      </c>
      <c r="O889">
        <v>10711</v>
      </c>
    </row>
    <row r="890" spans="1:15" x14ac:dyDescent="0.3">
      <c r="A890">
        <v>63</v>
      </c>
      <c r="B890" t="s">
        <v>12</v>
      </c>
      <c r="C890" s="1">
        <v>4</v>
      </c>
      <c r="D890" t="s">
        <v>19</v>
      </c>
      <c r="E890" t="s">
        <v>20</v>
      </c>
      <c r="F890" t="s">
        <v>22</v>
      </c>
      <c r="G890" t="s">
        <v>16</v>
      </c>
      <c r="H890" t="s">
        <v>21</v>
      </c>
      <c r="I890" s="2">
        <v>15988</v>
      </c>
      <c r="J890" t="b">
        <v>0</v>
      </c>
      <c r="K890" t="b">
        <v>0</v>
      </c>
      <c r="L890" t="b">
        <v>0</v>
      </c>
      <c r="M890" t="str">
        <f t="shared" si="26"/>
        <v>FACEBOOK</v>
      </c>
      <c r="N890" t="str">
        <f t="shared" si="27"/>
        <v>Urban-FACEBOOK</v>
      </c>
      <c r="O890">
        <v>15988</v>
      </c>
    </row>
    <row r="891" spans="1:15" x14ac:dyDescent="0.3">
      <c r="A891">
        <v>60</v>
      </c>
      <c r="B891" t="s">
        <v>12</v>
      </c>
      <c r="C891" s="1">
        <v>6</v>
      </c>
      <c r="D891" t="s">
        <v>13</v>
      </c>
      <c r="E891" t="s">
        <v>20</v>
      </c>
      <c r="F891" t="s">
        <v>27</v>
      </c>
      <c r="G891" t="s">
        <v>29</v>
      </c>
      <c r="H891" t="s">
        <v>21</v>
      </c>
      <c r="I891" s="2">
        <v>11888</v>
      </c>
      <c r="J891" t="b">
        <v>1</v>
      </c>
      <c r="K891" t="b">
        <v>0</v>
      </c>
      <c r="L891" t="b">
        <v>0</v>
      </c>
      <c r="M891" t="str">
        <f t="shared" si="26"/>
        <v>INSTAGRAM</v>
      </c>
      <c r="N891" t="str">
        <f t="shared" si="27"/>
        <v>Rural-INSTAGRAM</v>
      </c>
      <c r="O891">
        <v>11888</v>
      </c>
    </row>
    <row r="892" spans="1:15" x14ac:dyDescent="0.3">
      <c r="A892">
        <v>64</v>
      </c>
      <c r="B892" t="s">
        <v>18</v>
      </c>
      <c r="C892" s="1">
        <v>7</v>
      </c>
      <c r="D892" t="s">
        <v>19</v>
      </c>
      <c r="E892" t="s">
        <v>20</v>
      </c>
      <c r="F892" t="s">
        <v>22</v>
      </c>
      <c r="G892" t="s">
        <v>16</v>
      </c>
      <c r="H892" t="s">
        <v>24</v>
      </c>
      <c r="I892" s="2">
        <v>17173</v>
      </c>
      <c r="J892" t="b">
        <v>1</v>
      </c>
      <c r="K892" t="b">
        <v>1</v>
      </c>
      <c r="L892" t="b">
        <v>1</v>
      </c>
      <c r="M892" t="str">
        <f t="shared" si="26"/>
        <v>FACEBOOK</v>
      </c>
      <c r="N892" t="str">
        <f t="shared" si="27"/>
        <v>Urban-FACEBOOK</v>
      </c>
      <c r="O892">
        <v>17173</v>
      </c>
    </row>
    <row r="893" spans="1:15" x14ac:dyDescent="0.3">
      <c r="A893">
        <v>62</v>
      </c>
      <c r="B893" t="s">
        <v>12</v>
      </c>
      <c r="C893" s="1">
        <v>5</v>
      </c>
      <c r="D893" t="s">
        <v>13</v>
      </c>
      <c r="E893" t="s">
        <v>20</v>
      </c>
      <c r="F893" t="s">
        <v>22</v>
      </c>
      <c r="G893" t="s">
        <v>29</v>
      </c>
      <c r="H893" t="s">
        <v>24</v>
      </c>
      <c r="I893" s="2">
        <v>11259</v>
      </c>
      <c r="J893" t="b">
        <v>1</v>
      </c>
      <c r="K893" t="b">
        <v>0</v>
      </c>
      <c r="L893" t="b">
        <v>1</v>
      </c>
      <c r="M893" t="str">
        <f t="shared" si="26"/>
        <v>INSTAGRAM</v>
      </c>
      <c r="N893" t="str">
        <f t="shared" si="27"/>
        <v>Rural-INSTAGRAM</v>
      </c>
      <c r="O893">
        <v>11259</v>
      </c>
    </row>
    <row r="894" spans="1:15" x14ac:dyDescent="0.3">
      <c r="A894">
        <v>35</v>
      </c>
      <c r="B894" t="s">
        <v>12</v>
      </c>
      <c r="C894" s="1">
        <v>9</v>
      </c>
      <c r="D894" t="s">
        <v>13</v>
      </c>
      <c r="E894" t="s">
        <v>14</v>
      </c>
      <c r="F894" t="s">
        <v>27</v>
      </c>
      <c r="G894" t="s">
        <v>16</v>
      </c>
      <c r="H894" t="s">
        <v>21</v>
      </c>
      <c r="I894" s="2">
        <v>15246</v>
      </c>
      <c r="J894" t="b">
        <v>0</v>
      </c>
      <c r="K894" t="b">
        <v>1</v>
      </c>
      <c r="L894" t="b">
        <v>0</v>
      </c>
      <c r="M894" t="str">
        <f t="shared" si="26"/>
        <v>INSTAGRAM</v>
      </c>
      <c r="N894" t="str">
        <f t="shared" si="27"/>
        <v>Urban-INSTAGRAM</v>
      </c>
      <c r="O894">
        <v>15246</v>
      </c>
    </row>
    <row r="895" spans="1:15" x14ac:dyDescent="0.3">
      <c r="A895">
        <v>55</v>
      </c>
      <c r="B895" t="s">
        <v>18</v>
      </c>
      <c r="C895" s="1">
        <v>3</v>
      </c>
      <c r="D895" t="s">
        <v>19</v>
      </c>
      <c r="E895" t="s">
        <v>26</v>
      </c>
      <c r="F895" t="s">
        <v>27</v>
      </c>
      <c r="G895" t="s">
        <v>16</v>
      </c>
      <c r="H895" t="s">
        <v>21</v>
      </c>
      <c r="I895" s="2">
        <v>17271</v>
      </c>
      <c r="J895" t="b">
        <v>1</v>
      </c>
      <c r="K895" t="b">
        <v>0</v>
      </c>
      <c r="L895" t="b">
        <v>1</v>
      </c>
      <c r="M895" t="str">
        <f t="shared" si="26"/>
        <v>FACEBOOK</v>
      </c>
      <c r="N895" t="str">
        <f t="shared" si="27"/>
        <v>Urban-FACEBOOK</v>
      </c>
      <c r="O895">
        <v>17271</v>
      </c>
    </row>
    <row r="896" spans="1:15" x14ac:dyDescent="0.3">
      <c r="A896">
        <v>52</v>
      </c>
      <c r="B896" t="s">
        <v>18</v>
      </c>
      <c r="C896" s="1">
        <v>1</v>
      </c>
      <c r="D896" t="s">
        <v>13</v>
      </c>
      <c r="E896" t="s">
        <v>26</v>
      </c>
      <c r="F896" t="s">
        <v>27</v>
      </c>
      <c r="G896" t="s">
        <v>29</v>
      </c>
      <c r="H896" t="s">
        <v>21</v>
      </c>
      <c r="I896" s="2">
        <v>10748</v>
      </c>
      <c r="J896" t="b">
        <v>0</v>
      </c>
      <c r="K896" t="b">
        <v>0</v>
      </c>
      <c r="L896" t="b">
        <v>1</v>
      </c>
      <c r="M896" t="str">
        <f t="shared" si="26"/>
        <v>INSTAGRAM</v>
      </c>
      <c r="N896" t="str">
        <f t="shared" si="27"/>
        <v>Rural-INSTAGRAM</v>
      </c>
      <c r="O896">
        <v>10748</v>
      </c>
    </row>
    <row r="897" spans="1:15" x14ac:dyDescent="0.3">
      <c r="A897">
        <v>32</v>
      </c>
      <c r="B897" t="s">
        <v>25</v>
      </c>
      <c r="C897" s="1">
        <v>4</v>
      </c>
      <c r="D897" t="s">
        <v>19</v>
      </c>
      <c r="E897" t="s">
        <v>26</v>
      </c>
      <c r="F897" t="s">
        <v>15</v>
      </c>
      <c r="G897" t="s">
        <v>16</v>
      </c>
      <c r="H897" t="s">
        <v>21</v>
      </c>
      <c r="I897" s="2">
        <v>13551</v>
      </c>
      <c r="J897" t="b">
        <v>0</v>
      </c>
      <c r="K897" t="b">
        <v>1</v>
      </c>
      <c r="L897" t="b">
        <v>1</v>
      </c>
      <c r="M897" t="str">
        <f t="shared" si="26"/>
        <v>FACEBOOK</v>
      </c>
      <c r="N897" t="str">
        <f t="shared" si="27"/>
        <v>Urban-FACEBOOK</v>
      </c>
      <c r="O897">
        <v>13551</v>
      </c>
    </row>
    <row r="898" spans="1:15" x14ac:dyDescent="0.3">
      <c r="A898">
        <v>42</v>
      </c>
      <c r="B898" t="s">
        <v>18</v>
      </c>
      <c r="C898" s="1">
        <v>9</v>
      </c>
      <c r="D898" t="s">
        <v>28</v>
      </c>
      <c r="E898" t="s">
        <v>26</v>
      </c>
      <c r="F898" t="s">
        <v>22</v>
      </c>
      <c r="G898" t="s">
        <v>23</v>
      </c>
      <c r="H898" t="s">
        <v>21</v>
      </c>
      <c r="I898" s="2">
        <v>16400</v>
      </c>
      <c r="J898" t="b">
        <v>1</v>
      </c>
      <c r="K898" t="b">
        <v>1</v>
      </c>
      <c r="L898" t="b">
        <v>1</v>
      </c>
      <c r="M898" t="str">
        <f t="shared" ref="M898:M961" si="28">UPPER(D898)</f>
        <v>YOUTUBE</v>
      </c>
      <c r="N898" t="str">
        <f t="shared" ref="N898:N961" si="29">_xlfn.CONCAT(G898,"-",M898)</f>
        <v>Sub_Urban-YOUTUBE</v>
      </c>
      <c r="O898">
        <v>16400</v>
      </c>
    </row>
    <row r="899" spans="1:15" x14ac:dyDescent="0.3">
      <c r="A899">
        <v>54</v>
      </c>
      <c r="B899" t="s">
        <v>18</v>
      </c>
      <c r="C899" s="1">
        <v>4</v>
      </c>
      <c r="D899" t="s">
        <v>28</v>
      </c>
      <c r="E899" t="s">
        <v>20</v>
      </c>
      <c r="F899" t="s">
        <v>27</v>
      </c>
      <c r="G899" t="s">
        <v>23</v>
      </c>
      <c r="H899" t="s">
        <v>24</v>
      </c>
      <c r="I899" s="2">
        <v>16643</v>
      </c>
      <c r="J899" t="b">
        <v>1</v>
      </c>
      <c r="K899" t="b">
        <v>0</v>
      </c>
      <c r="L899" t="b">
        <v>0</v>
      </c>
      <c r="M899" t="str">
        <f t="shared" si="28"/>
        <v>YOUTUBE</v>
      </c>
      <c r="N899" t="str">
        <f t="shared" si="29"/>
        <v>Sub_Urban-YOUTUBE</v>
      </c>
      <c r="O899">
        <v>16643</v>
      </c>
    </row>
    <row r="900" spans="1:15" x14ac:dyDescent="0.3">
      <c r="A900">
        <v>45</v>
      </c>
      <c r="B900" t="s">
        <v>25</v>
      </c>
      <c r="C900" s="1">
        <v>2</v>
      </c>
      <c r="D900" t="s">
        <v>13</v>
      </c>
      <c r="E900" t="s">
        <v>20</v>
      </c>
      <c r="F900" t="s">
        <v>22</v>
      </c>
      <c r="G900" t="s">
        <v>16</v>
      </c>
      <c r="H900" t="s">
        <v>17</v>
      </c>
      <c r="I900" s="2">
        <v>18701</v>
      </c>
      <c r="J900" t="b">
        <v>1</v>
      </c>
      <c r="K900" t="b">
        <v>1</v>
      </c>
      <c r="L900" t="b">
        <v>0</v>
      </c>
      <c r="M900" t="str">
        <f t="shared" si="28"/>
        <v>INSTAGRAM</v>
      </c>
      <c r="N900" t="str">
        <f t="shared" si="29"/>
        <v>Urban-INSTAGRAM</v>
      </c>
      <c r="O900">
        <v>18701</v>
      </c>
    </row>
    <row r="901" spans="1:15" x14ac:dyDescent="0.3">
      <c r="A901">
        <v>27</v>
      </c>
      <c r="B901" t="s">
        <v>18</v>
      </c>
      <c r="C901" s="1">
        <v>5</v>
      </c>
      <c r="D901" t="s">
        <v>19</v>
      </c>
      <c r="E901" t="s">
        <v>20</v>
      </c>
      <c r="F901" t="s">
        <v>15</v>
      </c>
      <c r="G901" t="s">
        <v>23</v>
      </c>
      <c r="H901" t="s">
        <v>21</v>
      </c>
      <c r="I901" s="2">
        <v>11823</v>
      </c>
      <c r="J901" t="b">
        <v>0</v>
      </c>
      <c r="K901" t="b">
        <v>1</v>
      </c>
      <c r="L901" t="b">
        <v>1</v>
      </c>
      <c r="M901" t="str">
        <f t="shared" si="28"/>
        <v>FACEBOOK</v>
      </c>
      <c r="N901" t="str">
        <f t="shared" si="29"/>
        <v>Sub_Urban-FACEBOOK</v>
      </c>
      <c r="O901">
        <v>11823</v>
      </c>
    </row>
    <row r="902" spans="1:15" x14ac:dyDescent="0.3">
      <c r="A902">
        <v>56</v>
      </c>
      <c r="B902" t="s">
        <v>18</v>
      </c>
      <c r="C902" s="1">
        <v>3</v>
      </c>
      <c r="D902" t="s">
        <v>19</v>
      </c>
      <c r="E902" t="s">
        <v>26</v>
      </c>
      <c r="F902" t="s">
        <v>15</v>
      </c>
      <c r="G902" t="s">
        <v>29</v>
      </c>
      <c r="H902" t="s">
        <v>21</v>
      </c>
      <c r="I902" s="2">
        <v>16852</v>
      </c>
      <c r="J902" t="b">
        <v>0</v>
      </c>
      <c r="K902" t="b">
        <v>0</v>
      </c>
      <c r="L902" t="b">
        <v>1</v>
      </c>
      <c r="M902" t="str">
        <f t="shared" si="28"/>
        <v>FACEBOOK</v>
      </c>
      <c r="N902" t="str">
        <f t="shared" si="29"/>
        <v>Rural-FACEBOOK</v>
      </c>
      <c r="O902">
        <v>16852</v>
      </c>
    </row>
    <row r="903" spans="1:15" x14ac:dyDescent="0.3">
      <c r="A903">
        <v>34</v>
      </c>
      <c r="B903" t="s">
        <v>18</v>
      </c>
      <c r="C903" s="1">
        <v>9</v>
      </c>
      <c r="D903" t="s">
        <v>28</v>
      </c>
      <c r="E903" t="s">
        <v>20</v>
      </c>
      <c r="F903" t="s">
        <v>27</v>
      </c>
      <c r="G903" t="s">
        <v>16</v>
      </c>
      <c r="H903" t="s">
        <v>17</v>
      </c>
      <c r="I903" s="2">
        <v>17777</v>
      </c>
      <c r="J903" t="b">
        <v>1</v>
      </c>
      <c r="K903" t="b">
        <v>0</v>
      </c>
      <c r="L903" t="b">
        <v>0</v>
      </c>
      <c r="M903" t="str">
        <f t="shared" si="28"/>
        <v>YOUTUBE</v>
      </c>
      <c r="N903" t="str">
        <f t="shared" si="29"/>
        <v>Urban-YOUTUBE</v>
      </c>
      <c r="O903">
        <v>17777</v>
      </c>
    </row>
    <row r="904" spans="1:15" x14ac:dyDescent="0.3">
      <c r="A904">
        <v>56</v>
      </c>
      <c r="B904" t="s">
        <v>18</v>
      </c>
      <c r="C904" s="1">
        <v>4</v>
      </c>
      <c r="D904" t="s">
        <v>28</v>
      </c>
      <c r="E904" t="s">
        <v>20</v>
      </c>
      <c r="F904" t="s">
        <v>27</v>
      </c>
      <c r="G904" t="s">
        <v>16</v>
      </c>
      <c r="H904" t="s">
        <v>17</v>
      </c>
      <c r="I904" s="2">
        <v>14232</v>
      </c>
      <c r="J904" t="b">
        <v>0</v>
      </c>
      <c r="K904" t="b">
        <v>0</v>
      </c>
      <c r="L904" t="b">
        <v>1</v>
      </c>
      <c r="M904" t="str">
        <f t="shared" si="28"/>
        <v>YOUTUBE</v>
      </c>
      <c r="N904" t="str">
        <f t="shared" si="29"/>
        <v>Urban-YOUTUBE</v>
      </c>
      <c r="O904">
        <v>14232</v>
      </c>
    </row>
    <row r="905" spans="1:15" x14ac:dyDescent="0.3">
      <c r="A905">
        <v>39</v>
      </c>
      <c r="B905" t="s">
        <v>25</v>
      </c>
      <c r="C905" s="1">
        <v>6</v>
      </c>
      <c r="D905" t="s">
        <v>19</v>
      </c>
      <c r="E905" t="s">
        <v>14</v>
      </c>
      <c r="F905" t="s">
        <v>22</v>
      </c>
      <c r="G905" t="s">
        <v>29</v>
      </c>
      <c r="H905" t="s">
        <v>17</v>
      </c>
      <c r="I905" s="2">
        <v>16519</v>
      </c>
      <c r="J905" t="b">
        <v>1</v>
      </c>
      <c r="K905" t="b">
        <v>1</v>
      </c>
      <c r="L905" t="b">
        <v>1</v>
      </c>
      <c r="M905" t="str">
        <f t="shared" si="28"/>
        <v>FACEBOOK</v>
      </c>
      <c r="N905" t="str">
        <f t="shared" si="29"/>
        <v>Rural-FACEBOOK</v>
      </c>
      <c r="O905">
        <v>16519</v>
      </c>
    </row>
    <row r="906" spans="1:15" x14ac:dyDescent="0.3">
      <c r="A906">
        <v>43</v>
      </c>
      <c r="B906" t="s">
        <v>18</v>
      </c>
      <c r="C906" s="1">
        <v>2</v>
      </c>
      <c r="D906" t="s">
        <v>13</v>
      </c>
      <c r="E906" t="s">
        <v>14</v>
      </c>
      <c r="F906" t="s">
        <v>27</v>
      </c>
      <c r="G906" t="s">
        <v>29</v>
      </c>
      <c r="H906" t="s">
        <v>17</v>
      </c>
      <c r="I906" s="2">
        <v>11777</v>
      </c>
      <c r="J906" t="b">
        <v>1</v>
      </c>
      <c r="K906" t="b">
        <v>0</v>
      </c>
      <c r="L906" t="b">
        <v>1</v>
      </c>
      <c r="M906" t="str">
        <f t="shared" si="28"/>
        <v>INSTAGRAM</v>
      </c>
      <c r="N906" t="str">
        <f t="shared" si="29"/>
        <v>Rural-INSTAGRAM</v>
      </c>
      <c r="O906">
        <v>11777</v>
      </c>
    </row>
    <row r="907" spans="1:15" x14ac:dyDescent="0.3">
      <c r="A907">
        <v>61</v>
      </c>
      <c r="B907" t="s">
        <v>18</v>
      </c>
      <c r="C907" s="1">
        <v>6</v>
      </c>
      <c r="D907" t="s">
        <v>28</v>
      </c>
      <c r="E907" t="s">
        <v>20</v>
      </c>
      <c r="F907" t="s">
        <v>22</v>
      </c>
      <c r="G907" t="s">
        <v>29</v>
      </c>
      <c r="H907" t="s">
        <v>17</v>
      </c>
      <c r="I907" s="2">
        <v>11222</v>
      </c>
      <c r="J907" t="b">
        <v>0</v>
      </c>
      <c r="K907" t="b">
        <v>0</v>
      </c>
      <c r="L907" t="b">
        <v>0</v>
      </c>
      <c r="M907" t="str">
        <f t="shared" si="28"/>
        <v>YOUTUBE</v>
      </c>
      <c r="N907" t="str">
        <f t="shared" si="29"/>
        <v>Rural-YOUTUBE</v>
      </c>
      <c r="O907">
        <v>11222</v>
      </c>
    </row>
    <row r="908" spans="1:15" x14ac:dyDescent="0.3">
      <c r="A908">
        <v>42</v>
      </c>
      <c r="B908" t="s">
        <v>25</v>
      </c>
      <c r="C908" s="1">
        <v>3</v>
      </c>
      <c r="D908" t="s">
        <v>13</v>
      </c>
      <c r="E908" t="s">
        <v>14</v>
      </c>
      <c r="F908" t="s">
        <v>27</v>
      </c>
      <c r="G908" t="s">
        <v>16</v>
      </c>
      <c r="H908" t="s">
        <v>17</v>
      </c>
      <c r="I908" s="2">
        <v>17630</v>
      </c>
      <c r="J908" t="b">
        <v>0</v>
      </c>
      <c r="K908" t="b">
        <v>0</v>
      </c>
      <c r="L908" t="b">
        <v>0</v>
      </c>
      <c r="M908" t="str">
        <f t="shared" si="28"/>
        <v>INSTAGRAM</v>
      </c>
      <c r="N908" t="str">
        <f t="shared" si="29"/>
        <v>Urban-INSTAGRAM</v>
      </c>
      <c r="O908">
        <v>17630</v>
      </c>
    </row>
    <row r="909" spans="1:15" x14ac:dyDescent="0.3">
      <c r="A909">
        <v>34</v>
      </c>
      <c r="B909" t="s">
        <v>12</v>
      </c>
      <c r="C909" s="1">
        <v>9</v>
      </c>
      <c r="D909" t="s">
        <v>13</v>
      </c>
      <c r="E909" t="s">
        <v>14</v>
      </c>
      <c r="F909" t="s">
        <v>22</v>
      </c>
      <c r="G909" t="s">
        <v>29</v>
      </c>
      <c r="H909" t="s">
        <v>24</v>
      </c>
      <c r="I909" s="2">
        <v>11777</v>
      </c>
      <c r="J909" t="b">
        <v>0</v>
      </c>
      <c r="K909" t="b">
        <v>0</v>
      </c>
      <c r="L909" t="b">
        <v>1</v>
      </c>
      <c r="M909" t="str">
        <f t="shared" si="28"/>
        <v>INSTAGRAM</v>
      </c>
      <c r="N909" t="str">
        <f t="shared" si="29"/>
        <v>Rural-INSTAGRAM</v>
      </c>
      <c r="O909">
        <v>11777</v>
      </c>
    </row>
    <row r="910" spans="1:15" x14ac:dyDescent="0.3">
      <c r="A910">
        <v>30</v>
      </c>
      <c r="B910" t="s">
        <v>25</v>
      </c>
      <c r="C910" s="1">
        <v>2</v>
      </c>
      <c r="D910" t="s">
        <v>28</v>
      </c>
      <c r="E910" t="s">
        <v>20</v>
      </c>
      <c r="F910" t="s">
        <v>22</v>
      </c>
      <c r="G910" t="s">
        <v>29</v>
      </c>
      <c r="H910" t="s">
        <v>17</v>
      </c>
      <c r="I910" s="2">
        <v>19496</v>
      </c>
      <c r="J910" t="b">
        <v>0</v>
      </c>
      <c r="K910" t="b">
        <v>0</v>
      </c>
      <c r="L910" t="b">
        <v>1</v>
      </c>
      <c r="M910" t="str">
        <f t="shared" si="28"/>
        <v>YOUTUBE</v>
      </c>
      <c r="N910" t="str">
        <f t="shared" si="29"/>
        <v>Rural-YOUTUBE</v>
      </c>
      <c r="O910">
        <v>19496</v>
      </c>
    </row>
    <row r="911" spans="1:15" x14ac:dyDescent="0.3">
      <c r="A911">
        <v>37</v>
      </c>
      <c r="B911" t="s">
        <v>12</v>
      </c>
      <c r="C911" s="1">
        <v>9</v>
      </c>
      <c r="D911" t="s">
        <v>13</v>
      </c>
      <c r="E911" t="s">
        <v>20</v>
      </c>
      <c r="F911" t="s">
        <v>22</v>
      </c>
      <c r="G911" t="s">
        <v>23</v>
      </c>
      <c r="H911" t="s">
        <v>17</v>
      </c>
      <c r="I911" s="2">
        <v>17490</v>
      </c>
      <c r="J911" t="b">
        <v>1</v>
      </c>
      <c r="K911" t="b">
        <v>1</v>
      </c>
      <c r="L911" t="b">
        <v>1</v>
      </c>
      <c r="M911" t="str">
        <f t="shared" si="28"/>
        <v>INSTAGRAM</v>
      </c>
      <c r="N911" t="str">
        <f t="shared" si="29"/>
        <v>Sub_Urban-INSTAGRAM</v>
      </c>
      <c r="O911">
        <v>17490</v>
      </c>
    </row>
    <row r="912" spans="1:15" x14ac:dyDescent="0.3">
      <c r="A912">
        <v>42</v>
      </c>
      <c r="B912" t="s">
        <v>25</v>
      </c>
      <c r="C912" s="1">
        <v>5</v>
      </c>
      <c r="D912" t="s">
        <v>13</v>
      </c>
      <c r="E912" t="s">
        <v>20</v>
      </c>
      <c r="F912" t="s">
        <v>22</v>
      </c>
      <c r="G912" t="s">
        <v>23</v>
      </c>
      <c r="H912" t="s">
        <v>24</v>
      </c>
      <c r="I912" s="2">
        <v>14859</v>
      </c>
      <c r="J912" t="b">
        <v>1</v>
      </c>
      <c r="K912" t="b">
        <v>0</v>
      </c>
      <c r="L912" t="b">
        <v>1</v>
      </c>
      <c r="M912" t="str">
        <f t="shared" si="28"/>
        <v>INSTAGRAM</v>
      </c>
      <c r="N912" t="str">
        <f t="shared" si="29"/>
        <v>Sub_Urban-INSTAGRAM</v>
      </c>
      <c r="O912">
        <v>14859</v>
      </c>
    </row>
    <row r="913" spans="1:15" x14ac:dyDescent="0.3">
      <c r="A913">
        <v>21</v>
      </c>
      <c r="B913" t="s">
        <v>25</v>
      </c>
      <c r="C913" s="1">
        <v>8</v>
      </c>
      <c r="D913" t="s">
        <v>19</v>
      </c>
      <c r="E913" t="s">
        <v>20</v>
      </c>
      <c r="F913" t="s">
        <v>15</v>
      </c>
      <c r="G913" t="s">
        <v>16</v>
      </c>
      <c r="H913" t="s">
        <v>17</v>
      </c>
      <c r="I913" s="2">
        <v>18893</v>
      </c>
      <c r="J913" t="b">
        <v>1</v>
      </c>
      <c r="K913" t="b">
        <v>0</v>
      </c>
      <c r="L913" t="b">
        <v>1</v>
      </c>
      <c r="M913" t="str">
        <f t="shared" si="28"/>
        <v>FACEBOOK</v>
      </c>
      <c r="N913" t="str">
        <f t="shared" si="29"/>
        <v>Urban-FACEBOOK</v>
      </c>
      <c r="O913">
        <v>18893</v>
      </c>
    </row>
    <row r="914" spans="1:15" x14ac:dyDescent="0.3">
      <c r="A914">
        <v>27</v>
      </c>
      <c r="B914" t="s">
        <v>18</v>
      </c>
      <c r="C914" s="1">
        <v>2</v>
      </c>
      <c r="D914" t="s">
        <v>13</v>
      </c>
      <c r="E914" t="s">
        <v>26</v>
      </c>
      <c r="F914" t="s">
        <v>22</v>
      </c>
      <c r="G914" t="s">
        <v>23</v>
      </c>
      <c r="H914" t="s">
        <v>21</v>
      </c>
      <c r="I914" s="2">
        <v>18118</v>
      </c>
      <c r="J914" t="b">
        <v>0</v>
      </c>
      <c r="K914" t="b">
        <v>1</v>
      </c>
      <c r="L914" t="b">
        <v>1</v>
      </c>
      <c r="M914" t="str">
        <f t="shared" si="28"/>
        <v>INSTAGRAM</v>
      </c>
      <c r="N914" t="str">
        <f t="shared" si="29"/>
        <v>Sub_Urban-INSTAGRAM</v>
      </c>
      <c r="O914">
        <v>18118</v>
      </c>
    </row>
    <row r="915" spans="1:15" x14ac:dyDescent="0.3">
      <c r="A915">
        <v>20</v>
      </c>
      <c r="B915" t="s">
        <v>12</v>
      </c>
      <c r="C915" s="1">
        <v>6</v>
      </c>
      <c r="D915" t="s">
        <v>19</v>
      </c>
      <c r="E915" t="s">
        <v>26</v>
      </c>
      <c r="F915" t="s">
        <v>27</v>
      </c>
      <c r="G915" t="s">
        <v>23</v>
      </c>
      <c r="H915" t="s">
        <v>21</v>
      </c>
      <c r="I915" s="2">
        <v>12989</v>
      </c>
      <c r="J915" t="b">
        <v>1</v>
      </c>
      <c r="K915" t="b">
        <v>0</v>
      </c>
      <c r="L915" t="b">
        <v>0</v>
      </c>
      <c r="M915" t="str">
        <f t="shared" si="28"/>
        <v>FACEBOOK</v>
      </c>
      <c r="N915" t="str">
        <f t="shared" si="29"/>
        <v>Sub_Urban-FACEBOOK</v>
      </c>
      <c r="O915">
        <v>12989</v>
      </c>
    </row>
    <row r="916" spans="1:15" x14ac:dyDescent="0.3">
      <c r="A916">
        <v>58</v>
      </c>
      <c r="B916" t="s">
        <v>18</v>
      </c>
      <c r="C916" s="1">
        <v>3</v>
      </c>
      <c r="D916" t="s">
        <v>28</v>
      </c>
      <c r="E916" t="s">
        <v>20</v>
      </c>
      <c r="F916" t="s">
        <v>15</v>
      </c>
      <c r="G916" t="s">
        <v>29</v>
      </c>
      <c r="H916" t="s">
        <v>17</v>
      </c>
      <c r="I916" s="2">
        <v>18343</v>
      </c>
      <c r="J916" t="b">
        <v>0</v>
      </c>
      <c r="K916" t="b">
        <v>0</v>
      </c>
      <c r="L916" t="b">
        <v>0</v>
      </c>
      <c r="M916" t="str">
        <f t="shared" si="28"/>
        <v>YOUTUBE</v>
      </c>
      <c r="N916" t="str">
        <f t="shared" si="29"/>
        <v>Rural-YOUTUBE</v>
      </c>
      <c r="O916">
        <v>18343</v>
      </c>
    </row>
    <row r="917" spans="1:15" x14ac:dyDescent="0.3">
      <c r="A917">
        <v>62</v>
      </c>
      <c r="B917" t="s">
        <v>12</v>
      </c>
      <c r="C917" s="1">
        <v>5</v>
      </c>
      <c r="D917" t="s">
        <v>28</v>
      </c>
      <c r="E917" t="s">
        <v>14</v>
      </c>
      <c r="F917" t="s">
        <v>15</v>
      </c>
      <c r="G917" t="s">
        <v>29</v>
      </c>
      <c r="H917" t="s">
        <v>24</v>
      </c>
      <c r="I917" s="2">
        <v>11325</v>
      </c>
      <c r="J917" t="b">
        <v>0</v>
      </c>
      <c r="K917" t="b">
        <v>1</v>
      </c>
      <c r="L917" t="b">
        <v>1</v>
      </c>
      <c r="M917" t="str">
        <f t="shared" si="28"/>
        <v>YOUTUBE</v>
      </c>
      <c r="N917" t="str">
        <f t="shared" si="29"/>
        <v>Rural-YOUTUBE</v>
      </c>
      <c r="O917">
        <v>11325</v>
      </c>
    </row>
    <row r="918" spans="1:15" x14ac:dyDescent="0.3">
      <c r="A918">
        <v>35</v>
      </c>
      <c r="B918" t="s">
        <v>25</v>
      </c>
      <c r="C918" s="1">
        <v>8</v>
      </c>
      <c r="D918" t="s">
        <v>19</v>
      </c>
      <c r="E918" t="s">
        <v>20</v>
      </c>
      <c r="F918" t="s">
        <v>22</v>
      </c>
      <c r="G918" t="s">
        <v>23</v>
      </c>
      <c r="H918" t="s">
        <v>21</v>
      </c>
      <c r="I918" s="2">
        <v>19493</v>
      </c>
      <c r="J918" t="b">
        <v>0</v>
      </c>
      <c r="K918" t="b">
        <v>0</v>
      </c>
      <c r="L918" t="b">
        <v>0</v>
      </c>
      <c r="M918" t="str">
        <f t="shared" si="28"/>
        <v>FACEBOOK</v>
      </c>
      <c r="N918" t="str">
        <f t="shared" si="29"/>
        <v>Sub_Urban-FACEBOOK</v>
      </c>
      <c r="O918">
        <v>19493</v>
      </c>
    </row>
    <row r="919" spans="1:15" x14ac:dyDescent="0.3">
      <c r="A919">
        <v>64</v>
      </c>
      <c r="B919" t="s">
        <v>25</v>
      </c>
      <c r="C919" s="1">
        <v>1</v>
      </c>
      <c r="D919" t="s">
        <v>28</v>
      </c>
      <c r="E919" t="s">
        <v>20</v>
      </c>
      <c r="F919" t="s">
        <v>15</v>
      </c>
      <c r="G919" t="s">
        <v>23</v>
      </c>
      <c r="H919" t="s">
        <v>24</v>
      </c>
      <c r="I919" s="2">
        <v>19903</v>
      </c>
      <c r="J919" t="b">
        <v>1</v>
      </c>
      <c r="K919" t="b">
        <v>1</v>
      </c>
      <c r="L919" t="b">
        <v>1</v>
      </c>
      <c r="M919" t="str">
        <f t="shared" si="28"/>
        <v>YOUTUBE</v>
      </c>
      <c r="N919" t="str">
        <f t="shared" si="29"/>
        <v>Sub_Urban-YOUTUBE</v>
      </c>
      <c r="O919">
        <v>19903</v>
      </c>
    </row>
    <row r="920" spans="1:15" x14ac:dyDescent="0.3">
      <c r="A920">
        <v>53</v>
      </c>
      <c r="B920" t="s">
        <v>12</v>
      </c>
      <c r="C920" s="1">
        <v>5</v>
      </c>
      <c r="D920" t="s">
        <v>13</v>
      </c>
      <c r="E920" t="s">
        <v>14</v>
      </c>
      <c r="F920" t="s">
        <v>22</v>
      </c>
      <c r="G920" t="s">
        <v>23</v>
      </c>
      <c r="H920" t="s">
        <v>21</v>
      </c>
      <c r="I920" s="2">
        <v>15127</v>
      </c>
      <c r="J920" t="b">
        <v>0</v>
      </c>
      <c r="K920" t="b">
        <v>0</v>
      </c>
      <c r="L920" t="b">
        <v>1</v>
      </c>
      <c r="M920" t="str">
        <f t="shared" si="28"/>
        <v>INSTAGRAM</v>
      </c>
      <c r="N920" t="str">
        <f t="shared" si="29"/>
        <v>Sub_Urban-INSTAGRAM</v>
      </c>
      <c r="O920">
        <v>15127</v>
      </c>
    </row>
    <row r="921" spans="1:15" x14ac:dyDescent="0.3">
      <c r="A921">
        <v>64</v>
      </c>
      <c r="B921" t="s">
        <v>18</v>
      </c>
      <c r="C921" s="1">
        <v>3</v>
      </c>
      <c r="D921" t="s">
        <v>13</v>
      </c>
      <c r="E921" t="s">
        <v>26</v>
      </c>
      <c r="F921" t="s">
        <v>27</v>
      </c>
      <c r="G921" t="s">
        <v>16</v>
      </c>
      <c r="H921" t="s">
        <v>17</v>
      </c>
      <c r="I921" s="2">
        <v>18998</v>
      </c>
      <c r="J921" t="b">
        <v>0</v>
      </c>
      <c r="K921" t="b">
        <v>1</v>
      </c>
      <c r="L921" t="b">
        <v>0</v>
      </c>
      <c r="M921" t="str">
        <f t="shared" si="28"/>
        <v>INSTAGRAM</v>
      </c>
      <c r="N921" t="str">
        <f t="shared" si="29"/>
        <v>Urban-INSTAGRAM</v>
      </c>
      <c r="O921">
        <v>18998</v>
      </c>
    </row>
    <row r="922" spans="1:15" x14ac:dyDescent="0.3">
      <c r="A922">
        <v>39</v>
      </c>
      <c r="B922" t="s">
        <v>18</v>
      </c>
      <c r="C922" s="1">
        <v>4</v>
      </c>
      <c r="D922" t="s">
        <v>13</v>
      </c>
      <c r="E922" t="s">
        <v>20</v>
      </c>
      <c r="F922" t="s">
        <v>22</v>
      </c>
      <c r="G922" t="s">
        <v>16</v>
      </c>
      <c r="H922" t="s">
        <v>24</v>
      </c>
      <c r="I922" s="2">
        <v>12722</v>
      </c>
      <c r="J922" t="b">
        <v>0</v>
      </c>
      <c r="K922" t="b">
        <v>1</v>
      </c>
      <c r="L922" t="b">
        <v>0</v>
      </c>
      <c r="M922" t="str">
        <f t="shared" si="28"/>
        <v>INSTAGRAM</v>
      </c>
      <c r="N922" t="str">
        <f t="shared" si="29"/>
        <v>Urban-INSTAGRAM</v>
      </c>
      <c r="O922">
        <v>12722</v>
      </c>
    </row>
    <row r="923" spans="1:15" x14ac:dyDescent="0.3">
      <c r="A923">
        <v>51</v>
      </c>
      <c r="B923" t="s">
        <v>18</v>
      </c>
      <c r="C923" s="1">
        <v>2</v>
      </c>
      <c r="D923" t="s">
        <v>28</v>
      </c>
      <c r="E923" t="s">
        <v>20</v>
      </c>
      <c r="F923" t="s">
        <v>15</v>
      </c>
      <c r="G923" t="s">
        <v>16</v>
      </c>
      <c r="H923" t="s">
        <v>24</v>
      </c>
      <c r="I923" s="2">
        <v>14656</v>
      </c>
      <c r="J923" t="b">
        <v>0</v>
      </c>
      <c r="K923" t="b">
        <v>0</v>
      </c>
      <c r="L923" t="b">
        <v>1</v>
      </c>
      <c r="M923" t="str">
        <f t="shared" si="28"/>
        <v>YOUTUBE</v>
      </c>
      <c r="N923" t="str">
        <f t="shared" si="29"/>
        <v>Urban-YOUTUBE</v>
      </c>
      <c r="O923">
        <v>14656</v>
      </c>
    </row>
    <row r="924" spans="1:15" x14ac:dyDescent="0.3">
      <c r="A924">
        <v>64</v>
      </c>
      <c r="B924" t="s">
        <v>18</v>
      </c>
      <c r="C924" s="1">
        <v>9</v>
      </c>
      <c r="D924" t="s">
        <v>13</v>
      </c>
      <c r="E924" t="s">
        <v>26</v>
      </c>
      <c r="F924" t="s">
        <v>27</v>
      </c>
      <c r="G924" t="s">
        <v>23</v>
      </c>
      <c r="H924" t="s">
        <v>24</v>
      </c>
      <c r="I924" s="2">
        <v>11325</v>
      </c>
      <c r="J924" t="b">
        <v>0</v>
      </c>
      <c r="K924" t="b">
        <v>1</v>
      </c>
      <c r="L924" t="b">
        <v>1</v>
      </c>
      <c r="M924" t="str">
        <f t="shared" si="28"/>
        <v>INSTAGRAM</v>
      </c>
      <c r="N924" t="str">
        <f t="shared" si="29"/>
        <v>Sub_Urban-INSTAGRAM</v>
      </c>
      <c r="O924">
        <v>11325</v>
      </c>
    </row>
    <row r="925" spans="1:15" x14ac:dyDescent="0.3">
      <c r="A925">
        <v>25</v>
      </c>
      <c r="B925" t="s">
        <v>25</v>
      </c>
      <c r="C925" s="1">
        <v>3</v>
      </c>
      <c r="D925" t="s">
        <v>28</v>
      </c>
      <c r="E925" t="s">
        <v>26</v>
      </c>
      <c r="F925" t="s">
        <v>22</v>
      </c>
      <c r="G925" t="s">
        <v>23</v>
      </c>
      <c r="H925" t="s">
        <v>21</v>
      </c>
      <c r="I925" s="2">
        <v>14133</v>
      </c>
      <c r="J925" t="b">
        <v>0</v>
      </c>
      <c r="K925" t="b">
        <v>1</v>
      </c>
      <c r="L925" t="b">
        <v>0</v>
      </c>
      <c r="M925" t="str">
        <f t="shared" si="28"/>
        <v>YOUTUBE</v>
      </c>
      <c r="N925" t="str">
        <f t="shared" si="29"/>
        <v>Sub_Urban-YOUTUBE</v>
      </c>
      <c r="O925">
        <v>14133</v>
      </c>
    </row>
    <row r="926" spans="1:15" x14ac:dyDescent="0.3">
      <c r="A926">
        <v>57</v>
      </c>
      <c r="B926" t="s">
        <v>25</v>
      </c>
      <c r="C926" s="1">
        <v>2</v>
      </c>
      <c r="D926" t="s">
        <v>13</v>
      </c>
      <c r="E926" t="s">
        <v>14</v>
      </c>
      <c r="F926" t="s">
        <v>27</v>
      </c>
      <c r="G926" t="s">
        <v>16</v>
      </c>
      <c r="H926" t="s">
        <v>21</v>
      </c>
      <c r="I926" s="2">
        <v>19351</v>
      </c>
      <c r="J926" t="b">
        <v>0</v>
      </c>
      <c r="K926" t="b">
        <v>0</v>
      </c>
      <c r="L926" t="b">
        <v>0</v>
      </c>
      <c r="M926" t="str">
        <f t="shared" si="28"/>
        <v>INSTAGRAM</v>
      </c>
      <c r="N926" t="str">
        <f t="shared" si="29"/>
        <v>Urban-INSTAGRAM</v>
      </c>
      <c r="O926">
        <v>19351</v>
      </c>
    </row>
    <row r="927" spans="1:15" x14ac:dyDescent="0.3">
      <c r="A927">
        <v>61</v>
      </c>
      <c r="B927" t="s">
        <v>25</v>
      </c>
      <c r="C927" s="1">
        <v>9</v>
      </c>
      <c r="D927" t="s">
        <v>19</v>
      </c>
      <c r="E927" t="s">
        <v>26</v>
      </c>
      <c r="F927" t="s">
        <v>27</v>
      </c>
      <c r="G927" t="s">
        <v>16</v>
      </c>
      <c r="H927" t="s">
        <v>21</v>
      </c>
      <c r="I927" s="2">
        <v>12869</v>
      </c>
      <c r="J927" t="b">
        <v>0</v>
      </c>
      <c r="K927" t="b">
        <v>0</v>
      </c>
      <c r="L927" t="b">
        <v>1</v>
      </c>
      <c r="M927" t="str">
        <f t="shared" si="28"/>
        <v>FACEBOOK</v>
      </c>
      <c r="N927" t="str">
        <f t="shared" si="29"/>
        <v>Urban-FACEBOOK</v>
      </c>
      <c r="O927">
        <v>12869</v>
      </c>
    </row>
    <row r="928" spans="1:15" x14ac:dyDescent="0.3">
      <c r="A928">
        <v>36</v>
      </c>
      <c r="B928" t="s">
        <v>25</v>
      </c>
      <c r="C928" s="1">
        <v>7</v>
      </c>
      <c r="D928" t="s">
        <v>28</v>
      </c>
      <c r="E928" t="s">
        <v>26</v>
      </c>
      <c r="F928" t="s">
        <v>15</v>
      </c>
      <c r="G928" t="s">
        <v>23</v>
      </c>
      <c r="H928" t="s">
        <v>17</v>
      </c>
      <c r="I928" s="2">
        <v>11242</v>
      </c>
      <c r="J928" t="b">
        <v>0</v>
      </c>
      <c r="K928" t="b">
        <v>1</v>
      </c>
      <c r="L928" t="b">
        <v>1</v>
      </c>
      <c r="M928" t="str">
        <f t="shared" si="28"/>
        <v>YOUTUBE</v>
      </c>
      <c r="N928" t="str">
        <f t="shared" si="29"/>
        <v>Sub_Urban-YOUTUBE</v>
      </c>
      <c r="O928">
        <v>11242</v>
      </c>
    </row>
    <row r="929" spans="1:15" x14ac:dyDescent="0.3">
      <c r="A929">
        <v>59</v>
      </c>
      <c r="B929" t="s">
        <v>25</v>
      </c>
      <c r="C929" s="1">
        <v>6</v>
      </c>
      <c r="D929" t="s">
        <v>28</v>
      </c>
      <c r="E929" t="s">
        <v>26</v>
      </c>
      <c r="F929" t="s">
        <v>27</v>
      </c>
      <c r="G929" t="s">
        <v>29</v>
      </c>
      <c r="H929" t="s">
        <v>21</v>
      </c>
      <c r="I929" s="2">
        <v>18539</v>
      </c>
      <c r="J929" t="b">
        <v>0</v>
      </c>
      <c r="K929" t="b">
        <v>0</v>
      </c>
      <c r="L929" t="b">
        <v>1</v>
      </c>
      <c r="M929" t="str">
        <f t="shared" si="28"/>
        <v>YOUTUBE</v>
      </c>
      <c r="N929" t="str">
        <f t="shared" si="29"/>
        <v>Rural-YOUTUBE</v>
      </c>
      <c r="O929">
        <v>18539</v>
      </c>
    </row>
    <row r="930" spans="1:15" x14ac:dyDescent="0.3">
      <c r="A930">
        <v>58</v>
      </c>
      <c r="B930" t="s">
        <v>18</v>
      </c>
      <c r="C930" s="1">
        <v>1</v>
      </c>
      <c r="D930" t="s">
        <v>13</v>
      </c>
      <c r="E930" t="s">
        <v>14</v>
      </c>
      <c r="F930" t="s">
        <v>15</v>
      </c>
      <c r="G930" t="s">
        <v>16</v>
      </c>
      <c r="H930" t="s">
        <v>17</v>
      </c>
      <c r="I930" s="2">
        <v>11831</v>
      </c>
      <c r="J930" t="b">
        <v>0</v>
      </c>
      <c r="K930" t="b">
        <v>1</v>
      </c>
      <c r="L930" t="b">
        <v>0</v>
      </c>
      <c r="M930" t="str">
        <f t="shared" si="28"/>
        <v>INSTAGRAM</v>
      </c>
      <c r="N930" t="str">
        <f t="shared" si="29"/>
        <v>Urban-INSTAGRAM</v>
      </c>
      <c r="O930">
        <v>11831</v>
      </c>
    </row>
    <row r="931" spans="1:15" x14ac:dyDescent="0.3">
      <c r="A931">
        <v>54</v>
      </c>
      <c r="B931" t="s">
        <v>18</v>
      </c>
      <c r="C931" s="1">
        <v>5</v>
      </c>
      <c r="D931" t="s">
        <v>28</v>
      </c>
      <c r="E931" t="s">
        <v>26</v>
      </c>
      <c r="F931" t="s">
        <v>27</v>
      </c>
      <c r="G931" t="s">
        <v>23</v>
      </c>
      <c r="H931" t="s">
        <v>24</v>
      </c>
      <c r="I931" s="2">
        <v>11569</v>
      </c>
      <c r="J931" t="b">
        <v>0</v>
      </c>
      <c r="K931" t="b">
        <v>1</v>
      </c>
      <c r="L931" t="b">
        <v>1</v>
      </c>
      <c r="M931" t="str">
        <f t="shared" si="28"/>
        <v>YOUTUBE</v>
      </c>
      <c r="N931" t="str">
        <f t="shared" si="29"/>
        <v>Sub_Urban-YOUTUBE</v>
      </c>
      <c r="O931">
        <v>11569</v>
      </c>
    </row>
    <row r="932" spans="1:15" x14ac:dyDescent="0.3">
      <c r="A932">
        <v>23</v>
      </c>
      <c r="B932" t="s">
        <v>18</v>
      </c>
      <c r="C932" s="1">
        <v>3</v>
      </c>
      <c r="D932" t="s">
        <v>28</v>
      </c>
      <c r="E932" t="s">
        <v>26</v>
      </c>
      <c r="F932" t="s">
        <v>22</v>
      </c>
      <c r="G932" t="s">
        <v>23</v>
      </c>
      <c r="H932" t="s">
        <v>24</v>
      </c>
      <c r="I932" s="2">
        <v>17246</v>
      </c>
      <c r="J932" t="b">
        <v>1</v>
      </c>
      <c r="K932" t="b">
        <v>0</v>
      </c>
      <c r="L932" t="b">
        <v>0</v>
      </c>
      <c r="M932" t="str">
        <f t="shared" si="28"/>
        <v>YOUTUBE</v>
      </c>
      <c r="N932" t="str">
        <f t="shared" si="29"/>
        <v>Sub_Urban-YOUTUBE</v>
      </c>
      <c r="O932">
        <v>17246</v>
      </c>
    </row>
    <row r="933" spans="1:15" x14ac:dyDescent="0.3">
      <c r="A933">
        <v>43</v>
      </c>
      <c r="B933" t="s">
        <v>18</v>
      </c>
      <c r="C933" s="1">
        <v>1</v>
      </c>
      <c r="D933" t="s">
        <v>19</v>
      </c>
      <c r="E933" t="s">
        <v>14</v>
      </c>
      <c r="F933" t="s">
        <v>27</v>
      </c>
      <c r="G933" t="s">
        <v>29</v>
      </c>
      <c r="H933" t="s">
        <v>17</v>
      </c>
      <c r="I933" s="2">
        <v>11918</v>
      </c>
      <c r="J933" t="b">
        <v>1</v>
      </c>
      <c r="K933" t="b">
        <v>0</v>
      </c>
      <c r="L933" t="b">
        <v>1</v>
      </c>
      <c r="M933" t="str">
        <f t="shared" si="28"/>
        <v>FACEBOOK</v>
      </c>
      <c r="N933" t="str">
        <f t="shared" si="29"/>
        <v>Rural-FACEBOOK</v>
      </c>
      <c r="O933">
        <v>11918</v>
      </c>
    </row>
    <row r="934" spans="1:15" x14ac:dyDescent="0.3">
      <c r="A934">
        <v>51</v>
      </c>
      <c r="B934" t="s">
        <v>25</v>
      </c>
      <c r="C934" s="1">
        <v>4</v>
      </c>
      <c r="D934" t="s">
        <v>19</v>
      </c>
      <c r="E934" t="s">
        <v>26</v>
      </c>
      <c r="F934" t="s">
        <v>22</v>
      </c>
      <c r="G934" t="s">
        <v>23</v>
      </c>
      <c r="H934" t="s">
        <v>21</v>
      </c>
      <c r="I934" s="2">
        <v>16416</v>
      </c>
      <c r="J934" t="b">
        <v>0</v>
      </c>
      <c r="K934" t="b">
        <v>1</v>
      </c>
      <c r="L934" t="b">
        <v>0</v>
      </c>
      <c r="M934" t="str">
        <f t="shared" si="28"/>
        <v>FACEBOOK</v>
      </c>
      <c r="N934" t="str">
        <f t="shared" si="29"/>
        <v>Sub_Urban-FACEBOOK</v>
      </c>
      <c r="O934">
        <v>16416</v>
      </c>
    </row>
    <row r="935" spans="1:15" x14ac:dyDescent="0.3">
      <c r="A935">
        <v>62</v>
      </c>
      <c r="B935" t="s">
        <v>25</v>
      </c>
      <c r="C935" s="1">
        <v>2</v>
      </c>
      <c r="D935" t="s">
        <v>13</v>
      </c>
      <c r="E935" t="s">
        <v>26</v>
      </c>
      <c r="F935" t="s">
        <v>22</v>
      </c>
      <c r="G935" t="s">
        <v>23</v>
      </c>
      <c r="H935" t="s">
        <v>17</v>
      </c>
      <c r="I935" s="2">
        <v>13232</v>
      </c>
      <c r="J935" t="b">
        <v>0</v>
      </c>
      <c r="K935" t="b">
        <v>0</v>
      </c>
      <c r="L935" t="b">
        <v>0</v>
      </c>
      <c r="M935" t="str">
        <f t="shared" si="28"/>
        <v>INSTAGRAM</v>
      </c>
      <c r="N935" t="str">
        <f t="shared" si="29"/>
        <v>Sub_Urban-INSTAGRAM</v>
      </c>
      <c r="O935">
        <v>13232</v>
      </c>
    </row>
    <row r="936" spans="1:15" x14ac:dyDescent="0.3">
      <c r="A936">
        <v>23</v>
      </c>
      <c r="B936" t="s">
        <v>25</v>
      </c>
      <c r="C936" s="1">
        <v>2</v>
      </c>
      <c r="D936" t="s">
        <v>19</v>
      </c>
      <c r="E936" t="s">
        <v>14</v>
      </c>
      <c r="F936" t="s">
        <v>27</v>
      </c>
      <c r="G936" t="s">
        <v>16</v>
      </c>
      <c r="H936" t="s">
        <v>24</v>
      </c>
      <c r="I936" s="2">
        <v>13758</v>
      </c>
      <c r="J936" t="b">
        <v>0</v>
      </c>
      <c r="K936" t="b">
        <v>0</v>
      </c>
      <c r="L936" t="b">
        <v>0</v>
      </c>
      <c r="M936" t="str">
        <f t="shared" si="28"/>
        <v>FACEBOOK</v>
      </c>
      <c r="N936" t="str">
        <f t="shared" si="29"/>
        <v>Urban-FACEBOOK</v>
      </c>
      <c r="O936">
        <v>13758</v>
      </c>
    </row>
    <row r="937" spans="1:15" x14ac:dyDescent="0.3">
      <c r="A937">
        <v>54</v>
      </c>
      <c r="B937" t="s">
        <v>12</v>
      </c>
      <c r="C937" s="1">
        <v>3</v>
      </c>
      <c r="D937" t="s">
        <v>13</v>
      </c>
      <c r="E937" t="s">
        <v>20</v>
      </c>
      <c r="F937" t="s">
        <v>22</v>
      </c>
      <c r="G937" t="s">
        <v>16</v>
      </c>
      <c r="H937" t="s">
        <v>24</v>
      </c>
      <c r="I937" s="2">
        <v>15997</v>
      </c>
      <c r="J937" t="b">
        <v>1</v>
      </c>
      <c r="K937" t="b">
        <v>1</v>
      </c>
      <c r="L937" t="b">
        <v>0</v>
      </c>
      <c r="M937" t="str">
        <f t="shared" si="28"/>
        <v>INSTAGRAM</v>
      </c>
      <c r="N937" t="str">
        <f t="shared" si="29"/>
        <v>Urban-INSTAGRAM</v>
      </c>
      <c r="O937">
        <v>15997</v>
      </c>
    </row>
    <row r="938" spans="1:15" x14ac:dyDescent="0.3">
      <c r="A938">
        <v>50</v>
      </c>
      <c r="B938" t="s">
        <v>18</v>
      </c>
      <c r="C938" s="1">
        <v>8</v>
      </c>
      <c r="D938" t="s">
        <v>13</v>
      </c>
      <c r="E938" t="s">
        <v>14</v>
      </c>
      <c r="F938" t="s">
        <v>27</v>
      </c>
      <c r="G938" t="s">
        <v>29</v>
      </c>
      <c r="H938" t="s">
        <v>17</v>
      </c>
      <c r="I938" s="2">
        <v>12355</v>
      </c>
      <c r="J938" t="b">
        <v>1</v>
      </c>
      <c r="K938" t="b">
        <v>1</v>
      </c>
      <c r="L938" t="b">
        <v>1</v>
      </c>
      <c r="M938" t="str">
        <f t="shared" si="28"/>
        <v>INSTAGRAM</v>
      </c>
      <c r="N938" t="str">
        <f t="shared" si="29"/>
        <v>Rural-INSTAGRAM</v>
      </c>
      <c r="O938">
        <v>12355</v>
      </c>
    </row>
    <row r="939" spans="1:15" x14ac:dyDescent="0.3">
      <c r="A939">
        <v>39</v>
      </c>
      <c r="B939" t="s">
        <v>18</v>
      </c>
      <c r="C939" s="1">
        <v>8</v>
      </c>
      <c r="D939" t="s">
        <v>13</v>
      </c>
      <c r="E939" t="s">
        <v>26</v>
      </c>
      <c r="F939" t="s">
        <v>27</v>
      </c>
      <c r="G939" t="s">
        <v>29</v>
      </c>
      <c r="H939" t="s">
        <v>21</v>
      </c>
      <c r="I939" s="2">
        <v>19589</v>
      </c>
      <c r="J939" t="b">
        <v>1</v>
      </c>
      <c r="K939" t="b">
        <v>1</v>
      </c>
      <c r="L939" t="b">
        <v>0</v>
      </c>
      <c r="M939" t="str">
        <f t="shared" si="28"/>
        <v>INSTAGRAM</v>
      </c>
      <c r="N939" t="str">
        <f t="shared" si="29"/>
        <v>Rural-INSTAGRAM</v>
      </c>
      <c r="O939">
        <v>19589</v>
      </c>
    </row>
    <row r="940" spans="1:15" x14ac:dyDescent="0.3">
      <c r="A940">
        <v>38</v>
      </c>
      <c r="B940" t="s">
        <v>25</v>
      </c>
      <c r="C940" s="1">
        <v>7</v>
      </c>
      <c r="D940" t="s">
        <v>28</v>
      </c>
      <c r="E940" t="s">
        <v>26</v>
      </c>
      <c r="F940" t="s">
        <v>22</v>
      </c>
      <c r="G940" t="s">
        <v>23</v>
      </c>
      <c r="H940" t="s">
        <v>21</v>
      </c>
      <c r="I940" s="2">
        <v>11824</v>
      </c>
      <c r="J940" t="b">
        <v>0</v>
      </c>
      <c r="K940" t="b">
        <v>1</v>
      </c>
      <c r="L940" t="b">
        <v>0</v>
      </c>
      <c r="M940" t="str">
        <f t="shared" si="28"/>
        <v>YOUTUBE</v>
      </c>
      <c r="N940" t="str">
        <f t="shared" si="29"/>
        <v>Sub_Urban-YOUTUBE</v>
      </c>
      <c r="O940">
        <v>11824</v>
      </c>
    </row>
    <row r="941" spans="1:15" x14ac:dyDescent="0.3">
      <c r="A941">
        <v>23</v>
      </c>
      <c r="B941" t="s">
        <v>18</v>
      </c>
      <c r="C941" s="1">
        <v>6</v>
      </c>
      <c r="D941" t="s">
        <v>19</v>
      </c>
      <c r="E941" t="s">
        <v>26</v>
      </c>
      <c r="F941" t="s">
        <v>22</v>
      </c>
      <c r="G941" t="s">
        <v>16</v>
      </c>
      <c r="H941" t="s">
        <v>17</v>
      </c>
      <c r="I941" s="2">
        <v>17280</v>
      </c>
      <c r="J941" t="b">
        <v>0</v>
      </c>
      <c r="K941" t="b">
        <v>1</v>
      </c>
      <c r="L941" t="b">
        <v>0</v>
      </c>
      <c r="M941" t="str">
        <f t="shared" si="28"/>
        <v>FACEBOOK</v>
      </c>
      <c r="N941" t="str">
        <f t="shared" si="29"/>
        <v>Urban-FACEBOOK</v>
      </c>
      <c r="O941">
        <v>17280</v>
      </c>
    </row>
    <row r="942" spans="1:15" x14ac:dyDescent="0.3">
      <c r="A942">
        <v>23</v>
      </c>
      <c r="B942" t="s">
        <v>18</v>
      </c>
      <c r="C942" s="1">
        <v>9</v>
      </c>
      <c r="D942" t="s">
        <v>13</v>
      </c>
      <c r="E942" t="s">
        <v>14</v>
      </c>
      <c r="F942" t="s">
        <v>15</v>
      </c>
      <c r="G942" t="s">
        <v>29</v>
      </c>
      <c r="H942" t="s">
        <v>17</v>
      </c>
      <c r="I942" s="2">
        <v>14060</v>
      </c>
      <c r="J942" t="b">
        <v>0</v>
      </c>
      <c r="K942" t="b">
        <v>1</v>
      </c>
      <c r="L942" t="b">
        <v>1</v>
      </c>
      <c r="M942" t="str">
        <f t="shared" si="28"/>
        <v>INSTAGRAM</v>
      </c>
      <c r="N942" t="str">
        <f t="shared" si="29"/>
        <v>Rural-INSTAGRAM</v>
      </c>
      <c r="O942">
        <v>14060</v>
      </c>
    </row>
    <row r="943" spans="1:15" x14ac:dyDescent="0.3">
      <c r="A943">
        <v>21</v>
      </c>
      <c r="B943" t="s">
        <v>25</v>
      </c>
      <c r="C943" s="1">
        <v>4</v>
      </c>
      <c r="D943" t="s">
        <v>19</v>
      </c>
      <c r="E943" t="s">
        <v>26</v>
      </c>
      <c r="F943" t="s">
        <v>22</v>
      </c>
      <c r="G943" t="s">
        <v>29</v>
      </c>
      <c r="H943" t="s">
        <v>21</v>
      </c>
      <c r="I943" s="2">
        <v>15324</v>
      </c>
      <c r="J943" t="b">
        <v>0</v>
      </c>
      <c r="K943" t="b">
        <v>0</v>
      </c>
      <c r="L943" t="b">
        <v>1</v>
      </c>
      <c r="M943" t="str">
        <f t="shared" si="28"/>
        <v>FACEBOOK</v>
      </c>
      <c r="N943" t="str">
        <f t="shared" si="29"/>
        <v>Rural-FACEBOOK</v>
      </c>
      <c r="O943">
        <v>15324</v>
      </c>
    </row>
    <row r="944" spans="1:15" x14ac:dyDescent="0.3">
      <c r="A944">
        <v>47</v>
      </c>
      <c r="B944" t="s">
        <v>12</v>
      </c>
      <c r="C944" s="1">
        <v>1</v>
      </c>
      <c r="D944" t="s">
        <v>13</v>
      </c>
      <c r="E944" t="s">
        <v>26</v>
      </c>
      <c r="F944" t="s">
        <v>15</v>
      </c>
      <c r="G944" t="s">
        <v>29</v>
      </c>
      <c r="H944" t="s">
        <v>24</v>
      </c>
      <c r="I944" s="2">
        <v>10404</v>
      </c>
      <c r="J944" t="b">
        <v>1</v>
      </c>
      <c r="K944" t="b">
        <v>1</v>
      </c>
      <c r="L944" t="b">
        <v>1</v>
      </c>
      <c r="M944" t="str">
        <f t="shared" si="28"/>
        <v>INSTAGRAM</v>
      </c>
      <c r="N944" t="str">
        <f t="shared" si="29"/>
        <v>Rural-INSTAGRAM</v>
      </c>
      <c r="O944">
        <v>10404</v>
      </c>
    </row>
    <row r="945" spans="1:15" x14ac:dyDescent="0.3">
      <c r="A945">
        <v>28</v>
      </c>
      <c r="B945" t="s">
        <v>12</v>
      </c>
      <c r="C945" s="1">
        <v>8</v>
      </c>
      <c r="D945" t="s">
        <v>19</v>
      </c>
      <c r="E945" t="s">
        <v>14</v>
      </c>
      <c r="F945" t="s">
        <v>22</v>
      </c>
      <c r="G945" t="s">
        <v>23</v>
      </c>
      <c r="H945" t="s">
        <v>17</v>
      </c>
      <c r="I945" s="2">
        <v>11721</v>
      </c>
      <c r="J945" t="b">
        <v>0</v>
      </c>
      <c r="K945" t="b">
        <v>0</v>
      </c>
      <c r="L945" t="b">
        <v>1</v>
      </c>
      <c r="M945" t="str">
        <f t="shared" si="28"/>
        <v>FACEBOOK</v>
      </c>
      <c r="N945" t="str">
        <f t="shared" si="29"/>
        <v>Sub_Urban-FACEBOOK</v>
      </c>
      <c r="O945">
        <v>11721</v>
      </c>
    </row>
    <row r="946" spans="1:15" x14ac:dyDescent="0.3">
      <c r="A946">
        <v>47</v>
      </c>
      <c r="B946" t="s">
        <v>12</v>
      </c>
      <c r="C946" s="1">
        <v>7</v>
      </c>
      <c r="D946" t="s">
        <v>19</v>
      </c>
      <c r="E946" t="s">
        <v>20</v>
      </c>
      <c r="F946" t="s">
        <v>27</v>
      </c>
      <c r="G946" t="s">
        <v>16</v>
      </c>
      <c r="H946" t="s">
        <v>21</v>
      </c>
      <c r="I946" s="2">
        <v>15316</v>
      </c>
      <c r="J946" t="b">
        <v>1</v>
      </c>
      <c r="K946" t="b">
        <v>0</v>
      </c>
      <c r="L946" t="b">
        <v>1</v>
      </c>
      <c r="M946" t="str">
        <f t="shared" si="28"/>
        <v>FACEBOOK</v>
      </c>
      <c r="N946" t="str">
        <f t="shared" si="29"/>
        <v>Urban-FACEBOOK</v>
      </c>
      <c r="O946">
        <v>15316</v>
      </c>
    </row>
    <row r="947" spans="1:15" x14ac:dyDescent="0.3">
      <c r="A947">
        <v>48</v>
      </c>
      <c r="B947" t="s">
        <v>25</v>
      </c>
      <c r="C947" s="1">
        <v>7</v>
      </c>
      <c r="D947" t="s">
        <v>13</v>
      </c>
      <c r="E947" t="s">
        <v>20</v>
      </c>
      <c r="F947" t="s">
        <v>22</v>
      </c>
      <c r="G947" t="s">
        <v>29</v>
      </c>
      <c r="H947" t="s">
        <v>21</v>
      </c>
      <c r="I947" s="2">
        <v>13845</v>
      </c>
      <c r="J947" t="b">
        <v>1</v>
      </c>
      <c r="K947" t="b">
        <v>1</v>
      </c>
      <c r="L947" t="b">
        <v>1</v>
      </c>
      <c r="M947" t="str">
        <f t="shared" si="28"/>
        <v>INSTAGRAM</v>
      </c>
      <c r="N947" t="str">
        <f t="shared" si="29"/>
        <v>Rural-INSTAGRAM</v>
      </c>
      <c r="O947">
        <v>13845</v>
      </c>
    </row>
    <row r="948" spans="1:15" x14ac:dyDescent="0.3">
      <c r="A948">
        <v>41</v>
      </c>
      <c r="B948" t="s">
        <v>18</v>
      </c>
      <c r="C948" s="1">
        <v>3</v>
      </c>
      <c r="D948" t="s">
        <v>28</v>
      </c>
      <c r="E948" t="s">
        <v>26</v>
      </c>
      <c r="F948" t="s">
        <v>27</v>
      </c>
      <c r="G948" t="s">
        <v>16</v>
      </c>
      <c r="H948" t="s">
        <v>24</v>
      </c>
      <c r="I948" s="2">
        <v>14210</v>
      </c>
      <c r="J948" t="b">
        <v>0</v>
      </c>
      <c r="K948" t="b">
        <v>0</v>
      </c>
      <c r="L948" t="b">
        <v>0</v>
      </c>
      <c r="M948" t="str">
        <f t="shared" si="28"/>
        <v>YOUTUBE</v>
      </c>
      <c r="N948" t="str">
        <f t="shared" si="29"/>
        <v>Urban-YOUTUBE</v>
      </c>
      <c r="O948">
        <v>14210</v>
      </c>
    </row>
    <row r="949" spans="1:15" x14ac:dyDescent="0.3">
      <c r="A949">
        <v>26</v>
      </c>
      <c r="B949" t="s">
        <v>25</v>
      </c>
      <c r="C949" s="1">
        <v>4</v>
      </c>
      <c r="D949" t="s">
        <v>19</v>
      </c>
      <c r="E949" t="s">
        <v>14</v>
      </c>
      <c r="F949" t="s">
        <v>27</v>
      </c>
      <c r="G949" t="s">
        <v>29</v>
      </c>
      <c r="H949" t="s">
        <v>24</v>
      </c>
      <c r="I949" s="2">
        <v>10064</v>
      </c>
      <c r="J949" t="b">
        <v>1</v>
      </c>
      <c r="K949" t="b">
        <v>1</v>
      </c>
      <c r="L949" t="b">
        <v>0</v>
      </c>
      <c r="M949" t="str">
        <f t="shared" si="28"/>
        <v>FACEBOOK</v>
      </c>
      <c r="N949" t="str">
        <f t="shared" si="29"/>
        <v>Rural-FACEBOOK</v>
      </c>
      <c r="O949">
        <v>10064</v>
      </c>
    </row>
    <row r="950" spans="1:15" x14ac:dyDescent="0.3">
      <c r="A950">
        <v>20</v>
      </c>
      <c r="B950" t="s">
        <v>25</v>
      </c>
      <c r="C950" s="1">
        <v>9</v>
      </c>
      <c r="D950" t="s">
        <v>28</v>
      </c>
      <c r="E950" t="s">
        <v>26</v>
      </c>
      <c r="F950" t="s">
        <v>27</v>
      </c>
      <c r="G950" t="s">
        <v>29</v>
      </c>
      <c r="H950" t="s">
        <v>24</v>
      </c>
      <c r="I950" s="2">
        <v>19491</v>
      </c>
      <c r="J950" t="b">
        <v>1</v>
      </c>
      <c r="K950" t="b">
        <v>0</v>
      </c>
      <c r="L950" t="b">
        <v>0</v>
      </c>
      <c r="M950" t="str">
        <f t="shared" si="28"/>
        <v>YOUTUBE</v>
      </c>
      <c r="N950" t="str">
        <f t="shared" si="29"/>
        <v>Rural-YOUTUBE</v>
      </c>
      <c r="O950">
        <v>19491</v>
      </c>
    </row>
    <row r="951" spans="1:15" x14ac:dyDescent="0.3">
      <c r="A951">
        <v>48</v>
      </c>
      <c r="B951" t="s">
        <v>18</v>
      </c>
      <c r="C951" s="1">
        <v>6</v>
      </c>
      <c r="D951" t="s">
        <v>28</v>
      </c>
      <c r="E951" t="s">
        <v>14</v>
      </c>
      <c r="F951" t="s">
        <v>15</v>
      </c>
      <c r="G951" t="s">
        <v>16</v>
      </c>
      <c r="H951" t="s">
        <v>24</v>
      </c>
      <c r="I951" s="2">
        <v>16382</v>
      </c>
      <c r="J951" t="b">
        <v>1</v>
      </c>
      <c r="K951" t="b">
        <v>1</v>
      </c>
      <c r="L951" t="b">
        <v>1</v>
      </c>
      <c r="M951" t="str">
        <f t="shared" si="28"/>
        <v>YOUTUBE</v>
      </c>
      <c r="N951" t="str">
        <f t="shared" si="29"/>
        <v>Urban-YOUTUBE</v>
      </c>
      <c r="O951">
        <v>16382</v>
      </c>
    </row>
    <row r="952" spans="1:15" x14ac:dyDescent="0.3">
      <c r="A952">
        <v>57</v>
      </c>
      <c r="B952" t="s">
        <v>12</v>
      </c>
      <c r="C952" s="1">
        <v>5</v>
      </c>
      <c r="D952" t="s">
        <v>13</v>
      </c>
      <c r="E952" t="s">
        <v>14</v>
      </c>
      <c r="F952" t="s">
        <v>22</v>
      </c>
      <c r="G952" t="s">
        <v>16</v>
      </c>
      <c r="H952" t="s">
        <v>24</v>
      </c>
      <c r="I952" s="2">
        <v>19607</v>
      </c>
      <c r="J952" t="b">
        <v>1</v>
      </c>
      <c r="K952" t="b">
        <v>1</v>
      </c>
      <c r="L952" t="b">
        <v>0</v>
      </c>
      <c r="M952" t="str">
        <f t="shared" si="28"/>
        <v>INSTAGRAM</v>
      </c>
      <c r="N952" t="str">
        <f t="shared" si="29"/>
        <v>Urban-INSTAGRAM</v>
      </c>
      <c r="O952">
        <v>19607</v>
      </c>
    </row>
    <row r="953" spans="1:15" x14ac:dyDescent="0.3">
      <c r="A953">
        <v>54</v>
      </c>
      <c r="B953" t="s">
        <v>12</v>
      </c>
      <c r="C953" s="1">
        <v>3</v>
      </c>
      <c r="D953" t="s">
        <v>13</v>
      </c>
      <c r="E953" t="s">
        <v>20</v>
      </c>
      <c r="F953" t="s">
        <v>27</v>
      </c>
      <c r="G953" t="s">
        <v>16</v>
      </c>
      <c r="H953" t="s">
        <v>17</v>
      </c>
      <c r="I953" s="2">
        <v>10968</v>
      </c>
      <c r="J953" t="b">
        <v>0</v>
      </c>
      <c r="K953" t="b">
        <v>1</v>
      </c>
      <c r="L953" t="b">
        <v>0</v>
      </c>
      <c r="M953" t="str">
        <f t="shared" si="28"/>
        <v>INSTAGRAM</v>
      </c>
      <c r="N953" t="str">
        <f t="shared" si="29"/>
        <v>Urban-INSTAGRAM</v>
      </c>
      <c r="O953">
        <v>10968</v>
      </c>
    </row>
    <row r="954" spans="1:15" x14ac:dyDescent="0.3">
      <c r="A954">
        <v>53</v>
      </c>
      <c r="B954" t="s">
        <v>25</v>
      </c>
      <c r="C954" s="1">
        <v>9</v>
      </c>
      <c r="D954" t="s">
        <v>13</v>
      </c>
      <c r="E954" t="s">
        <v>20</v>
      </c>
      <c r="F954" t="s">
        <v>27</v>
      </c>
      <c r="G954" t="s">
        <v>23</v>
      </c>
      <c r="H954" t="s">
        <v>21</v>
      </c>
      <c r="I954" s="2">
        <v>10368</v>
      </c>
      <c r="J954" t="b">
        <v>0</v>
      </c>
      <c r="K954" t="b">
        <v>1</v>
      </c>
      <c r="L954" t="b">
        <v>1</v>
      </c>
      <c r="M954" t="str">
        <f t="shared" si="28"/>
        <v>INSTAGRAM</v>
      </c>
      <c r="N954" t="str">
        <f t="shared" si="29"/>
        <v>Sub_Urban-INSTAGRAM</v>
      </c>
      <c r="O954">
        <v>10368</v>
      </c>
    </row>
    <row r="955" spans="1:15" x14ac:dyDescent="0.3">
      <c r="A955">
        <v>41</v>
      </c>
      <c r="B955" t="s">
        <v>12</v>
      </c>
      <c r="C955" s="1">
        <v>5</v>
      </c>
      <c r="D955" t="s">
        <v>19</v>
      </c>
      <c r="E955" t="s">
        <v>14</v>
      </c>
      <c r="F955" t="s">
        <v>15</v>
      </c>
      <c r="G955" t="s">
        <v>29</v>
      </c>
      <c r="H955" t="s">
        <v>17</v>
      </c>
      <c r="I955" s="2">
        <v>18424</v>
      </c>
      <c r="J955" t="b">
        <v>1</v>
      </c>
      <c r="K955" t="b">
        <v>0</v>
      </c>
      <c r="L955" t="b">
        <v>0</v>
      </c>
      <c r="M955" t="str">
        <f t="shared" si="28"/>
        <v>FACEBOOK</v>
      </c>
      <c r="N955" t="str">
        <f t="shared" si="29"/>
        <v>Rural-FACEBOOK</v>
      </c>
      <c r="O955">
        <v>18424</v>
      </c>
    </row>
    <row r="956" spans="1:15" x14ac:dyDescent="0.3">
      <c r="A956">
        <v>48</v>
      </c>
      <c r="B956" t="s">
        <v>25</v>
      </c>
      <c r="C956" s="1">
        <v>5</v>
      </c>
      <c r="D956" t="s">
        <v>13</v>
      </c>
      <c r="E956" t="s">
        <v>26</v>
      </c>
      <c r="F956" t="s">
        <v>22</v>
      </c>
      <c r="G956" t="s">
        <v>23</v>
      </c>
      <c r="H956" t="s">
        <v>17</v>
      </c>
      <c r="I956" s="2">
        <v>12242</v>
      </c>
      <c r="J956" t="b">
        <v>0</v>
      </c>
      <c r="K956" t="b">
        <v>0</v>
      </c>
      <c r="L956" t="b">
        <v>1</v>
      </c>
      <c r="M956" t="str">
        <f t="shared" si="28"/>
        <v>INSTAGRAM</v>
      </c>
      <c r="N956" t="str">
        <f t="shared" si="29"/>
        <v>Sub_Urban-INSTAGRAM</v>
      </c>
      <c r="O956">
        <v>12242</v>
      </c>
    </row>
    <row r="957" spans="1:15" x14ac:dyDescent="0.3">
      <c r="A957">
        <v>23</v>
      </c>
      <c r="B957" t="s">
        <v>25</v>
      </c>
      <c r="C957" s="1">
        <v>4</v>
      </c>
      <c r="D957" t="s">
        <v>13</v>
      </c>
      <c r="E957" t="s">
        <v>20</v>
      </c>
      <c r="F957" t="s">
        <v>22</v>
      </c>
      <c r="G957" t="s">
        <v>16</v>
      </c>
      <c r="H957" t="s">
        <v>17</v>
      </c>
      <c r="I957" s="2">
        <v>15002</v>
      </c>
      <c r="J957" t="b">
        <v>1</v>
      </c>
      <c r="K957" t="b">
        <v>0</v>
      </c>
      <c r="L957" t="b">
        <v>0</v>
      </c>
      <c r="M957" t="str">
        <f t="shared" si="28"/>
        <v>INSTAGRAM</v>
      </c>
      <c r="N957" t="str">
        <f t="shared" si="29"/>
        <v>Urban-INSTAGRAM</v>
      </c>
      <c r="O957">
        <v>15002</v>
      </c>
    </row>
    <row r="958" spans="1:15" x14ac:dyDescent="0.3">
      <c r="A958">
        <v>19</v>
      </c>
      <c r="B958" t="s">
        <v>18</v>
      </c>
      <c r="C958" s="1">
        <v>4</v>
      </c>
      <c r="D958" t="s">
        <v>19</v>
      </c>
      <c r="E958" t="s">
        <v>26</v>
      </c>
      <c r="F958" t="s">
        <v>15</v>
      </c>
      <c r="G958" t="s">
        <v>29</v>
      </c>
      <c r="H958" t="s">
        <v>17</v>
      </c>
      <c r="I958" s="2">
        <v>13083</v>
      </c>
      <c r="J958" t="b">
        <v>0</v>
      </c>
      <c r="K958" t="b">
        <v>0</v>
      </c>
      <c r="L958" t="b">
        <v>1</v>
      </c>
      <c r="M958" t="str">
        <f t="shared" si="28"/>
        <v>FACEBOOK</v>
      </c>
      <c r="N958" t="str">
        <f t="shared" si="29"/>
        <v>Rural-FACEBOOK</v>
      </c>
      <c r="O958">
        <v>13083</v>
      </c>
    </row>
    <row r="959" spans="1:15" x14ac:dyDescent="0.3">
      <c r="A959">
        <v>37</v>
      </c>
      <c r="B959" t="s">
        <v>18</v>
      </c>
      <c r="C959" s="1">
        <v>1</v>
      </c>
      <c r="D959" t="s">
        <v>19</v>
      </c>
      <c r="E959" t="s">
        <v>20</v>
      </c>
      <c r="F959" t="s">
        <v>15</v>
      </c>
      <c r="G959" t="s">
        <v>23</v>
      </c>
      <c r="H959" t="s">
        <v>17</v>
      </c>
      <c r="I959" s="2">
        <v>18073</v>
      </c>
      <c r="J959" t="b">
        <v>0</v>
      </c>
      <c r="K959" t="b">
        <v>0</v>
      </c>
      <c r="L959" t="b">
        <v>1</v>
      </c>
      <c r="M959" t="str">
        <f t="shared" si="28"/>
        <v>FACEBOOK</v>
      </c>
      <c r="N959" t="str">
        <f t="shared" si="29"/>
        <v>Sub_Urban-FACEBOOK</v>
      </c>
      <c r="O959">
        <v>18073</v>
      </c>
    </row>
    <row r="960" spans="1:15" x14ac:dyDescent="0.3">
      <c r="A960">
        <v>45</v>
      </c>
      <c r="B960" t="s">
        <v>18</v>
      </c>
      <c r="C960" s="1">
        <v>7</v>
      </c>
      <c r="D960" t="s">
        <v>13</v>
      </c>
      <c r="E960" t="s">
        <v>20</v>
      </c>
      <c r="F960" t="s">
        <v>22</v>
      </c>
      <c r="G960" t="s">
        <v>29</v>
      </c>
      <c r="H960" t="s">
        <v>24</v>
      </c>
      <c r="I960" s="2">
        <v>19112</v>
      </c>
      <c r="J960" t="b">
        <v>0</v>
      </c>
      <c r="K960" t="b">
        <v>1</v>
      </c>
      <c r="L960" t="b">
        <v>1</v>
      </c>
      <c r="M960" t="str">
        <f t="shared" si="28"/>
        <v>INSTAGRAM</v>
      </c>
      <c r="N960" t="str">
        <f t="shared" si="29"/>
        <v>Rural-INSTAGRAM</v>
      </c>
      <c r="O960">
        <v>19112</v>
      </c>
    </row>
    <row r="961" spans="1:15" x14ac:dyDescent="0.3">
      <c r="A961">
        <v>28</v>
      </c>
      <c r="B961" t="s">
        <v>25</v>
      </c>
      <c r="C961" s="1">
        <v>9</v>
      </c>
      <c r="D961" t="s">
        <v>13</v>
      </c>
      <c r="E961" t="s">
        <v>26</v>
      </c>
      <c r="F961" t="s">
        <v>15</v>
      </c>
      <c r="G961" t="s">
        <v>23</v>
      </c>
      <c r="H961" t="s">
        <v>24</v>
      </c>
      <c r="I961" s="2">
        <v>18880</v>
      </c>
      <c r="J961" t="b">
        <v>0</v>
      </c>
      <c r="K961" t="b">
        <v>1</v>
      </c>
      <c r="L961" t="b">
        <v>0</v>
      </c>
      <c r="M961" t="str">
        <f t="shared" si="28"/>
        <v>INSTAGRAM</v>
      </c>
      <c r="N961" t="str">
        <f t="shared" si="29"/>
        <v>Sub_Urban-INSTAGRAM</v>
      </c>
      <c r="O961">
        <v>18880</v>
      </c>
    </row>
    <row r="962" spans="1:15" x14ac:dyDescent="0.3">
      <c r="A962">
        <v>21</v>
      </c>
      <c r="B962" t="s">
        <v>18</v>
      </c>
      <c r="C962" s="1">
        <v>3</v>
      </c>
      <c r="D962" t="s">
        <v>13</v>
      </c>
      <c r="E962" t="s">
        <v>20</v>
      </c>
      <c r="F962" t="s">
        <v>22</v>
      </c>
      <c r="G962" t="s">
        <v>16</v>
      </c>
      <c r="H962" t="s">
        <v>21</v>
      </c>
      <c r="I962" s="2">
        <v>11469</v>
      </c>
      <c r="J962" t="b">
        <v>0</v>
      </c>
      <c r="K962" t="b">
        <v>1</v>
      </c>
      <c r="L962" t="b">
        <v>0</v>
      </c>
      <c r="M962" t="str">
        <f t="shared" ref="M962:M1001" si="30">UPPER(D962)</f>
        <v>INSTAGRAM</v>
      </c>
      <c r="N962" t="str">
        <f t="shared" ref="N962:N1001" si="31">_xlfn.CONCAT(G962,"-",M962)</f>
        <v>Urban-INSTAGRAM</v>
      </c>
      <c r="O962">
        <v>11469</v>
      </c>
    </row>
    <row r="963" spans="1:15" x14ac:dyDescent="0.3">
      <c r="A963">
        <v>32</v>
      </c>
      <c r="B963" t="s">
        <v>12</v>
      </c>
      <c r="C963" s="1">
        <v>2</v>
      </c>
      <c r="D963" t="s">
        <v>13</v>
      </c>
      <c r="E963" t="s">
        <v>20</v>
      </c>
      <c r="F963" t="s">
        <v>22</v>
      </c>
      <c r="G963" t="s">
        <v>23</v>
      </c>
      <c r="H963" t="s">
        <v>17</v>
      </c>
      <c r="I963" s="2">
        <v>14725</v>
      </c>
      <c r="J963" t="b">
        <v>1</v>
      </c>
      <c r="K963" t="b">
        <v>1</v>
      </c>
      <c r="L963" t="b">
        <v>1</v>
      </c>
      <c r="M963" t="str">
        <f t="shared" si="30"/>
        <v>INSTAGRAM</v>
      </c>
      <c r="N963" t="str">
        <f t="shared" si="31"/>
        <v>Sub_Urban-INSTAGRAM</v>
      </c>
      <c r="O963">
        <v>14725</v>
      </c>
    </row>
    <row r="964" spans="1:15" x14ac:dyDescent="0.3">
      <c r="A964">
        <v>23</v>
      </c>
      <c r="B964" t="s">
        <v>12</v>
      </c>
      <c r="C964" s="1">
        <v>3</v>
      </c>
      <c r="D964" t="s">
        <v>28</v>
      </c>
      <c r="E964" t="s">
        <v>26</v>
      </c>
      <c r="F964" t="s">
        <v>27</v>
      </c>
      <c r="G964" t="s">
        <v>29</v>
      </c>
      <c r="H964" t="s">
        <v>21</v>
      </c>
      <c r="I964" s="2">
        <v>14259</v>
      </c>
      <c r="J964" t="b">
        <v>0</v>
      </c>
      <c r="K964" t="b">
        <v>1</v>
      </c>
      <c r="L964" t="b">
        <v>1</v>
      </c>
      <c r="M964" t="str">
        <f t="shared" si="30"/>
        <v>YOUTUBE</v>
      </c>
      <c r="N964" t="str">
        <f t="shared" si="31"/>
        <v>Rural-YOUTUBE</v>
      </c>
      <c r="O964">
        <v>14259</v>
      </c>
    </row>
    <row r="965" spans="1:15" x14ac:dyDescent="0.3">
      <c r="A965">
        <v>47</v>
      </c>
      <c r="B965" t="s">
        <v>25</v>
      </c>
      <c r="C965" s="1">
        <v>1</v>
      </c>
      <c r="D965" t="s">
        <v>28</v>
      </c>
      <c r="E965" t="s">
        <v>20</v>
      </c>
      <c r="F965" t="s">
        <v>27</v>
      </c>
      <c r="G965" t="s">
        <v>29</v>
      </c>
      <c r="H965" t="s">
        <v>24</v>
      </c>
      <c r="I965" s="2">
        <v>13622</v>
      </c>
      <c r="J965" t="b">
        <v>1</v>
      </c>
      <c r="K965" t="b">
        <v>0</v>
      </c>
      <c r="L965" t="b">
        <v>0</v>
      </c>
      <c r="M965" t="str">
        <f t="shared" si="30"/>
        <v>YOUTUBE</v>
      </c>
      <c r="N965" t="str">
        <f t="shared" si="31"/>
        <v>Rural-YOUTUBE</v>
      </c>
      <c r="O965">
        <v>13622</v>
      </c>
    </row>
    <row r="966" spans="1:15" x14ac:dyDescent="0.3">
      <c r="A966">
        <v>55</v>
      </c>
      <c r="B966" t="s">
        <v>25</v>
      </c>
      <c r="C966" s="1">
        <v>6</v>
      </c>
      <c r="D966" t="s">
        <v>13</v>
      </c>
      <c r="E966" t="s">
        <v>20</v>
      </c>
      <c r="F966" t="s">
        <v>22</v>
      </c>
      <c r="G966" t="s">
        <v>29</v>
      </c>
      <c r="H966" t="s">
        <v>24</v>
      </c>
      <c r="I966" s="2">
        <v>10823</v>
      </c>
      <c r="J966" t="b">
        <v>1</v>
      </c>
      <c r="K966" t="b">
        <v>1</v>
      </c>
      <c r="L966" t="b">
        <v>0</v>
      </c>
      <c r="M966" t="str">
        <f t="shared" si="30"/>
        <v>INSTAGRAM</v>
      </c>
      <c r="N966" t="str">
        <f t="shared" si="31"/>
        <v>Rural-INSTAGRAM</v>
      </c>
      <c r="O966">
        <v>10823</v>
      </c>
    </row>
    <row r="967" spans="1:15" x14ac:dyDescent="0.3">
      <c r="A967">
        <v>19</v>
      </c>
      <c r="B967" t="s">
        <v>18</v>
      </c>
      <c r="C967" s="1">
        <v>7</v>
      </c>
      <c r="D967" t="s">
        <v>28</v>
      </c>
      <c r="E967" t="s">
        <v>20</v>
      </c>
      <c r="F967" t="s">
        <v>22</v>
      </c>
      <c r="G967" t="s">
        <v>29</v>
      </c>
      <c r="H967" t="s">
        <v>24</v>
      </c>
      <c r="I967" s="2">
        <v>13431</v>
      </c>
      <c r="J967" t="b">
        <v>0</v>
      </c>
      <c r="K967" t="b">
        <v>1</v>
      </c>
      <c r="L967" t="b">
        <v>1</v>
      </c>
      <c r="M967" t="str">
        <f t="shared" si="30"/>
        <v>YOUTUBE</v>
      </c>
      <c r="N967" t="str">
        <f t="shared" si="31"/>
        <v>Rural-YOUTUBE</v>
      </c>
      <c r="O967">
        <v>13431</v>
      </c>
    </row>
    <row r="968" spans="1:15" x14ac:dyDescent="0.3">
      <c r="A968">
        <v>32</v>
      </c>
      <c r="B968" t="s">
        <v>25</v>
      </c>
      <c r="C968" s="1">
        <v>2</v>
      </c>
      <c r="D968" t="s">
        <v>19</v>
      </c>
      <c r="E968" t="s">
        <v>26</v>
      </c>
      <c r="F968" t="s">
        <v>22</v>
      </c>
      <c r="G968" t="s">
        <v>16</v>
      </c>
      <c r="H968" t="s">
        <v>17</v>
      </c>
      <c r="I968" s="2">
        <v>16528</v>
      </c>
      <c r="J968" t="b">
        <v>1</v>
      </c>
      <c r="K968" t="b">
        <v>0</v>
      </c>
      <c r="L968" t="b">
        <v>0</v>
      </c>
      <c r="M968" t="str">
        <f t="shared" si="30"/>
        <v>FACEBOOK</v>
      </c>
      <c r="N968" t="str">
        <f t="shared" si="31"/>
        <v>Urban-FACEBOOK</v>
      </c>
      <c r="O968">
        <v>16528</v>
      </c>
    </row>
    <row r="969" spans="1:15" x14ac:dyDescent="0.3">
      <c r="A969">
        <v>28</v>
      </c>
      <c r="B969" t="s">
        <v>25</v>
      </c>
      <c r="C969" s="1">
        <v>8</v>
      </c>
      <c r="D969" t="s">
        <v>28</v>
      </c>
      <c r="E969" t="s">
        <v>14</v>
      </c>
      <c r="F969" t="s">
        <v>22</v>
      </c>
      <c r="G969" t="s">
        <v>23</v>
      </c>
      <c r="H969" t="s">
        <v>17</v>
      </c>
      <c r="I969" s="2">
        <v>14151</v>
      </c>
      <c r="J969" t="b">
        <v>0</v>
      </c>
      <c r="K969" t="b">
        <v>0</v>
      </c>
      <c r="L969" t="b">
        <v>0</v>
      </c>
      <c r="M969" t="str">
        <f t="shared" si="30"/>
        <v>YOUTUBE</v>
      </c>
      <c r="N969" t="str">
        <f t="shared" si="31"/>
        <v>Sub_Urban-YOUTUBE</v>
      </c>
      <c r="O969">
        <v>14151</v>
      </c>
    </row>
    <row r="970" spans="1:15" x14ac:dyDescent="0.3">
      <c r="A970">
        <v>25</v>
      </c>
      <c r="B970" t="s">
        <v>12</v>
      </c>
      <c r="C970" s="1">
        <v>6</v>
      </c>
      <c r="D970" t="s">
        <v>28</v>
      </c>
      <c r="E970" t="s">
        <v>26</v>
      </c>
      <c r="F970" t="s">
        <v>22</v>
      </c>
      <c r="G970" t="s">
        <v>16</v>
      </c>
      <c r="H970" t="s">
        <v>24</v>
      </c>
      <c r="I970" s="2">
        <v>14213</v>
      </c>
      <c r="J970" t="b">
        <v>1</v>
      </c>
      <c r="K970" t="b">
        <v>1</v>
      </c>
      <c r="L970" t="b">
        <v>0</v>
      </c>
      <c r="M970" t="str">
        <f t="shared" si="30"/>
        <v>YOUTUBE</v>
      </c>
      <c r="N970" t="str">
        <f t="shared" si="31"/>
        <v>Urban-YOUTUBE</v>
      </c>
      <c r="O970">
        <v>14213</v>
      </c>
    </row>
    <row r="971" spans="1:15" x14ac:dyDescent="0.3">
      <c r="A971">
        <v>43</v>
      </c>
      <c r="B971" t="s">
        <v>12</v>
      </c>
      <c r="C971" s="1">
        <v>4</v>
      </c>
      <c r="D971" t="s">
        <v>13</v>
      </c>
      <c r="E971" t="s">
        <v>14</v>
      </c>
      <c r="F971" t="s">
        <v>22</v>
      </c>
      <c r="G971" t="s">
        <v>16</v>
      </c>
      <c r="H971" t="s">
        <v>21</v>
      </c>
      <c r="I971" s="2">
        <v>17420</v>
      </c>
      <c r="J971" t="b">
        <v>1</v>
      </c>
      <c r="K971" t="b">
        <v>1</v>
      </c>
      <c r="L971" t="b">
        <v>1</v>
      </c>
      <c r="M971" t="str">
        <f t="shared" si="30"/>
        <v>INSTAGRAM</v>
      </c>
      <c r="N971" t="str">
        <f t="shared" si="31"/>
        <v>Urban-INSTAGRAM</v>
      </c>
      <c r="O971">
        <v>17420</v>
      </c>
    </row>
    <row r="972" spans="1:15" x14ac:dyDescent="0.3">
      <c r="A972">
        <v>62</v>
      </c>
      <c r="B972" t="s">
        <v>18</v>
      </c>
      <c r="C972" s="1">
        <v>5</v>
      </c>
      <c r="D972" t="s">
        <v>28</v>
      </c>
      <c r="E972" t="s">
        <v>20</v>
      </c>
      <c r="F972" t="s">
        <v>15</v>
      </c>
      <c r="G972" t="s">
        <v>16</v>
      </c>
      <c r="H972" t="s">
        <v>21</v>
      </c>
      <c r="I972" s="2">
        <v>18989</v>
      </c>
      <c r="J972" t="b">
        <v>0</v>
      </c>
      <c r="K972" t="b">
        <v>0</v>
      </c>
      <c r="L972" t="b">
        <v>1</v>
      </c>
      <c r="M972" t="str">
        <f t="shared" si="30"/>
        <v>YOUTUBE</v>
      </c>
      <c r="N972" t="str">
        <f t="shared" si="31"/>
        <v>Urban-YOUTUBE</v>
      </c>
      <c r="O972">
        <v>18989</v>
      </c>
    </row>
    <row r="973" spans="1:15" x14ac:dyDescent="0.3">
      <c r="A973">
        <v>61</v>
      </c>
      <c r="B973" t="s">
        <v>25</v>
      </c>
      <c r="C973" s="1">
        <v>8</v>
      </c>
      <c r="D973" t="s">
        <v>28</v>
      </c>
      <c r="E973" t="s">
        <v>14</v>
      </c>
      <c r="F973" t="s">
        <v>22</v>
      </c>
      <c r="G973" t="s">
        <v>29</v>
      </c>
      <c r="H973" t="s">
        <v>24</v>
      </c>
      <c r="I973" s="2">
        <v>10779</v>
      </c>
      <c r="J973" t="b">
        <v>0</v>
      </c>
      <c r="K973" t="b">
        <v>1</v>
      </c>
      <c r="L973" t="b">
        <v>0</v>
      </c>
      <c r="M973" t="str">
        <f t="shared" si="30"/>
        <v>YOUTUBE</v>
      </c>
      <c r="N973" t="str">
        <f t="shared" si="31"/>
        <v>Rural-YOUTUBE</v>
      </c>
      <c r="O973">
        <v>10779</v>
      </c>
    </row>
    <row r="974" spans="1:15" x14ac:dyDescent="0.3">
      <c r="A974">
        <v>22</v>
      </c>
      <c r="B974" t="s">
        <v>25</v>
      </c>
      <c r="C974" s="1">
        <v>3</v>
      </c>
      <c r="D974" t="s">
        <v>28</v>
      </c>
      <c r="E974" t="s">
        <v>26</v>
      </c>
      <c r="F974" t="s">
        <v>15</v>
      </c>
      <c r="G974" t="s">
        <v>29</v>
      </c>
      <c r="H974" t="s">
        <v>21</v>
      </c>
      <c r="I974" s="2">
        <v>12892</v>
      </c>
      <c r="J974" t="b">
        <v>0</v>
      </c>
      <c r="K974" t="b">
        <v>1</v>
      </c>
      <c r="L974" t="b">
        <v>1</v>
      </c>
      <c r="M974" t="str">
        <f t="shared" si="30"/>
        <v>YOUTUBE</v>
      </c>
      <c r="N974" t="str">
        <f t="shared" si="31"/>
        <v>Rural-YOUTUBE</v>
      </c>
      <c r="O974">
        <v>12892</v>
      </c>
    </row>
    <row r="975" spans="1:15" x14ac:dyDescent="0.3">
      <c r="A975">
        <v>23</v>
      </c>
      <c r="B975" t="s">
        <v>12</v>
      </c>
      <c r="C975" s="1">
        <v>3</v>
      </c>
      <c r="D975" t="s">
        <v>28</v>
      </c>
      <c r="E975" t="s">
        <v>26</v>
      </c>
      <c r="F975" t="s">
        <v>15</v>
      </c>
      <c r="G975" t="s">
        <v>29</v>
      </c>
      <c r="H975" t="s">
        <v>24</v>
      </c>
      <c r="I975" s="2">
        <v>15534</v>
      </c>
      <c r="J975" t="b">
        <v>0</v>
      </c>
      <c r="K975" t="b">
        <v>1</v>
      </c>
      <c r="L975" t="b">
        <v>0</v>
      </c>
      <c r="M975" t="str">
        <f t="shared" si="30"/>
        <v>YOUTUBE</v>
      </c>
      <c r="N975" t="str">
        <f t="shared" si="31"/>
        <v>Rural-YOUTUBE</v>
      </c>
      <c r="O975">
        <v>15534</v>
      </c>
    </row>
    <row r="976" spans="1:15" x14ac:dyDescent="0.3">
      <c r="A976">
        <v>43</v>
      </c>
      <c r="B976" t="s">
        <v>25</v>
      </c>
      <c r="C976" s="1">
        <v>4</v>
      </c>
      <c r="D976" t="s">
        <v>19</v>
      </c>
      <c r="E976" t="s">
        <v>20</v>
      </c>
      <c r="F976" t="s">
        <v>22</v>
      </c>
      <c r="G976" t="s">
        <v>23</v>
      </c>
      <c r="H976" t="s">
        <v>21</v>
      </c>
      <c r="I976" s="2">
        <v>13306</v>
      </c>
      <c r="J976" t="b">
        <v>1</v>
      </c>
      <c r="K976" t="b">
        <v>0</v>
      </c>
      <c r="L976" t="b">
        <v>0</v>
      </c>
      <c r="M976" t="str">
        <f t="shared" si="30"/>
        <v>FACEBOOK</v>
      </c>
      <c r="N976" t="str">
        <f t="shared" si="31"/>
        <v>Sub_Urban-FACEBOOK</v>
      </c>
      <c r="O976">
        <v>13306</v>
      </c>
    </row>
    <row r="977" spans="1:15" x14ac:dyDescent="0.3">
      <c r="A977">
        <v>21</v>
      </c>
      <c r="B977" t="s">
        <v>12</v>
      </c>
      <c r="C977" s="1">
        <v>1</v>
      </c>
      <c r="D977" t="s">
        <v>13</v>
      </c>
      <c r="E977" t="s">
        <v>14</v>
      </c>
      <c r="F977" t="s">
        <v>22</v>
      </c>
      <c r="G977" t="s">
        <v>29</v>
      </c>
      <c r="H977" t="s">
        <v>24</v>
      </c>
      <c r="I977" s="2">
        <v>12902</v>
      </c>
      <c r="J977" t="b">
        <v>0</v>
      </c>
      <c r="K977" t="b">
        <v>1</v>
      </c>
      <c r="L977" t="b">
        <v>1</v>
      </c>
      <c r="M977" t="str">
        <f t="shared" si="30"/>
        <v>INSTAGRAM</v>
      </c>
      <c r="N977" t="str">
        <f t="shared" si="31"/>
        <v>Rural-INSTAGRAM</v>
      </c>
      <c r="O977">
        <v>12902</v>
      </c>
    </row>
    <row r="978" spans="1:15" x14ac:dyDescent="0.3">
      <c r="A978">
        <v>36</v>
      </c>
      <c r="B978" t="s">
        <v>18</v>
      </c>
      <c r="C978" s="1">
        <v>9</v>
      </c>
      <c r="D978" t="s">
        <v>13</v>
      </c>
      <c r="E978" t="s">
        <v>20</v>
      </c>
      <c r="F978" t="s">
        <v>15</v>
      </c>
      <c r="G978" t="s">
        <v>23</v>
      </c>
      <c r="H978" t="s">
        <v>21</v>
      </c>
      <c r="I978" s="2">
        <v>13718</v>
      </c>
      <c r="J978" t="b">
        <v>1</v>
      </c>
      <c r="K978" t="b">
        <v>1</v>
      </c>
      <c r="L978" t="b">
        <v>1</v>
      </c>
      <c r="M978" t="str">
        <f t="shared" si="30"/>
        <v>INSTAGRAM</v>
      </c>
      <c r="N978" t="str">
        <f t="shared" si="31"/>
        <v>Sub_Urban-INSTAGRAM</v>
      </c>
      <c r="O978">
        <v>13718</v>
      </c>
    </row>
    <row r="979" spans="1:15" x14ac:dyDescent="0.3">
      <c r="A979">
        <v>37</v>
      </c>
      <c r="B979" t="s">
        <v>12</v>
      </c>
      <c r="C979" s="1">
        <v>8</v>
      </c>
      <c r="D979" t="s">
        <v>19</v>
      </c>
      <c r="E979" t="s">
        <v>20</v>
      </c>
      <c r="F979" t="s">
        <v>15</v>
      </c>
      <c r="G979" t="s">
        <v>29</v>
      </c>
      <c r="H979" t="s">
        <v>17</v>
      </c>
      <c r="I979" s="2">
        <v>10021</v>
      </c>
      <c r="J979" t="b">
        <v>1</v>
      </c>
      <c r="K979" t="b">
        <v>0</v>
      </c>
      <c r="L979" t="b">
        <v>1</v>
      </c>
      <c r="M979" t="str">
        <f t="shared" si="30"/>
        <v>FACEBOOK</v>
      </c>
      <c r="N979" t="str">
        <f t="shared" si="31"/>
        <v>Rural-FACEBOOK</v>
      </c>
      <c r="O979">
        <v>10021</v>
      </c>
    </row>
    <row r="980" spans="1:15" x14ac:dyDescent="0.3">
      <c r="A980">
        <v>50</v>
      </c>
      <c r="B980" t="s">
        <v>25</v>
      </c>
      <c r="C980" s="1">
        <v>8</v>
      </c>
      <c r="D980" t="s">
        <v>28</v>
      </c>
      <c r="E980" t="s">
        <v>26</v>
      </c>
      <c r="F980" t="s">
        <v>22</v>
      </c>
      <c r="G980" t="s">
        <v>29</v>
      </c>
      <c r="H980" t="s">
        <v>24</v>
      </c>
      <c r="I980" s="2">
        <v>11500</v>
      </c>
      <c r="J980" t="b">
        <v>1</v>
      </c>
      <c r="K980" t="b">
        <v>0</v>
      </c>
      <c r="L980" t="b">
        <v>0</v>
      </c>
      <c r="M980" t="str">
        <f t="shared" si="30"/>
        <v>YOUTUBE</v>
      </c>
      <c r="N980" t="str">
        <f t="shared" si="31"/>
        <v>Rural-YOUTUBE</v>
      </c>
      <c r="O980">
        <v>11500</v>
      </c>
    </row>
    <row r="981" spans="1:15" x14ac:dyDescent="0.3">
      <c r="A981">
        <v>37</v>
      </c>
      <c r="B981" t="s">
        <v>18</v>
      </c>
      <c r="C981" s="1">
        <v>6</v>
      </c>
      <c r="D981" t="s">
        <v>19</v>
      </c>
      <c r="E981" t="s">
        <v>14</v>
      </c>
      <c r="F981" t="s">
        <v>22</v>
      </c>
      <c r="G981" t="s">
        <v>16</v>
      </c>
      <c r="H981" t="s">
        <v>24</v>
      </c>
      <c r="I981" s="2">
        <v>19034</v>
      </c>
      <c r="J981" t="b">
        <v>1</v>
      </c>
      <c r="K981" t="b">
        <v>0</v>
      </c>
      <c r="L981" t="b">
        <v>0</v>
      </c>
      <c r="M981" t="str">
        <f t="shared" si="30"/>
        <v>FACEBOOK</v>
      </c>
      <c r="N981" t="str">
        <f t="shared" si="31"/>
        <v>Urban-FACEBOOK</v>
      </c>
      <c r="O981">
        <v>19034</v>
      </c>
    </row>
    <row r="982" spans="1:15" x14ac:dyDescent="0.3">
      <c r="A982">
        <v>29</v>
      </c>
      <c r="B982" t="s">
        <v>12</v>
      </c>
      <c r="C982" s="1">
        <v>7</v>
      </c>
      <c r="D982" t="s">
        <v>28</v>
      </c>
      <c r="E982" t="s">
        <v>14</v>
      </c>
      <c r="F982" t="s">
        <v>15</v>
      </c>
      <c r="G982" t="s">
        <v>16</v>
      </c>
      <c r="H982" t="s">
        <v>21</v>
      </c>
      <c r="I982" s="2">
        <v>19952</v>
      </c>
      <c r="J982" t="b">
        <v>1</v>
      </c>
      <c r="K982" t="b">
        <v>1</v>
      </c>
      <c r="L982" t="b">
        <v>1</v>
      </c>
      <c r="M982" t="str">
        <f t="shared" si="30"/>
        <v>YOUTUBE</v>
      </c>
      <c r="N982" t="str">
        <f t="shared" si="31"/>
        <v>Urban-YOUTUBE</v>
      </c>
      <c r="O982">
        <v>19952</v>
      </c>
    </row>
    <row r="983" spans="1:15" x14ac:dyDescent="0.3">
      <c r="A983">
        <v>64</v>
      </c>
      <c r="B983" t="s">
        <v>12</v>
      </c>
      <c r="C983" s="1">
        <v>6</v>
      </c>
      <c r="D983" t="s">
        <v>19</v>
      </c>
      <c r="E983" t="s">
        <v>14</v>
      </c>
      <c r="F983" t="s">
        <v>15</v>
      </c>
      <c r="G983" t="s">
        <v>16</v>
      </c>
      <c r="H983" t="s">
        <v>24</v>
      </c>
      <c r="I983" s="2">
        <v>13641</v>
      </c>
      <c r="J983" t="b">
        <v>1</v>
      </c>
      <c r="K983" t="b">
        <v>0</v>
      </c>
      <c r="L983" t="b">
        <v>1</v>
      </c>
      <c r="M983" t="str">
        <f t="shared" si="30"/>
        <v>FACEBOOK</v>
      </c>
      <c r="N983" t="str">
        <f t="shared" si="31"/>
        <v>Urban-FACEBOOK</v>
      </c>
      <c r="O983">
        <v>13641</v>
      </c>
    </row>
    <row r="984" spans="1:15" x14ac:dyDescent="0.3">
      <c r="A984">
        <v>18</v>
      </c>
      <c r="B984" t="s">
        <v>18</v>
      </c>
      <c r="C984" s="1">
        <v>9</v>
      </c>
      <c r="D984" t="s">
        <v>13</v>
      </c>
      <c r="E984" t="s">
        <v>14</v>
      </c>
      <c r="F984" t="s">
        <v>15</v>
      </c>
      <c r="G984" t="s">
        <v>23</v>
      </c>
      <c r="H984" t="s">
        <v>24</v>
      </c>
      <c r="I984" s="2">
        <v>15212</v>
      </c>
      <c r="J984" t="b">
        <v>0</v>
      </c>
      <c r="K984" t="b">
        <v>1</v>
      </c>
      <c r="L984" t="b">
        <v>1</v>
      </c>
      <c r="M984" t="str">
        <f t="shared" si="30"/>
        <v>INSTAGRAM</v>
      </c>
      <c r="N984" t="str">
        <f t="shared" si="31"/>
        <v>Sub_Urban-INSTAGRAM</v>
      </c>
      <c r="O984">
        <v>15212</v>
      </c>
    </row>
    <row r="985" spans="1:15" x14ac:dyDescent="0.3">
      <c r="A985">
        <v>43</v>
      </c>
      <c r="B985" t="s">
        <v>18</v>
      </c>
      <c r="C985" s="1">
        <v>3</v>
      </c>
      <c r="D985" t="s">
        <v>13</v>
      </c>
      <c r="E985" t="s">
        <v>20</v>
      </c>
      <c r="F985" t="s">
        <v>27</v>
      </c>
      <c r="G985" t="s">
        <v>23</v>
      </c>
      <c r="H985" t="s">
        <v>24</v>
      </c>
      <c r="I985" s="2">
        <v>10191</v>
      </c>
      <c r="J985" t="b">
        <v>1</v>
      </c>
      <c r="K985" t="b">
        <v>0</v>
      </c>
      <c r="L985" t="b">
        <v>0</v>
      </c>
      <c r="M985" t="str">
        <f t="shared" si="30"/>
        <v>INSTAGRAM</v>
      </c>
      <c r="N985" t="str">
        <f t="shared" si="31"/>
        <v>Sub_Urban-INSTAGRAM</v>
      </c>
      <c r="O985">
        <v>10191</v>
      </c>
    </row>
    <row r="986" spans="1:15" x14ac:dyDescent="0.3">
      <c r="A986">
        <v>31</v>
      </c>
      <c r="B986" t="s">
        <v>12</v>
      </c>
      <c r="C986" s="1">
        <v>3</v>
      </c>
      <c r="D986" t="s">
        <v>13</v>
      </c>
      <c r="E986" t="s">
        <v>20</v>
      </c>
      <c r="F986" t="s">
        <v>15</v>
      </c>
      <c r="G986" t="s">
        <v>29</v>
      </c>
      <c r="H986" t="s">
        <v>17</v>
      </c>
      <c r="I986" s="2">
        <v>18587</v>
      </c>
      <c r="J986" t="b">
        <v>1</v>
      </c>
      <c r="K986" t="b">
        <v>1</v>
      </c>
      <c r="L986" t="b">
        <v>0</v>
      </c>
      <c r="M986" t="str">
        <f t="shared" si="30"/>
        <v>INSTAGRAM</v>
      </c>
      <c r="N986" t="str">
        <f t="shared" si="31"/>
        <v>Rural-INSTAGRAM</v>
      </c>
      <c r="O986">
        <v>18587</v>
      </c>
    </row>
    <row r="987" spans="1:15" x14ac:dyDescent="0.3">
      <c r="A987">
        <v>55</v>
      </c>
      <c r="B987" t="s">
        <v>25</v>
      </c>
      <c r="C987" s="1">
        <v>3</v>
      </c>
      <c r="D987" t="s">
        <v>28</v>
      </c>
      <c r="E987" t="s">
        <v>26</v>
      </c>
      <c r="F987" t="s">
        <v>27</v>
      </c>
      <c r="G987" t="s">
        <v>23</v>
      </c>
      <c r="H987" t="s">
        <v>17</v>
      </c>
      <c r="I987" s="2">
        <v>17174</v>
      </c>
      <c r="J987" t="b">
        <v>1</v>
      </c>
      <c r="K987" t="b">
        <v>0</v>
      </c>
      <c r="L987" t="b">
        <v>0</v>
      </c>
      <c r="M987" t="str">
        <f t="shared" si="30"/>
        <v>YOUTUBE</v>
      </c>
      <c r="N987" t="str">
        <f t="shared" si="31"/>
        <v>Sub_Urban-YOUTUBE</v>
      </c>
      <c r="O987">
        <v>17174</v>
      </c>
    </row>
    <row r="988" spans="1:15" x14ac:dyDescent="0.3">
      <c r="A988">
        <v>54</v>
      </c>
      <c r="B988" t="s">
        <v>12</v>
      </c>
      <c r="C988" s="1">
        <v>3</v>
      </c>
      <c r="D988" t="s">
        <v>28</v>
      </c>
      <c r="E988" t="s">
        <v>20</v>
      </c>
      <c r="F988" t="s">
        <v>22</v>
      </c>
      <c r="G988" t="s">
        <v>29</v>
      </c>
      <c r="H988" t="s">
        <v>21</v>
      </c>
      <c r="I988" s="2">
        <v>15114</v>
      </c>
      <c r="J988" t="b">
        <v>0</v>
      </c>
      <c r="K988" t="b">
        <v>1</v>
      </c>
      <c r="L988" t="b">
        <v>1</v>
      </c>
      <c r="M988" t="str">
        <f t="shared" si="30"/>
        <v>YOUTUBE</v>
      </c>
      <c r="N988" t="str">
        <f t="shared" si="31"/>
        <v>Rural-YOUTUBE</v>
      </c>
      <c r="O988">
        <v>15114</v>
      </c>
    </row>
    <row r="989" spans="1:15" x14ac:dyDescent="0.3">
      <c r="A989">
        <v>28</v>
      </c>
      <c r="B989" t="s">
        <v>18</v>
      </c>
      <c r="C989" s="1">
        <v>9</v>
      </c>
      <c r="D989" t="s">
        <v>19</v>
      </c>
      <c r="E989" t="s">
        <v>20</v>
      </c>
      <c r="F989" t="s">
        <v>22</v>
      </c>
      <c r="G989" t="s">
        <v>23</v>
      </c>
      <c r="H989" t="s">
        <v>17</v>
      </c>
      <c r="I989" s="2">
        <v>14662</v>
      </c>
      <c r="J989" t="b">
        <v>0</v>
      </c>
      <c r="K989" t="b">
        <v>1</v>
      </c>
      <c r="L989" t="b">
        <v>1</v>
      </c>
      <c r="M989" t="str">
        <f t="shared" si="30"/>
        <v>FACEBOOK</v>
      </c>
      <c r="N989" t="str">
        <f t="shared" si="31"/>
        <v>Sub_Urban-FACEBOOK</v>
      </c>
      <c r="O989">
        <v>14662</v>
      </c>
    </row>
    <row r="990" spans="1:15" x14ac:dyDescent="0.3">
      <c r="A990">
        <v>53</v>
      </c>
      <c r="B990" t="s">
        <v>12</v>
      </c>
      <c r="C990" s="1">
        <v>4</v>
      </c>
      <c r="D990" t="s">
        <v>19</v>
      </c>
      <c r="E990" t="s">
        <v>26</v>
      </c>
      <c r="F990" t="s">
        <v>15</v>
      </c>
      <c r="G990" t="s">
        <v>23</v>
      </c>
      <c r="H990" t="s">
        <v>21</v>
      </c>
      <c r="I990" s="2">
        <v>14326</v>
      </c>
      <c r="J990" t="b">
        <v>1</v>
      </c>
      <c r="K990" t="b">
        <v>0</v>
      </c>
      <c r="L990" t="b">
        <v>0</v>
      </c>
      <c r="M990" t="str">
        <f t="shared" si="30"/>
        <v>FACEBOOK</v>
      </c>
      <c r="N990" t="str">
        <f t="shared" si="31"/>
        <v>Sub_Urban-FACEBOOK</v>
      </c>
      <c r="O990">
        <v>14326</v>
      </c>
    </row>
    <row r="991" spans="1:15" x14ac:dyDescent="0.3">
      <c r="A991">
        <v>30</v>
      </c>
      <c r="B991" t="s">
        <v>18</v>
      </c>
      <c r="C991" s="1">
        <v>7</v>
      </c>
      <c r="D991" t="s">
        <v>13</v>
      </c>
      <c r="E991" t="s">
        <v>26</v>
      </c>
      <c r="F991" t="s">
        <v>22</v>
      </c>
      <c r="G991" t="s">
        <v>23</v>
      </c>
      <c r="H991" t="s">
        <v>17</v>
      </c>
      <c r="I991" s="2">
        <v>19065</v>
      </c>
      <c r="J991" t="b">
        <v>0</v>
      </c>
      <c r="K991" t="b">
        <v>0</v>
      </c>
      <c r="L991" t="b">
        <v>1</v>
      </c>
      <c r="M991" t="str">
        <f t="shared" si="30"/>
        <v>INSTAGRAM</v>
      </c>
      <c r="N991" t="str">
        <f t="shared" si="31"/>
        <v>Sub_Urban-INSTAGRAM</v>
      </c>
      <c r="O991">
        <v>19065</v>
      </c>
    </row>
    <row r="992" spans="1:15" x14ac:dyDescent="0.3">
      <c r="A992">
        <v>60</v>
      </c>
      <c r="B992" t="s">
        <v>18</v>
      </c>
      <c r="C992" s="1">
        <v>9</v>
      </c>
      <c r="D992" t="s">
        <v>28</v>
      </c>
      <c r="E992" t="s">
        <v>26</v>
      </c>
      <c r="F992" t="s">
        <v>22</v>
      </c>
      <c r="G992" t="s">
        <v>16</v>
      </c>
      <c r="H992" t="s">
        <v>21</v>
      </c>
      <c r="I992" s="2">
        <v>14335</v>
      </c>
      <c r="J992" t="b">
        <v>1</v>
      </c>
      <c r="K992" t="b">
        <v>1</v>
      </c>
      <c r="L992" t="b">
        <v>1</v>
      </c>
      <c r="M992" t="str">
        <f t="shared" si="30"/>
        <v>YOUTUBE</v>
      </c>
      <c r="N992" t="str">
        <f t="shared" si="31"/>
        <v>Urban-YOUTUBE</v>
      </c>
      <c r="O992">
        <v>14335</v>
      </c>
    </row>
    <row r="993" spans="1:15" x14ac:dyDescent="0.3">
      <c r="A993">
        <v>20</v>
      </c>
      <c r="B993" t="s">
        <v>25</v>
      </c>
      <c r="C993" s="1">
        <v>7</v>
      </c>
      <c r="D993" t="s">
        <v>19</v>
      </c>
      <c r="E993" t="s">
        <v>20</v>
      </c>
      <c r="F993" t="s">
        <v>22</v>
      </c>
      <c r="G993" t="s">
        <v>23</v>
      </c>
      <c r="H993" t="s">
        <v>17</v>
      </c>
      <c r="I993" s="2">
        <v>18281</v>
      </c>
      <c r="J993" t="b">
        <v>0</v>
      </c>
      <c r="K993" t="b">
        <v>0</v>
      </c>
      <c r="L993" t="b">
        <v>1</v>
      </c>
      <c r="M993" t="str">
        <f t="shared" si="30"/>
        <v>FACEBOOK</v>
      </c>
      <c r="N993" t="str">
        <f t="shared" si="31"/>
        <v>Sub_Urban-FACEBOOK</v>
      </c>
      <c r="O993">
        <v>18281</v>
      </c>
    </row>
    <row r="994" spans="1:15" x14ac:dyDescent="0.3">
      <c r="A994">
        <v>50</v>
      </c>
      <c r="B994" t="s">
        <v>18</v>
      </c>
      <c r="C994" s="1">
        <v>9</v>
      </c>
      <c r="D994" t="s">
        <v>28</v>
      </c>
      <c r="E994" t="s">
        <v>20</v>
      </c>
      <c r="F994" t="s">
        <v>22</v>
      </c>
      <c r="G994" t="s">
        <v>16</v>
      </c>
      <c r="H994" t="s">
        <v>17</v>
      </c>
      <c r="I994" s="2">
        <v>18648</v>
      </c>
      <c r="J994" t="b">
        <v>1</v>
      </c>
      <c r="K994" t="b">
        <v>1</v>
      </c>
      <c r="L994" t="b">
        <v>1</v>
      </c>
      <c r="M994" t="str">
        <f t="shared" si="30"/>
        <v>YOUTUBE</v>
      </c>
      <c r="N994" t="str">
        <f t="shared" si="31"/>
        <v>Urban-YOUTUBE</v>
      </c>
      <c r="O994">
        <v>18648</v>
      </c>
    </row>
    <row r="995" spans="1:15" x14ac:dyDescent="0.3">
      <c r="A995">
        <v>23</v>
      </c>
      <c r="B995" t="s">
        <v>18</v>
      </c>
      <c r="C995" s="1">
        <v>3</v>
      </c>
      <c r="D995" t="s">
        <v>28</v>
      </c>
      <c r="E995" t="s">
        <v>26</v>
      </c>
      <c r="F995" t="s">
        <v>27</v>
      </c>
      <c r="G995" t="s">
        <v>16</v>
      </c>
      <c r="H995" t="s">
        <v>21</v>
      </c>
      <c r="I995" s="2">
        <v>19196</v>
      </c>
      <c r="J995" t="b">
        <v>0</v>
      </c>
      <c r="K995" t="b">
        <v>0</v>
      </c>
      <c r="L995" t="b">
        <v>0</v>
      </c>
      <c r="M995" t="str">
        <f t="shared" si="30"/>
        <v>YOUTUBE</v>
      </c>
      <c r="N995" t="str">
        <f t="shared" si="31"/>
        <v>Urban-YOUTUBE</v>
      </c>
      <c r="O995">
        <v>19196</v>
      </c>
    </row>
    <row r="996" spans="1:15" x14ac:dyDescent="0.3">
      <c r="A996">
        <v>27</v>
      </c>
      <c r="B996" t="s">
        <v>25</v>
      </c>
      <c r="C996" s="1">
        <v>4</v>
      </c>
      <c r="D996" t="s">
        <v>13</v>
      </c>
      <c r="E996" t="s">
        <v>26</v>
      </c>
      <c r="F996" t="s">
        <v>27</v>
      </c>
      <c r="G996" t="s">
        <v>23</v>
      </c>
      <c r="H996" t="s">
        <v>24</v>
      </c>
      <c r="I996" s="2">
        <v>15494</v>
      </c>
      <c r="J996" t="b">
        <v>0</v>
      </c>
      <c r="K996" t="b">
        <v>0</v>
      </c>
      <c r="L996" t="b">
        <v>1</v>
      </c>
      <c r="M996" t="str">
        <f t="shared" si="30"/>
        <v>INSTAGRAM</v>
      </c>
      <c r="N996" t="str">
        <f t="shared" si="31"/>
        <v>Sub_Urban-INSTAGRAM</v>
      </c>
      <c r="O996">
        <v>15494</v>
      </c>
    </row>
    <row r="997" spans="1:15" x14ac:dyDescent="0.3">
      <c r="A997">
        <v>22</v>
      </c>
      <c r="B997" t="s">
        <v>18</v>
      </c>
      <c r="C997" s="1">
        <v>8</v>
      </c>
      <c r="D997" t="s">
        <v>13</v>
      </c>
      <c r="E997" t="s">
        <v>26</v>
      </c>
      <c r="F997" t="s">
        <v>15</v>
      </c>
      <c r="G997" t="s">
        <v>29</v>
      </c>
      <c r="H997" t="s">
        <v>24</v>
      </c>
      <c r="I997" s="2">
        <v>18536</v>
      </c>
      <c r="J997" t="b">
        <v>0</v>
      </c>
      <c r="K997" t="b">
        <v>1</v>
      </c>
      <c r="L997" t="b">
        <v>0</v>
      </c>
      <c r="M997" t="str">
        <f t="shared" si="30"/>
        <v>INSTAGRAM</v>
      </c>
      <c r="N997" t="str">
        <f t="shared" si="31"/>
        <v>Rural-INSTAGRAM</v>
      </c>
      <c r="O997">
        <v>18536</v>
      </c>
    </row>
    <row r="998" spans="1:15" x14ac:dyDescent="0.3">
      <c r="A998">
        <v>40</v>
      </c>
      <c r="B998" t="s">
        <v>25</v>
      </c>
      <c r="C998" s="1">
        <v>6</v>
      </c>
      <c r="D998" t="s">
        <v>28</v>
      </c>
      <c r="E998" t="s">
        <v>20</v>
      </c>
      <c r="F998" t="s">
        <v>15</v>
      </c>
      <c r="G998" t="s">
        <v>29</v>
      </c>
      <c r="H998" t="s">
        <v>17</v>
      </c>
      <c r="I998" s="2">
        <v>12711</v>
      </c>
      <c r="J998" t="b">
        <v>1</v>
      </c>
      <c r="K998" t="b">
        <v>0</v>
      </c>
      <c r="L998" t="b">
        <v>0</v>
      </c>
      <c r="M998" t="str">
        <f t="shared" si="30"/>
        <v>YOUTUBE</v>
      </c>
      <c r="N998" t="str">
        <f t="shared" si="31"/>
        <v>Rural-YOUTUBE</v>
      </c>
      <c r="O998">
        <v>12711</v>
      </c>
    </row>
    <row r="999" spans="1:15" x14ac:dyDescent="0.3">
      <c r="A999">
        <v>27</v>
      </c>
      <c r="B999" t="s">
        <v>25</v>
      </c>
      <c r="C999" s="1">
        <v>5</v>
      </c>
      <c r="D999" t="s">
        <v>28</v>
      </c>
      <c r="E999" t="s">
        <v>20</v>
      </c>
      <c r="F999" t="s">
        <v>15</v>
      </c>
      <c r="G999" t="s">
        <v>29</v>
      </c>
      <c r="H999" t="s">
        <v>21</v>
      </c>
      <c r="I999" s="2">
        <v>17595</v>
      </c>
      <c r="J999" t="b">
        <v>1</v>
      </c>
      <c r="K999" t="b">
        <v>0</v>
      </c>
      <c r="L999" t="b">
        <v>1</v>
      </c>
      <c r="M999" t="str">
        <f t="shared" si="30"/>
        <v>YOUTUBE</v>
      </c>
      <c r="N999" t="str">
        <f t="shared" si="31"/>
        <v>Rural-YOUTUBE</v>
      </c>
      <c r="O999">
        <v>17595</v>
      </c>
    </row>
    <row r="1000" spans="1:15" x14ac:dyDescent="0.3">
      <c r="A1000">
        <v>61</v>
      </c>
      <c r="B1000" t="s">
        <v>18</v>
      </c>
      <c r="C1000" s="1">
        <v>4</v>
      </c>
      <c r="D1000" t="s">
        <v>28</v>
      </c>
      <c r="E1000" t="s">
        <v>14</v>
      </c>
      <c r="F1000" t="s">
        <v>22</v>
      </c>
      <c r="G1000" t="s">
        <v>23</v>
      </c>
      <c r="H1000" t="s">
        <v>24</v>
      </c>
      <c r="I1000" s="2">
        <v>16273</v>
      </c>
      <c r="J1000" t="b">
        <v>1</v>
      </c>
      <c r="K1000" t="b">
        <v>1</v>
      </c>
      <c r="L1000" t="b">
        <v>0</v>
      </c>
      <c r="M1000" t="str">
        <f t="shared" si="30"/>
        <v>YOUTUBE</v>
      </c>
      <c r="N1000" t="str">
        <f t="shared" si="31"/>
        <v>Sub_Urban-YOUTUBE</v>
      </c>
      <c r="O1000">
        <v>16273</v>
      </c>
    </row>
    <row r="1001" spans="1:15" x14ac:dyDescent="0.3">
      <c r="A1001">
        <v>19</v>
      </c>
      <c r="B1001" t="s">
        <v>18</v>
      </c>
      <c r="C1001" s="1">
        <v>8</v>
      </c>
      <c r="D1001" t="s">
        <v>28</v>
      </c>
      <c r="E1001" t="s">
        <v>20</v>
      </c>
      <c r="F1001" t="s">
        <v>22</v>
      </c>
      <c r="G1001" t="s">
        <v>29</v>
      </c>
      <c r="H1001" t="s">
        <v>21</v>
      </c>
      <c r="I1001" s="2">
        <v>16284</v>
      </c>
      <c r="J1001" t="b">
        <v>0</v>
      </c>
      <c r="K1001" t="b">
        <v>1</v>
      </c>
      <c r="L1001" t="b">
        <v>0</v>
      </c>
      <c r="M1001" t="str">
        <f t="shared" si="30"/>
        <v>YOUTUBE</v>
      </c>
      <c r="N1001" t="str">
        <f t="shared" si="31"/>
        <v>Rural-YOUTUBE</v>
      </c>
      <c r="O1001">
        <v>16284</v>
      </c>
    </row>
  </sheetData>
  <conditionalFormatting sqref="O2:O6">
    <cfRule type="expression" dxfId="3" priority="3">
      <formula>"o2:o1001&gt;13000"</formula>
    </cfRule>
  </conditionalFormatting>
  <conditionalFormatting sqref="O2">
    <cfRule type="expression" dxfId="2" priority="2">
      <formula>O2&gt;13000</formula>
    </cfRule>
  </conditionalFormatting>
  <conditionalFormatting sqref="O2:O1001">
    <cfRule type="expression" dxfId="0" priority="1">
      <formula>O2&gt;13000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0520E-612B-4B67-B751-7F42F38A853A}">
  <dimension ref="A1:O1001"/>
  <sheetViews>
    <sheetView topLeftCell="A974" workbookViewId="0">
      <selection sqref="A1:M1001"/>
    </sheetView>
  </sheetViews>
  <sheetFormatPr defaultRowHeight="14.4" x14ac:dyDescent="0.3"/>
  <cols>
    <col min="3" max="3" width="8.88671875" style="1"/>
    <col min="8" max="8" width="20.109375" customWidth="1"/>
    <col min="9" max="9" width="8.88671875" style="3"/>
    <col min="10" max="10" width="16.88671875" style="3" customWidth="1"/>
    <col min="14" max="14" width="15" customWidth="1"/>
    <col min="15" max="15" width="39.77734375" customWidth="1"/>
  </cols>
  <sheetData>
    <row r="1" spans="1:15" x14ac:dyDescent="0.3">
      <c r="A1" t="s">
        <v>0</v>
      </c>
      <c r="B1" t="s">
        <v>1</v>
      </c>
      <c r="C1" s="1" t="s">
        <v>2</v>
      </c>
      <c r="D1" t="s">
        <v>3</v>
      </c>
      <c r="E1" t="s">
        <v>4</v>
      </c>
      <c r="F1" t="s">
        <v>5</v>
      </c>
      <c r="G1" t="s">
        <v>6</v>
      </c>
      <c r="H1" t="s">
        <v>7</v>
      </c>
      <c r="I1" s="3" t="s">
        <v>8</v>
      </c>
      <c r="J1" s="3" t="s">
        <v>33</v>
      </c>
      <c r="K1" t="s">
        <v>9</v>
      </c>
      <c r="L1" t="s">
        <v>10</v>
      </c>
      <c r="M1" t="s">
        <v>11</v>
      </c>
      <c r="N1" s="4" t="s">
        <v>30</v>
      </c>
      <c r="O1">
        <f>AVERAGE(A1:A1001)</f>
        <v>40.985999999999997</v>
      </c>
    </row>
    <row r="2" spans="1:15" x14ac:dyDescent="0.3">
      <c r="A2">
        <v>56</v>
      </c>
      <c r="B2" t="s">
        <v>12</v>
      </c>
      <c r="C2" s="1">
        <v>3</v>
      </c>
      <c r="D2" t="s">
        <v>13</v>
      </c>
      <c r="E2" t="s">
        <v>14</v>
      </c>
      <c r="F2" t="s">
        <v>15</v>
      </c>
      <c r="G2" t="s">
        <v>16</v>
      </c>
      <c r="H2" t="s">
        <v>17</v>
      </c>
      <c r="I2" s="3">
        <v>19774</v>
      </c>
      <c r="J2" s="3" t="str">
        <f>IF(I2&gt;16000, "High", IF(I2&gt;=12000, IF(I2&lt;=15000, "Medium", "High"), "Low"))</f>
        <v>High</v>
      </c>
      <c r="K2" t="b">
        <v>1</v>
      </c>
      <c r="L2" t="b">
        <v>0</v>
      </c>
      <c r="M2" t="b">
        <v>0</v>
      </c>
      <c r="N2" s="4" t="s">
        <v>31</v>
      </c>
      <c r="O2">
        <f>SUM(A2:A1001)</f>
        <v>40986</v>
      </c>
    </row>
    <row r="3" spans="1:15" x14ac:dyDescent="0.3">
      <c r="A3">
        <v>46</v>
      </c>
      <c r="B3" t="s">
        <v>18</v>
      </c>
      <c r="C3" s="1">
        <v>2</v>
      </c>
      <c r="D3" t="s">
        <v>19</v>
      </c>
      <c r="E3" t="s">
        <v>20</v>
      </c>
      <c r="F3" t="s">
        <v>15</v>
      </c>
      <c r="G3" t="s">
        <v>16</v>
      </c>
      <c r="H3" t="s">
        <v>21</v>
      </c>
      <c r="I3" s="3">
        <v>10564</v>
      </c>
      <c r="J3" s="3" t="str">
        <f t="shared" ref="J3:J66" si="0">IF(I3&gt;16000, "High", IF(I3&gt;=12000, IF(I3&lt;=15000, "Medium", "High"), "Low"))</f>
        <v>Low</v>
      </c>
      <c r="K3" t="b">
        <v>1</v>
      </c>
      <c r="L3" t="b">
        <v>1</v>
      </c>
      <c r="M3" t="b">
        <v>1</v>
      </c>
      <c r="N3" s="4" t="s">
        <v>32</v>
      </c>
      <c r="O3">
        <f>COUNT(A2:A1001)</f>
        <v>1000</v>
      </c>
    </row>
    <row r="4" spans="1:15" x14ac:dyDescent="0.3">
      <c r="A4">
        <v>32</v>
      </c>
      <c r="B4" t="s">
        <v>12</v>
      </c>
      <c r="C4" s="1">
        <v>8</v>
      </c>
      <c r="D4" t="s">
        <v>13</v>
      </c>
      <c r="E4" t="s">
        <v>14</v>
      </c>
      <c r="F4" t="s">
        <v>22</v>
      </c>
      <c r="G4" t="s">
        <v>23</v>
      </c>
      <c r="H4" t="s">
        <v>24</v>
      </c>
      <c r="I4" s="3">
        <v>13258</v>
      </c>
      <c r="J4" s="3" t="str">
        <f t="shared" si="0"/>
        <v>Medium</v>
      </c>
      <c r="K4" t="b">
        <v>0</v>
      </c>
      <c r="L4" t="b">
        <v>0</v>
      </c>
      <c r="M4" t="b">
        <v>0</v>
      </c>
    </row>
    <row r="5" spans="1:15" x14ac:dyDescent="0.3">
      <c r="A5">
        <v>60</v>
      </c>
      <c r="B5" t="s">
        <v>25</v>
      </c>
      <c r="C5" s="1">
        <v>5</v>
      </c>
      <c r="D5" t="s">
        <v>13</v>
      </c>
      <c r="E5" t="s">
        <v>20</v>
      </c>
      <c r="F5" t="s">
        <v>15</v>
      </c>
      <c r="G5" t="s">
        <v>16</v>
      </c>
      <c r="H5" t="s">
        <v>21</v>
      </c>
      <c r="I5" s="3">
        <v>12500</v>
      </c>
      <c r="J5" s="3" t="str">
        <f t="shared" si="0"/>
        <v>Medium</v>
      </c>
      <c r="K5" t="b">
        <v>0</v>
      </c>
      <c r="L5" t="b">
        <v>1</v>
      </c>
      <c r="M5" t="b">
        <v>0</v>
      </c>
    </row>
    <row r="6" spans="1:15" x14ac:dyDescent="0.3">
      <c r="A6">
        <v>25</v>
      </c>
      <c r="B6" t="s">
        <v>12</v>
      </c>
      <c r="C6" s="1">
        <v>1</v>
      </c>
      <c r="D6" t="s">
        <v>13</v>
      </c>
      <c r="E6" t="s">
        <v>26</v>
      </c>
      <c r="F6" t="s">
        <v>22</v>
      </c>
      <c r="G6" t="s">
        <v>16</v>
      </c>
      <c r="H6" t="s">
        <v>17</v>
      </c>
      <c r="I6" s="3">
        <v>14566</v>
      </c>
      <c r="J6" s="3" t="str">
        <f t="shared" si="0"/>
        <v>Medium</v>
      </c>
      <c r="K6" t="b">
        <v>0</v>
      </c>
      <c r="L6" t="b">
        <v>1</v>
      </c>
      <c r="M6" t="b">
        <v>1</v>
      </c>
    </row>
    <row r="7" spans="1:15" x14ac:dyDescent="0.3">
      <c r="A7">
        <v>38</v>
      </c>
      <c r="B7" t="s">
        <v>12</v>
      </c>
      <c r="C7" s="1">
        <v>3</v>
      </c>
      <c r="D7" t="s">
        <v>19</v>
      </c>
      <c r="E7" t="s">
        <v>20</v>
      </c>
      <c r="F7" t="s">
        <v>27</v>
      </c>
      <c r="G7" t="s">
        <v>16</v>
      </c>
      <c r="H7" t="s">
        <v>24</v>
      </c>
      <c r="I7" s="3">
        <v>19179</v>
      </c>
      <c r="J7" s="3" t="str">
        <f t="shared" si="0"/>
        <v>High</v>
      </c>
      <c r="K7" t="b">
        <v>1</v>
      </c>
      <c r="L7" t="b">
        <v>1</v>
      </c>
      <c r="M7" t="b">
        <v>1</v>
      </c>
    </row>
    <row r="8" spans="1:15" x14ac:dyDescent="0.3">
      <c r="A8">
        <v>56</v>
      </c>
      <c r="B8" t="s">
        <v>12</v>
      </c>
      <c r="C8" s="1">
        <v>8</v>
      </c>
      <c r="D8" t="s">
        <v>28</v>
      </c>
      <c r="E8" t="s">
        <v>14</v>
      </c>
      <c r="F8" t="s">
        <v>27</v>
      </c>
      <c r="G8" t="s">
        <v>16</v>
      </c>
      <c r="H8" t="s">
        <v>21</v>
      </c>
      <c r="I8" s="3">
        <v>16881</v>
      </c>
      <c r="J8" s="3" t="str">
        <f t="shared" si="0"/>
        <v>High</v>
      </c>
      <c r="K8" t="b">
        <v>1</v>
      </c>
      <c r="L8" t="b">
        <v>1</v>
      </c>
      <c r="M8" t="b">
        <v>1</v>
      </c>
    </row>
    <row r="9" spans="1:15" x14ac:dyDescent="0.3">
      <c r="A9">
        <v>36</v>
      </c>
      <c r="B9" t="s">
        <v>12</v>
      </c>
      <c r="C9" s="1">
        <v>4</v>
      </c>
      <c r="D9" t="s">
        <v>13</v>
      </c>
      <c r="E9" t="s">
        <v>14</v>
      </c>
      <c r="F9" t="s">
        <v>22</v>
      </c>
      <c r="G9" t="s">
        <v>16</v>
      </c>
      <c r="H9" t="s">
        <v>24</v>
      </c>
      <c r="I9" s="3">
        <v>13636</v>
      </c>
      <c r="J9" s="3" t="str">
        <f t="shared" si="0"/>
        <v>Medium</v>
      </c>
      <c r="K9" t="b">
        <v>1</v>
      </c>
      <c r="L9" t="b">
        <v>0</v>
      </c>
      <c r="M9" t="b">
        <v>1</v>
      </c>
    </row>
    <row r="10" spans="1:15" x14ac:dyDescent="0.3">
      <c r="A10">
        <v>40</v>
      </c>
      <c r="B10" t="s">
        <v>25</v>
      </c>
      <c r="C10" s="1">
        <v>7</v>
      </c>
      <c r="D10" t="s">
        <v>28</v>
      </c>
      <c r="E10" t="s">
        <v>26</v>
      </c>
      <c r="F10" t="s">
        <v>22</v>
      </c>
      <c r="G10" t="s">
        <v>23</v>
      </c>
      <c r="H10" t="s">
        <v>24</v>
      </c>
      <c r="I10" s="3">
        <v>16030</v>
      </c>
      <c r="J10" s="3" t="str">
        <f t="shared" si="0"/>
        <v>High</v>
      </c>
      <c r="K10" t="b">
        <v>0</v>
      </c>
      <c r="L10" t="b">
        <v>0</v>
      </c>
      <c r="M10" t="b">
        <v>1</v>
      </c>
    </row>
    <row r="11" spans="1:15" x14ac:dyDescent="0.3">
      <c r="A11">
        <v>28</v>
      </c>
      <c r="B11" t="s">
        <v>25</v>
      </c>
      <c r="C11" s="1">
        <v>2</v>
      </c>
      <c r="D11" t="s">
        <v>13</v>
      </c>
      <c r="E11" t="s">
        <v>14</v>
      </c>
      <c r="F11" t="s">
        <v>22</v>
      </c>
      <c r="G11" t="s">
        <v>23</v>
      </c>
      <c r="H11" t="s">
        <v>24</v>
      </c>
      <c r="I11" s="3">
        <v>10223</v>
      </c>
      <c r="J11" s="3" t="str">
        <f t="shared" si="0"/>
        <v>Low</v>
      </c>
      <c r="K11" t="b">
        <v>1</v>
      </c>
      <c r="L11" t="b">
        <v>0</v>
      </c>
      <c r="M11" t="b">
        <v>1</v>
      </c>
    </row>
    <row r="12" spans="1:15" x14ac:dyDescent="0.3">
      <c r="A12">
        <v>28</v>
      </c>
      <c r="B12" t="s">
        <v>18</v>
      </c>
      <c r="C12" s="1">
        <v>7</v>
      </c>
      <c r="D12" t="s">
        <v>28</v>
      </c>
      <c r="E12" t="s">
        <v>26</v>
      </c>
      <c r="F12" t="s">
        <v>15</v>
      </c>
      <c r="G12" t="s">
        <v>16</v>
      </c>
      <c r="H12" t="s">
        <v>21</v>
      </c>
      <c r="I12" s="3">
        <v>16297</v>
      </c>
      <c r="J12" s="3" t="str">
        <f t="shared" si="0"/>
        <v>High</v>
      </c>
      <c r="K12" t="b">
        <v>1</v>
      </c>
      <c r="L12" t="b">
        <v>1</v>
      </c>
      <c r="M12" t="b">
        <v>0</v>
      </c>
    </row>
    <row r="13" spans="1:15" x14ac:dyDescent="0.3">
      <c r="A13">
        <v>41</v>
      </c>
      <c r="B13" t="s">
        <v>25</v>
      </c>
      <c r="C13" s="1">
        <v>5</v>
      </c>
      <c r="D13" t="s">
        <v>19</v>
      </c>
      <c r="E13" t="s">
        <v>14</v>
      </c>
      <c r="F13" t="s">
        <v>27</v>
      </c>
      <c r="G13" t="s">
        <v>23</v>
      </c>
      <c r="H13" t="s">
        <v>24</v>
      </c>
      <c r="I13" s="3">
        <v>10350</v>
      </c>
      <c r="J13" s="3" t="str">
        <f t="shared" si="0"/>
        <v>Low</v>
      </c>
      <c r="K13" t="b">
        <v>0</v>
      </c>
      <c r="L13" t="b">
        <v>0</v>
      </c>
      <c r="M13" t="b">
        <v>0</v>
      </c>
    </row>
    <row r="14" spans="1:15" x14ac:dyDescent="0.3">
      <c r="A14">
        <v>53</v>
      </c>
      <c r="B14" t="s">
        <v>25</v>
      </c>
      <c r="C14" s="1">
        <v>5</v>
      </c>
      <c r="D14" t="s">
        <v>19</v>
      </c>
      <c r="E14" t="s">
        <v>14</v>
      </c>
      <c r="F14" t="s">
        <v>22</v>
      </c>
      <c r="G14" t="s">
        <v>29</v>
      </c>
      <c r="H14" t="s">
        <v>21</v>
      </c>
      <c r="I14" s="3">
        <v>17314</v>
      </c>
      <c r="J14" s="3" t="str">
        <f t="shared" si="0"/>
        <v>High</v>
      </c>
      <c r="K14" t="b">
        <v>0</v>
      </c>
      <c r="L14" t="b">
        <v>1</v>
      </c>
      <c r="M14" t="b">
        <v>1</v>
      </c>
    </row>
    <row r="15" spans="1:15" x14ac:dyDescent="0.3">
      <c r="A15">
        <v>57</v>
      </c>
      <c r="B15" t="s">
        <v>18</v>
      </c>
      <c r="C15" s="1">
        <v>6</v>
      </c>
      <c r="D15" t="s">
        <v>13</v>
      </c>
      <c r="E15" t="s">
        <v>26</v>
      </c>
      <c r="F15" t="s">
        <v>15</v>
      </c>
      <c r="G15" t="s">
        <v>16</v>
      </c>
      <c r="H15" t="s">
        <v>17</v>
      </c>
      <c r="I15" s="3">
        <v>11928</v>
      </c>
      <c r="J15" s="3" t="str">
        <f t="shared" si="0"/>
        <v>Low</v>
      </c>
      <c r="K15" t="b">
        <v>0</v>
      </c>
      <c r="L15" t="b">
        <v>1</v>
      </c>
      <c r="M15" t="b">
        <v>0</v>
      </c>
    </row>
    <row r="16" spans="1:15" x14ac:dyDescent="0.3">
      <c r="A16">
        <v>41</v>
      </c>
      <c r="B16" t="s">
        <v>25</v>
      </c>
      <c r="C16" s="1">
        <v>9</v>
      </c>
      <c r="D16" t="s">
        <v>28</v>
      </c>
      <c r="E16" t="s">
        <v>20</v>
      </c>
      <c r="F16" t="s">
        <v>27</v>
      </c>
      <c r="G16" t="s">
        <v>29</v>
      </c>
      <c r="H16" t="s">
        <v>21</v>
      </c>
      <c r="I16" s="3">
        <v>17743</v>
      </c>
      <c r="J16" s="3" t="str">
        <f t="shared" si="0"/>
        <v>High</v>
      </c>
      <c r="K16" t="b">
        <v>1</v>
      </c>
      <c r="L16" t="b">
        <v>1</v>
      </c>
      <c r="M16" t="b">
        <v>0</v>
      </c>
    </row>
    <row r="17" spans="1:13" x14ac:dyDescent="0.3">
      <c r="A17">
        <v>20</v>
      </c>
      <c r="B17" t="s">
        <v>12</v>
      </c>
      <c r="C17" s="1">
        <v>6</v>
      </c>
      <c r="D17" t="s">
        <v>19</v>
      </c>
      <c r="E17" t="s">
        <v>14</v>
      </c>
      <c r="F17" t="s">
        <v>15</v>
      </c>
      <c r="G17" t="s">
        <v>23</v>
      </c>
      <c r="H17" t="s">
        <v>17</v>
      </c>
      <c r="I17" s="3">
        <v>18540</v>
      </c>
      <c r="J17" s="3" t="str">
        <f t="shared" si="0"/>
        <v>High</v>
      </c>
      <c r="K17" t="b">
        <v>1</v>
      </c>
      <c r="L17" t="b">
        <v>1</v>
      </c>
      <c r="M17" t="b">
        <v>0</v>
      </c>
    </row>
    <row r="18" spans="1:13" x14ac:dyDescent="0.3">
      <c r="A18">
        <v>39</v>
      </c>
      <c r="B18" t="s">
        <v>12</v>
      </c>
      <c r="C18" s="1">
        <v>8</v>
      </c>
      <c r="D18" t="s">
        <v>13</v>
      </c>
      <c r="E18" t="s">
        <v>20</v>
      </c>
      <c r="F18" t="s">
        <v>27</v>
      </c>
      <c r="G18" t="s">
        <v>23</v>
      </c>
      <c r="H18" t="s">
        <v>21</v>
      </c>
      <c r="I18" s="3">
        <v>14732</v>
      </c>
      <c r="J18" s="3" t="str">
        <f t="shared" si="0"/>
        <v>Medium</v>
      </c>
      <c r="K18" t="b">
        <v>1</v>
      </c>
      <c r="L18" t="b">
        <v>1</v>
      </c>
      <c r="M18" t="b">
        <v>0</v>
      </c>
    </row>
    <row r="19" spans="1:13" x14ac:dyDescent="0.3">
      <c r="A19">
        <v>19</v>
      </c>
      <c r="B19" t="s">
        <v>18</v>
      </c>
      <c r="C19" s="1">
        <v>7</v>
      </c>
      <c r="D19" t="s">
        <v>13</v>
      </c>
      <c r="E19" t="s">
        <v>14</v>
      </c>
      <c r="F19" t="s">
        <v>15</v>
      </c>
      <c r="G19" t="s">
        <v>29</v>
      </c>
      <c r="H19" t="s">
        <v>24</v>
      </c>
      <c r="I19" s="3">
        <v>11017</v>
      </c>
      <c r="J19" s="3" t="str">
        <f t="shared" si="0"/>
        <v>Low</v>
      </c>
      <c r="K19" t="b">
        <v>0</v>
      </c>
      <c r="L19" t="b">
        <v>1</v>
      </c>
      <c r="M19" t="b">
        <v>1</v>
      </c>
    </row>
    <row r="20" spans="1:13" x14ac:dyDescent="0.3">
      <c r="A20">
        <v>41</v>
      </c>
      <c r="B20" t="s">
        <v>18</v>
      </c>
      <c r="C20" s="1">
        <v>9</v>
      </c>
      <c r="D20" t="s">
        <v>19</v>
      </c>
      <c r="E20" t="s">
        <v>14</v>
      </c>
      <c r="F20" t="s">
        <v>27</v>
      </c>
      <c r="G20" t="s">
        <v>23</v>
      </c>
      <c r="H20" t="s">
        <v>21</v>
      </c>
      <c r="I20" s="3">
        <v>12226</v>
      </c>
      <c r="J20" s="3" t="str">
        <f t="shared" si="0"/>
        <v>Medium</v>
      </c>
      <c r="K20" t="b">
        <v>0</v>
      </c>
      <c r="L20" t="b">
        <v>0</v>
      </c>
      <c r="M20" t="b">
        <v>0</v>
      </c>
    </row>
    <row r="21" spans="1:13" x14ac:dyDescent="0.3">
      <c r="A21">
        <v>61</v>
      </c>
      <c r="B21" t="s">
        <v>18</v>
      </c>
      <c r="C21" s="1">
        <v>4</v>
      </c>
      <c r="D21" t="s">
        <v>19</v>
      </c>
      <c r="E21" t="s">
        <v>14</v>
      </c>
      <c r="F21" t="s">
        <v>27</v>
      </c>
      <c r="G21" t="s">
        <v>16</v>
      </c>
      <c r="H21" t="s">
        <v>24</v>
      </c>
      <c r="I21" s="3">
        <v>17206</v>
      </c>
      <c r="J21" s="3" t="str">
        <f t="shared" si="0"/>
        <v>High</v>
      </c>
      <c r="K21" t="b">
        <v>0</v>
      </c>
      <c r="L21" t="b">
        <v>0</v>
      </c>
      <c r="M21" t="b">
        <v>0</v>
      </c>
    </row>
    <row r="22" spans="1:13" x14ac:dyDescent="0.3">
      <c r="A22">
        <v>47</v>
      </c>
      <c r="B22" t="s">
        <v>12</v>
      </c>
      <c r="C22" s="1">
        <v>2</v>
      </c>
      <c r="D22" t="s">
        <v>13</v>
      </c>
      <c r="E22" t="s">
        <v>14</v>
      </c>
      <c r="F22" t="s">
        <v>15</v>
      </c>
      <c r="G22" t="s">
        <v>29</v>
      </c>
      <c r="H22" t="s">
        <v>17</v>
      </c>
      <c r="I22" s="3">
        <v>17170</v>
      </c>
      <c r="J22" s="3" t="str">
        <f t="shared" si="0"/>
        <v>High</v>
      </c>
      <c r="K22" t="b">
        <v>0</v>
      </c>
      <c r="L22" t="b">
        <v>0</v>
      </c>
      <c r="M22" t="b">
        <v>1</v>
      </c>
    </row>
    <row r="23" spans="1:13" x14ac:dyDescent="0.3">
      <c r="A23">
        <v>55</v>
      </c>
      <c r="B23" t="s">
        <v>25</v>
      </c>
      <c r="C23" s="1">
        <v>7</v>
      </c>
      <c r="D23" t="s">
        <v>28</v>
      </c>
      <c r="E23" t="s">
        <v>20</v>
      </c>
      <c r="F23" t="s">
        <v>22</v>
      </c>
      <c r="G23" t="s">
        <v>16</v>
      </c>
      <c r="H23" t="s">
        <v>21</v>
      </c>
      <c r="I23" s="3">
        <v>16207</v>
      </c>
      <c r="J23" s="3" t="str">
        <f t="shared" si="0"/>
        <v>High</v>
      </c>
      <c r="K23" t="b">
        <v>1</v>
      </c>
      <c r="L23" t="b">
        <v>0</v>
      </c>
      <c r="M23" t="b">
        <v>1</v>
      </c>
    </row>
    <row r="24" spans="1:13" x14ac:dyDescent="0.3">
      <c r="A24">
        <v>19</v>
      </c>
      <c r="B24" t="s">
        <v>12</v>
      </c>
      <c r="C24" s="1">
        <v>6</v>
      </c>
      <c r="D24" t="s">
        <v>28</v>
      </c>
      <c r="E24" t="s">
        <v>20</v>
      </c>
      <c r="F24" t="s">
        <v>27</v>
      </c>
      <c r="G24" t="s">
        <v>29</v>
      </c>
      <c r="H24" t="s">
        <v>24</v>
      </c>
      <c r="I24" s="3">
        <v>12419</v>
      </c>
      <c r="J24" s="3" t="str">
        <f t="shared" si="0"/>
        <v>Medium</v>
      </c>
      <c r="K24" t="b">
        <v>1</v>
      </c>
      <c r="L24" t="b">
        <v>1</v>
      </c>
      <c r="M24" t="b">
        <v>1</v>
      </c>
    </row>
    <row r="25" spans="1:13" x14ac:dyDescent="0.3">
      <c r="A25">
        <v>38</v>
      </c>
      <c r="B25" t="s">
        <v>18</v>
      </c>
      <c r="C25" s="1">
        <v>1</v>
      </c>
      <c r="D25" t="s">
        <v>28</v>
      </c>
      <c r="E25" t="s">
        <v>14</v>
      </c>
      <c r="F25" t="s">
        <v>22</v>
      </c>
      <c r="G25" t="s">
        <v>23</v>
      </c>
      <c r="H25" t="s">
        <v>17</v>
      </c>
      <c r="I25" s="3">
        <v>16240</v>
      </c>
      <c r="J25" s="3" t="str">
        <f t="shared" si="0"/>
        <v>High</v>
      </c>
      <c r="K25" t="b">
        <v>1</v>
      </c>
      <c r="L25" t="b">
        <v>1</v>
      </c>
      <c r="M25" t="b">
        <v>1</v>
      </c>
    </row>
    <row r="26" spans="1:13" x14ac:dyDescent="0.3">
      <c r="A26">
        <v>50</v>
      </c>
      <c r="B26" t="s">
        <v>25</v>
      </c>
      <c r="C26" s="1">
        <v>9</v>
      </c>
      <c r="D26" t="s">
        <v>13</v>
      </c>
      <c r="E26" t="s">
        <v>14</v>
      </c>
      <c r="F26" t="s">
        <v>15</v>
      </c>
      <c r="G26" t="s">
        <v>29</v>
      </c>
      <c r="H26" t="s">
        <v>17</v>
      </c>
      <c r="I26" s="3">
        <v>11893</v>
      </c>
      <c r="J26" s="3" t="str">
        <f t="shared" si="0"/>
        <v>Low</v>
      </c>
      <c r="K26" t="b">
        <v>1</v>
      </c>
      <c r="L26" t="b">
        <v>0</v>
      </c>
      <c r="M26" t="b">
        <v>0</v>
      </c>
    </row>
    <row r="27" spans="1:13" x14ac:dyDescent="0.3">
      <c r="A27">
        <v>29</v>
      </c>
      <c r="B27" t="s">
        <v>25</v>
      </c>
      <c r="C27" s="1">
        <v>9</v>
      </c>
      <c r="D27" t="s">
        <v>19</v>
      </c>
      <c r="E27" t="s">
        <v>20</v>
      </c>
      <c r="F27" t="s">
        <v>22</v>
      </c>
      <c r="G27" t="s">
        <v>29</v>
      </c>
      <c r="H27" t="s">
        <v>21</v>
      </c>
      <c r="I27" s="3">
        <v>15322</v>
      </c>
      <c r="J27" s="3" t="str">
        <f t="shared" si="0"/>
        <v>High</v>
      </c>
      <c r="K27" t="b">
        <v>1</v>
      </c>
      <c r="L27" t="b">
        <v>0</v>
      </c>
      <c r="M27" t="b">
        <v>1</v>
      </c>
    </row>
    <row r="28" spans="1:13" x14ac:dyDescent="0.3">
      <c r="A28">
        <v>39</v>
      </c>
      <c r="B28" t="s">
        <v>12</v>
      </c>
      <c r="C28" s="1">
        <v>2</v>
      </c>
      <c r="D28" t="s">
        <v>13</v>
      </c>
      <c r="E28" t="s">
        <v>26</v>
      </c>
      <c r="F28" t="s">
        <v>22</v>
      </c>
      <c r="G28" t="s">
        <v>16</v>
      </c>
      <c r="H28" t="s">
        <v>17</v>
      </c>
      <c r="I28" s="3">
        <v>17718</v>
      </c>
      <c r="J28" s="3" t="str">
        <f t="shared" si="0"/>
        <v>High</v>
      </c>
      <c r="K28" t="b">
        <v>1</v>
      </c>
      <c r="L28" t="b">
        <v>0</v>
      </c>
      <c r="M28" t="b">
        <v>0</v>
      </c>
    </row>
    <row r="29" spans="1:13" x14ac:dyDescent="0.3">
      <c r="A29">
        <v>61</v>
      </c>
      <c r="B29" t="s">
        <v>18</v>
      </c>
      <c r="C29" s="1">
        <v>3</v>
      </c>
      <c r="D29" t="s">
        <v>19</v>
      </c>
      <c r="E29" t="s">
        <v>26</v>
      </c>
      <c r="F29" t="s">
        <v>22</v>
      </c>
      <c r="G29" t="s">
        <v>23</v>
      </c>
      <c r="H29" t="s">
        <v>24</v>
      </c>
      <c r="I29" s="3">
        <v>16878</v>
      </c>
      <c r="J29" s="3" t="str">
        <f t="shared" si="0"/>
        <v>High</v>
      </c>
      <c r="K29" t="b">
        <v>1</v>
      </c>
      <c r="L29" t="b">
        <v>0</v>
      </c>
      <c r="M29" t="b">
        <v>0</v>
      </c>
    </row>
    <row r="30" spans="1:13" x14ac:dyDescent="0.3">
      <c r="A30">
        <v>42</v>
      </c>
      <c r="B30" t="s">
        <v>12</v>
      </c>
      <c r="C30" s="1">
        <v>5</v>
      </c>
      <c r="D30" t="s">
        <v>28</v>
      </c>
      <c r="E30" t="s">
        <v>20</v>
      </c>
      <c r="F30" t="s">
        <v>22</v>
      </c>
      <c r="G30" t="s">
        <v>16</v>
      </c>
      <c r="H30" t="s">
        <v>17</v>
      </c>
      <c r="I30" s="3">
        <v>11125</v>
      </c>
      <c r="J30" s="3" t="str">
        <f t="shared" si="0"/>
        <v>Low</v>
      </c>
      <c r="K30" t="b">
        <v>1</v>
      </c>
      <c r="L30" t="b">
        <v>0</v>
      </c>
      <c r="M30" t="b">
        <v>1</v>
      </c>
    </row>
    <row r="31" spans="1:13" x14ac:dyDescent="0.3">
      <c r="A31">
        <v>44</v>
      </c>
      <c r="B31" t="s">
        <v>25</v>
      </c>
      <c r="C31" s="1">
        <v>5</v>
      </c>
      <c r="D31" t="s">
        <v>28</v>
      </c>
      <c r="E31" t="s">
        <v>14</v>
      </c>
      <c r="F31" t="s">
        <v>22</v>
      </c>
      <c r="G31" t="s">
        <v>23</v>
      </c>
      <c r="H31" t="s">
        <v>17</v>
      </c>
      <c r="I31" s="3">
        <v>13117</v>
      </c>
      <c r="J31" s="3" t="str">
        <f t="shared" si="0"/>
        <v>Medium</v>
      </c>
      <c r="K31" t="b">
        <v>0</v>
      </c>
      <c r="L31" t="b">
        <v>0</v>
      </c>
      <c r="M31" t="b">
        <v>1</v>
      </c>
    </row>
    <row r="32" spans="1:13" x14ac:dyDescent="0.3">
      <c r="A32">
        <v>59</v>
      </c>
      <c r="B32" t="s">
        <v>12</v>
      </c>
      <c r="C32" s="1">
        <v>1</v>
      </c>
      <c r="D32" t="s">
        <v>19</v>
      </c>
      <c r="E32" t="s">
        <v>14</v>
      </c>
      <c r="F32" t="s">
        <v>27</v>
      </c>
      <c r="G32" t="s">
        <v>16</v>
      </c>
      <c r="H32" t="s">
        <v>24</v>
      </c>
      <c r="I32" s="3">
        <v>14161</v>
      </c>
      <c r="J32" s="3" t="str">
        <f t="shared" si="0"/>
        <v>Medium</v>
      </c>
      <c r="K32" t="b">
        <v>0</v>
      </c>
      <c r="L32" t="b">
        <v>0</v>
      </c>
      <c r="M32" t="b">
        <v>1</v>
      </c>
    </row>
    <row r="33" spans="1:13" x14ac:dyDescent="0.3">
      <c r="A33">
        <v>45</v>
      </c>
      <c r="B33" t="s">
        <v>12</v>
      </c>
      <c r="C33" s="1">
        <v>8</v>
      </c>
      <c r="D33" t="s">
        <v>19</v>
      </c>
      <c r="E33" t="s">
        <v>26</v>
      </c>
      <c r="F33" t="s">
        <v>27</v>
      </c>
      <c r="G33" t="s">
        <v>29</v>
      </c>
      <c r="H33" t="s">
        <v>17</v>
      </c>
      <c r="I33" s="3">
        <v>14042</v>
      </c>
      <c r="J33" s="3" t="str">
        <f t="shared" si="0"/>
        <v>Medium</v>
      </c>
      <c r="K33" t="b">
        <v>1</v>
      </c>
      <c r="L33" t="b">
        <v>0</v>
      </c>
      <c r="M33" t="b">
        <v>1</v>
      </c>
    </row>
    <row r="34" spans="1:13" x14ac:dyDescent="0.3">
      <c r="A34">
        <v>33</v>
      </c>
      <c r="B34" t="s">
        <v>18</v>
      </c>
      <c r="C34" s="1">
        <v>8</v>
      </c>
      <c r="D34" t="s">
        <v>13</v>
      </c>
      <c r="E34" t="s">
        <v>26</v>
      </c>
      <c r="F34" t="s">
        <v>27</v>
      </c>
      <c r="G34" t="s">
        <v>16</v>
      </c>
      <c r="H34" t="s">
        <v>17</v>
      </c>
      <c r="I34" s="3">
        <v>14433</v>
      </c>
      <c r="J34" s="3" t="str">
        <f t="shared" si="0"/>
        <v>Medium</v>
      </c>
      <c r="K34" t="b">
        <v>0</v>
      </c>
      <c r="L34" t="b">
        <v>1</v>
      </c>
      <c r="M34" t="b">
        <v>1</v>
      </c>
    </row>
    <row r="35" spans="1:13" x14ac:dyDescent="0.3">
      <c r="A35">
        <v>32</v>
      </c>
      <c r="B35" t="s">
        <v>18</v>
      </c>
      <c r="C35" s="1">
        <v>4</v>
      </c>
      <c r="D35" t="s">
        <v>28</v>
      </c>
      <c r="E35" t="s">
        <v>20</v>
      </c>
      <c r="F35" t="s">
        <v>15</v>
      </c>
      <c r="G35" t="s">
        <v>23</v>
      </c>
      <c r="H35" t="s">
        <v>17</v>
      </c>
      <c r="I35" s="3">
        <v>18638</v>
      </c>
      <c r="J35" s="3" t="str">
        <f t="shared" si="0"/>
        <v>High</v>
      </c>
      <c r="K35" t="b">
        <v>1</v>
      </c>
      <c r="L35" t="b">
        <v>1</v>
      </c>
      <c r="M35" t="b">
        <v>1</v>
      </c>
    </row>
    <row r="36" spans="1:13" x14ac:dyDescent="0.3">
      <c r="A36">
        <v>64</v>
      </c>
      <c r="B36" t="s">
        <v>25</v>
      </c>
      <c r="C36" s="1">
        <v>7</v>
      </c>
      <c r="D36" t="s">
        <v>13</v>
      </c>
      <c r="E36" t="s">
        <v>26</v>
      </c>
      <c r="F36" t="s">
        <v>22</v>
      </c>
      <c r="G36" t="s">
        <v>23</v>
      </c>
      <c r="H36" t="s">
        <v>17</v>
      </c>
      <c r="I36" s="3">
        <v>12658</v>
      </c>
      <c r="J36" s="3" t="str">
        <f t="shared" si="0"/>
        <v>Medium</v>
      </c>
      <c r="K36" t="b">
        <v>1</v>
      </c>
      <c r="L36" t="b">
        <v>1</v>
      </c>
      <c r="M36" t="b">
        <v>0</v>
      </c>
    </row>
    <row r="37" spans="1:13" x14ac:dyDescent="0.3">
      <c r="A37">
        <v>61</v>
      </c>
      <c r="B37" t="s">
        <v>12</v>
      </c>
      <c r="C37" s="1">
        <v>3</v>
      </c>
      <c r="D37" t="s">
        <v>13</v>
      </c>
      <c r="E37" t="s">
        <v>20</v>
      </c>
      <c r="F37" t="s">
        <v>27</v>
      </c>
      <c r="G37" t="s">
        <v>29</v>
      </c>
      <c r="H37" t="s">
        <v>24</v>
      </c>
      <c r="I37" s="3">
        <v>13483</v>
      </c>
      <c r="J37" s="3" t="str">
        <f t="shared" si="0"/>
        <v>Medium</v>
      </c>
      <c r="K37" t="b">
        <v>0</v>
      </c>
      <c r="L37" t="b">
        <v>1</v>
      </c>
      <c r="M37" t="b">
        <v>0</v>
      </c>
    </row>
    <row r="38" spans="1:13" x14ac:dyDescent="0.3">
      <c r="A38">
        <v>20</v>
      </c>
      <c r="B38" t="s">
        <v>12</v>
      </c>
      <c r="C38" s="1">
        <v>6</v>
      </c>
      <c r="D38" t="s">
        <v>13</v>
      </c>
      <c r="E38" t="s">
        <v>26</v>
      </c>
      <c r="F38" t="s">
        <v>15</v>
      </c>
      <c r="G38" t="s">
        <v>23</v>
      </c>
      <c r="H38" t="s">
        <v>17</v>
      </c>
      <c r="I38" s="3">
        <v>12944</v>
      </c>
      <c r="J38" s="3" t="str">
        <f t="shared" si="0"/>
        <v>Medium</v>
      </c>
      <c r="K38" t="b">
        <v>1</v>
      </c>
      <c r="L38" t="b">
        <v>0</v>
      </c>
      <c r="M38" t="b">
        <v>0</v>
      </c>
    </row>
    <row r="39" spans="1:13" x14ac:dyDescent="0.3">
      <c r="A39">
        <v>54</v>
      </c>
      <c r="B39" t="s">
        <v>12</v>
      </c>
      <c r="C39" s="1">
        <v>9</v>
      </c>
      <c r="D39" t="s">
        <v>28</v>
      </c>
      <c r="E39" t="s">
        <v>26</v>
      </c>
      <c r="F39" t="s">
        <v>27</v>
      </c>
      <c r="G39" t="s">
        <v>16</v>
      </c>
      <c r="H39" t="s">
        <v>24</v>
      </c>
      <c r="I39" s="3">
        <v>17210</v>
      </c>
      <c r="J39" s="3" t="str">
        <f t="shared" si="0"/>
        <v>High</v>
      </c>
      <c r="K39" t="b">
        <v>1</v>
      </c>
      <c r="L39" t="b">
        <v>1</v>
      </c>
      <c r="M39" t="b">
        <v>0</v>
      </c>
    </row>
    <row r="40" spans="1:13" x14ac:dyDescent="0.3">
      <c r="A40">
        <v>24</v>
      </c>
      <c r="B40" t="s">
        <v>25</v>
      </c>
      <c r="C40" s="1">
        <v>1</v>
      </c>
      <c r="D40" t="s">
        <v>13</v>
      </c>
      <c r="E40" t="s">
        <v>26</v>
      </c>
      <c r="F40" t="s">
        <v>27</v>
      </c>
      <c r="G40" t="s">
        <v>29</v>
      </c>
      <c r="H40" t="s">
        <v>17</v>
      </c>
      <c r="I40" s="3">
        <v>17653</v>
      </c>
      <c r="J40" s="3" t="str">
        <f t="shared" si="0"/>
        <v>High</v>
      </c>
      <c r="K40" t="b">
        <v>1</v>
      </c>
      <c r="L40" t="b">
        <v>0</v>
      </c>
      <c r="M40" t="b">
        <v>1</v>
      </c>
    </row>
    <row r="41" spans="1:13" x14ac:dyDescent="0.3">
      <c r="A41">
        <v>38</v>
      </c>
      <c r="B41" t="s">
        <v>25</v>
      </c>
      <c r="C41" s="1">
        <v>5</v>
      </c>
      <c r="D41" t="s">
        <v>13</v>
      </c>
      <c r="E41" t="s">
        <v>14</v>
      </c>
      <c r="F41" t="s">
        <v>22</v>
      </c>
      <c r="G41" t="s">
        <v>23</v>
      </c>
      <c r="H41" t="s">
        <v>17</v>
      </c>
      <c r="I41" s="3">
        <v>18787</v>
      </c>
      <c r="J41" s="3" t="str">
        <f t="shared" si="0"/>
        <v>High</v>
      </c>
      <c r="K41" t="b">
        <v>1</v>
      </c>
      <c r="L41" t="b">
        <v>1</v>
      </c>
      <c r="M41" t="b">
        <v>1</v>
      </c>
    </row>
    <row r="42" spans="1:13" x14ac:dyDescent="0.3">
      <c r="A42">
        <v>26</v>
      </c>
      <c r="B42" t="s">
        <v>18</v>
      </c>
      <c r="C42" s="1">
        <v>4</v>
      </c>
      <c r="D42" t="s">
        <v>13</v>
      </c>
      <c r="E42" t="s">
        <v>14</v>
      </c>
      <c r="F42" t="s">
        <v>15</v>
      </c>
      <c r="G42" t="s">
        <v>23</v>
      </c>
      <c r="H42" t="s">
        <v>17</v>
      </c>
      <c r="I42" s="3">
        <v>11986</v>
      </c>
      <c r="J42" s="3" t="str">
        <f t="shared" si="0"/>
        <v>Low</v>
      </c>
      <c r="K42" t="b">
        <v>1</v>
      </c>
      <c r="L42" t="b">
        <v>0</v>
      </c>
      <c r="M42" t="b">
        <v>0</v>
      </c>
    </row>
    <row r="43" spans="1:13" x14ac:dyDescent="0.3">
      <c r="A43">
        <v>56</v>
      </c>
      <c r="B43" t="s">
        <v>18</v>
      </c>
      <c r="C43" s="1">
        <v>8</v>
      </c>
      <c r="D43" t="s">
        <v>13</v>
      </c>
      <c r="E43" t="s">
        <v>14</v>
      </c>
      <c r="F43" t="s">
        <v>22</v>
      </c>
      <c r="G43" t="s">
        <v>16</v>
      </c>
      <c r="H43" t="s">
        <v>17</v>
      </c>
      <c r="I43" s="3">
        <v>11074</v>
      </c>
      <c r="J43" s="3" t="str">
        <f t="shared" si="0"/>
        <v>Low</v>
      </c>
      <c r="K43" t="b">
        <v>1</v>
      </c>
      <c r="L43" t="b">
        <v>0</v>
      </c>
      <c r="M43" t="b">
        <v>0</v>
      </c>
    </row>
    <row r="44" spans="1:13" x14ac:dyDescent="0.3">
      <c r="A44">
        <v>35</v>
      </c>
      <c r="B44" t="s">
        <v>18</v>
      </c>
      <c r="C44" s="1">
        <v>1</v>
      </c>
      <c r="D44" t="s">
        <v>13</v>
      </c>
      <c r="E44" t="s">
        <v>26</v>
      </c>
      <c r="F44" t="s">
        <v>22</v>
      </c>
      <c r="G44" t="s">
        <v>16</v>
      </c>
      <c r="H44" t="s">
        <v>24</v>
      </c>
      <c r="I44" s="3">
        <v>14305</v>
      </c>
      <c r="J44" s="3" t="str">
        <f t="shared" si="0"/>
        <v>Medium</v>
      </c>
      <c r="K44" t="b">
        <v>1</v>
      </c>
      <c r="L44" t="b">
        <v>1</v>
      </c>
      <c r="M44" t="b">
        <v>0</v>
      </c>
    </row>
    <row r="45" spans="1:13" x14ac:dyDescent="0.3">
      <c r="A45">
        <v>21</v>
      </c>
      <c r="B45" t="s">
        <v>12</v>
      </c>
      <c r="C45" s="1">
        <v>9</v>
      </c>
      <c r="D45" t="s">
        <v>13</v>
      </c>
      <c r="E45" t="s">
        <v>20</v>
      </c>
      <c r="F45" t="s">
        <v>27</v>
      </c>
      <c r="G45" t="s">
        <v>29</v>
      </c>
      <c r="H45" t="s">
        <v>24</v>
      </c>
      <c r="I45" s="3">
        <v>13007</v>
      </c>
      <c r="J45" s="3" t="str">
        <f t="shared" si="0"/>
        <v>Medium</v>
      </c>
      <c r="K45" t="b">
        <v>0</v>
      </c>
      <c r="L45" t="b">
        <v>1</v>
      </c>
      <c r="M45" t="b">
        <v>1</v>
      </c>
    </row>
    <row r="46" spans="1:13" x14ac:dyDescent="0.3">
      <c r="A46">
        <v>42</v>
      </c>
      <c r="B46" t="s">
        <v>12</v>
      </c>
      <c r="C46" s="1">
        <v>6</v>
      </c>
      <c r="D46" t="s">
        <v>28</v>
      </c>
      <c r="E46" t="s">
        <v>20</v>
      </c>
      <c r="F46" t="s">
        <v>22</v>
      </c>
      <c r="G46" t="s">
        <v>23</v>
      </c>
      <c r="H46" t="s">
        <v>24</v>
      </c>
      <c r="I46" s="3">
        <v>10969</v>
      </c>
      <c r="J46" s="3" t="str">
        <f t="shared" si="0"/>
        <v>Low</v>
      </c>
      <c r="K46" t="b">
        <v>0</v>
      </c>
      <c r="L46" t="b">
        <v>0</v>
      </c>
      <c r="M46" t="b">
        <v>1</v>
      </c>
    </row>
    <row r="47" spans="1:13" x14ac:dyDescent="0.3">
      <c r="A47">
        <v>31</v>
      </c>
      <c r="B47" t="s">
        <v>18</v>
      </c>
      <c r="C47" s="1">
        <v>4</v>
      </c>
      <c r="D47" t="s">
        <v>13</v>
      </c>
      <c r="E47" t="s">
        <v>20</v>
      </c>
      <c r="F47" t="s">
        <v>15</v>
      </c>
      <c r="G47" t="s">
        <v>16</v>
      </c>
      <c r="H47" t="s">
        <v>21</v>
      </c>
      <c r="I47" s="3">
        <v>18772</v>
      </c>
      <c r="J47" s="3" t="str">
        <f t="shared" si="0"/>
        <v>High</v>
      </c>
      <c r="K47" t="b">
        <v>1</v>
      </c>
      <c r="L47" t="b">
        <v>0</v>
      </c>
      <c r="M47" t="b">
        <v>1</v>
      </c>
    </row>
    <row r="48" spans="1:13" x14ac:dyDescent="0.3">
      <c r="A48">
        <v>26</v>
      </c>
      <c r="B48" t="s">
        <v>12</v>
      </c>
      <c r="C48" s="1">
        <v>9</v>
      </c>
      <c r="D48" t="s">
        <v>19</v>
      </c>
      <c r="E48" t="s">
        <v>20</v>
      </c>
      <c r="F48" t="s">
        <v>22</v>
      </c>
      <c r="G48" t="s">
        <v>29</v>
      </c>
      <c r="H48" t="s">
        <v>17</v>
      </c>
      <c r="I48" s="3">
        <v>12824</v>
      </c>
      <c r="J48" s="3" t="str">
        <f t="shared" si="0"/>
        <v>Medium</v>
      </c>
      <c r="K48" t="b">
        <v>0</v>
      </c>
      <c r="L48" t="b">
        <v>0</v>
      </c>
      <c r="M48" t="b">
        <v>0</v>
      </c>
    </row>
    <row r="49" spans="1:13" x14ac:dyDescent="0.3">
      <c r="A49">
        <v>43</v>
      </c>
      <c r="B49" t="s">
        <v>18</v>
      </c>
      <c r="C49" s="1">
        <v>5</v>
      </c>
      <c r="D49" t="s">
        <v>13</v>
      </c>
      <c r="E49" t="s">
        <v>14</v>
      </c>
      <c r="F49" t="s">
        <v>22</v>
      </c>
      <c r="G49" t="s">
        <v>23</v>
      </c>
      <c r="H49" t="s">
        <v>17</v>
      </c>
      <c r="I49" s="3">
        <v>11211</v>
      </c>
      <c r="J49" s="3" t="str">
        <f t="shared" si="0"/>
        <v>Low</v>
      </c>
      <c r="K49" t="b">
        <v>1</v>
      </c>
      <c r="L49" t="b">
        <v>1</v>
      </c>
      <c r="M49" t="b">
        <v>0</v>
      </c>
    </row>
    <row r="50" spans="1:13" x14ac:dyDescent="0.3">
      <c r="A50">
        <v>19</v>
      </c>
      <c r="B50" t="s">
        <v>25</v>
      </c>
      <c r="C50" s="1">
        <v>5</v>
      </c>
      <c r="D50" t="s">
        <v>13</v>
      </c>
      <c r="E50" t="s">
        <v>14</v>
      </c>
      <c r="F50" t="s">
        <v>22</v>
      </c>
      <c r="G50" t="s">
        <v>23</v>
      </c>
      <c r="H50" t="s">
        <v>24</v>
      </c>
      <c r="I50" s="3">
        <v>10229</v>
      </c>
      <c r="J50" s="3" t="str">
        <f t="shared" si="0"/>
        <v>Low</v>
      </c>
      <c r="K50" t="b">
        <v>1</v>
      </c>
      <c r="L50" t="b">
        <v>1</v>
      </c>
      <c r="M50" t="b">
        <v>1</v>
      </c>
    </row>
    <row r="51" spans="1:13" x14ac:dyDescent="0.3">
      <c r="A51">
        <v>37</v>
      </c>
      <c r="B51" t="s">
        <v>18</v>
      </c>
      <c r="C51" s="1">
        <v>5</v>
      </c>
      <c r="D51" t="s">
        <v>28</v>
      </c>
      <c r="E51" t="s">
        <v>26</v>
      </c>
      <c r="F51" t="s">
        <v>27</v>
      </c>
      <c r="G51" t="s">
        <v>29</v>
      </c>
      <c r="H51" t="s">
        <v>21</v>
      </c>
      <c r="I51" s="3">
        <v>14284</v>
      </c>
      <c r="J51" s="3" t="str">
        <f t="shared" si="0"/>
        <v>Medium</v>
      </c>
      <c r="K51" t="b">
        <v>1</v>
      </c>
      <c r="L51" t="b">
        <v>0</v>
      </c>
      <c r="M51" t="b">
        <v>1</v>
      </c>
    </row>
    <row r="52" spans="1:13" x14ac:dyDescent="0.3">
      <c r="A52">
        <v>45</v>
      </c>
      <c r="B52" t="s">
        <v>25</v>
      </c>
      <c r="C52" s="1">
        <v>1</v>
      </c>
      <c r="D52" t="s">
        <v>28</v>
      </c>
      <c r="E52" t="s">
        <v>26</v>
      </c>
      <c r="F52" t="s">
        <v>15</v>
      </c>
      <c r="G52" t="s">
        <v>29</v>
      </c>
      <c r="H52" t="s">
        <v>17</v>
      </c>
      <c r="I52" s="3">
        <v>13185</v>
      </c>
      <c r="J52" s="3" t="str">
        <f t="shared" si="0"/>
        <v>Medium</v>
      </c>
      <c r="K52" t="b">
        <v>1</v>
      </c>
      <c r="L52" t="b">
        <v>1</v>
      </c>
      <c r="M52" t="b">
        <v>0</v>
      </c>
    </row>
    <row r="53" spans="1:13" x14ac:dyDescent="0.3">
      <c r="A53">
        <v>64</v>
      </c>
      <c r="B53" t="s">
        <v>12</v>
      </c>
      <c r="C53" s="1">
        <v>1</v>
      </c>
      <c r="D53" t="s">
        <v>19</v>
      </c>
      <c r="E53" t="s">
        <v>20</v>
      </c>
      <c r="F53" t="s">
        <v>27</v>
      </c>
      <c r="G53" t="s">
        <v>16</v>
      </c>
      <c r="H53" t="s">
        <v>24</v>
      </c>
      <c r="I53" s="3">
        <v>10501</v>
      </c>
      <c r="J53" s="3" t="str">
        <f t="shared" si="0"/>
        <v>Low</v>
      </c>
      <c r="K53" t="b">
        <v>0</v>
      </c>
      <c r="L53" t="b">
        <v>0</v>
      </c>
      <c r="M53" t="b">
        <v>0</v>
      </c>
    </row>
    <row r="54" spans="1:13" x14ac:dyDescent="0.3">
      <c r="A54">
        <v>24</v>
      </c>
      <c r="B54" t="s">
        <v>18</v>
      </c>
      <c r="C54" s="1">
        <v>8</v>
      </c>
      <c r="D54" t="s">
        <v>19</v>
      </c>
      <c r="E54" t="s">
        <v>14</v>
      </c>
      <c r="F54" t="s">
        <v>27</v>
      </c>
      <c r="G54" t="s">
        <v>23</v>
      </c>
      <c r="H54" t="s">
        <v>17</v>
      </c>
      <c r="I54" s="3">
        <v>10048</v>
      </c>
      <c r="J54" s="3" t="str">
        <f t="shared" si="0"/>
        <v>Low</v>
      </c>
      <c r="K54" t="b">
        <v>0</v>
      </c>
      <c r="L54" t="b">
        <v>1</v>
      </c>
      <c r="M54" t="b">
        <v>1</v>
      </c>
    </row>
    <row r="55" spans="1:13" x14ac:dyDescent="0.3">
      <c r="A55">
        <v>61</v>
      </c>
      <c r="B55" t="s">
        <v>12</v>
      </c>
      <c r="C55" s="1">
        <v>8</v>
      </c>
      <c r="D55" t="s">
        <v>28</v>
      </c>
      <c r="E55" t="s">
        <v>20</v>
      </c>
      <c r="F55" t="s">
        <v>27</v>
      </c>
      <c r="G55" t="s">
        <v>23</v>
      </c>
      <c r="H55" t="s">
        <v>17</v>
      </c>
      <c r="I55" s="3">
        <v>13566</v>
      </c>
      <c r="J55" s="3" t="str">
        <f t="shared" si="0"/>
        <v>Medium</v>
      </c>
      <c r="K55" t="b">
        <v>0</v>
      </c>
      <c r="L55" t="b">
        <v>1</v>
      </c>
      <c r="M55" t="b">
        <v>0</v>
      </c>
    </row>
    <row r="56" spans="1:13" x14ac:dyDescent="0.3">
      <c r="A56">
        <v>25</v>
      </c>
      <c r="B56" t="s">
        <v>25</v>
      </c>
      <c r="C56" s="1">
        <v>6</v>
      </c>
      <c r="D56" t="s">
        <v>28</v>
      </c>
      <c r="E56" t="s">
        <v>26</v>
      </c>
      <c r="F56" t="s">
        <v>27</v>
      </c>
      <c r="G56" t="s">
        <v>23</v>
      </c>
      <c r="H56" t="s">
        <v>24</v>
      </c>
      <c r="I56" s="3">
        <v>13055</v>
      </c>
      <c r="J56" s="3" t="str">
        <f t="shared" si="0"/>
        <v>Medium</v>
      </c>
      <c r="K56" t="b">
        <v>0</v>
      </c>
      <c r="L56" t="b">
        <v>1</v>
      </c>
      <c r="M56" t="b">
        <v>1</v>
      </c>
    </row>
    <row r="57" spans="1:13" x14ac:dyDescent="0.3">
      <c r="A57">
        <v>64</v>
      </c>
      <c r="B57" t="s">
        <v>25</v>
      </c>
      <c r="C57" s="1">
        <v>4</v>
      </c>
      <c r="D57" t="s">
        <v>13</v>
      </c>
      <c r="E57" t="s">
        <v>26</v>
      </c>
      <c r="F57" t="s">
        <v>27</v>
      </c>
      <c r="G57" t="s">
        <v>29</v>
      </c>
      <c r="H57" t="s">
        <v>24</v>
      </c>
      <c r="I57" s="3">
        <v>18880</v>
      </c>
      <c r="J57" s="3" t="str">
        <f t="shared" si="0"/>
        <v>High</v>
      </c>
      <c r="K57" t="b">
        <v>1</v>
      </c>
      <c r="L57" t="b">
        <v>1</v>
      </c>
      <c r="M57" t="b">
        <v>1</v>
      </c>
    </row>
    <row r="58" spans="1:13" x14ac:dyDescent="0.3">
      <c r="A58">
        <v>52</v>
      </c>
      <c r="B58" t="s">
        <v>25</v>
      </c>
      <c r="C58" s="1">
        <v>2</v>
      </c>
      <c r="D58" t="s">
        <v>28</v>
      </c>
      <c r="E58" t="s">
        <v>20</v>
      </c>
      <c r="F58" t="s">
        <v>15</v>
      </c>
      <c r="G58" t="s">
        <v>16</v>
      </c>
      <c r="H58" t="s">
        <v>17</v>
      </c>
      <c r="I58" s="3">
        <v>10386</v>
      </c>
      <c r="J58" s="3" t="str">
        <f t="shared" si="0"/>
        <v>Low</v>
      </c>
      <c r="K58" t="b">
        <v>0</v>
      </c>
      <c r="L58" t="b">
        <v>1</v>
      </c>
      <c r="M58" t="b">
        <v>0</v>
      </c>
    </row>
    <row r="59" spans="1:13" x14ac:dyDescent="0.3">
      <c r="A59">
        <v>31</v>
      </c>
      <c r="B59" t="s">
        <v>12</v>
      </c>
      <c r="C59" s="1">
        <v>2</v>
      </c>
      <c r="D59" t="s">
        <v>19</v>
      </c>
      <c r="E59" t="s">
        <v>26</v>
      </c>
      <c r="F59" t="s">
        <v>22</v>
      </c>
      <c r="G59" t="s">
        <v>23</v>
      </c>
      <c r="H59" t="s">
        <v>17</v>
      </c>
      <c r="I59" s="3">
        <v>10969</v>
      </c>
      <c r="J59" s="3" t="str">
        <f t="shared" si="0"/>
        <v>Low</v>
      </c>
      <c r="K59" t="b">
        <v>1</v>
      </c>
      <c r="L59" t="b">
        <v>0</v>
      </c>
      <c r="M59" t="b">
        <v>0</v>
      </c>
    </row>
    <row r="60" spans="1:13" x14ac:dyDescent="0.3">
      <c r="A60">
        <v>34</v>
      </c>
      <c r="B60" t="s">
        <v>12</v>
      </c>
      <c r="C60" s="1">
        <v>9</v>
      </c>
      <c r="D60" t="s">
        <v>13</v>
      </c>
      <c r="E60" t="s">
        <v>20</v>
      </c>
      <c r="F60" t="s">
        <v>27</v>
      </c>
      <c r="G60" t="s">
        <v>29</v>
      </c>
      <c r="H60" t="s">
        <v>24</v>
      </c>
      <c r="I60" s="3">
        <v>19197</v>
      </c>
      <c r="J60" s="3" t="str">
        <f t="shared" si="0"/>
        <v>High</v>
      </c>
      <c r="K60" t="b">
        <v>1</v>
      </c>
      <c r="L60" t="b">
        <v>0</v>
      </c>
      <c r="M60" t="b">
        <v>0</v>
      </c>
    </row>
    <row r="61" spans="1:13" x14ac:dyDescent="0.3">
      <c r="A61">
        <v>53</v>
      </c>
      <c r="B61" t="s">
        <v>12</v>
      </c>
      <c r="C61" s="1">
        <v>5</v>
      </c>
      <c r="D61" t="s">
        <v>19</v>
      </c>
      <c r="E61" t="s">
        <v>14</v>
      </c>
      <c r="F61" t="s">
        <v>27</v>
      </c>
      <c r="G61" t="s">
        <v>23</v>
      </c>
      <c r="H61" t="s">
        <v>17</v>
      </c>
      <c r="I61" s="3">
        <v>15820</v>
      </c>
      <c r="J61" s="3" t="str">
        <f t="shared" si="0"/>
        <v>High</v>
      </c>
      <c r="K61" t="b">
        <v>0</v>
      </c>
      <c r="L61" t="b">
        <v>1</v>
      </c>
      <c r="M61" t="b">
        <v>1</v>
      </c>
    </row>
    <row r="62" spans="1:13" x14ac:dyDescent="0.3">
      <c r="A62">
        <v>57</v>
      </c>
      <c r="B62" t="s">
        <v>12</v>
      </c>
      <c r="C62" s="1">
        <v>4</v>
      </c>
      <c r="D62" t="s">
        <v>13</v>
      </c>
      <c r="E62" t="s">
        <v>20</v>
      </c>
      <c r="F62" t="s">
        <v>15</v>
      </c>
      <c r="G62" t="s">
        <v>16</v>
      </c>
      <c r="H62" t="s">
        <v>17</v>
      </c>
      <c r="I62" s="3">
        <v>13052</v>
      </c>
      <c r="J62" s="3" t="str">
        <f t="shared" si="0"/>
        <v>Medium</v>
      </c>
      <c r="K62" t="b">
        <v>1</v>
      </c>
      <c r="L62" t="b">
        <v>0</v>
      </c>
      <c r="M62" t="b">
        <v>0</v>
      </c>
    </row>
    <row r="63" spans="1:13" x14ac:dyDescent="0.3">
      <c r="A63">
        <v>21</v>
      </c>
      <c r="B63" t="s">
        <v>25</v>
      </c>
      <c r="C63" s="1">
        <v>1</v>
      </c>
      <c r="D63" t="s">
        <v>28</v>
      </c>
      <c r="E63" t="s">
        <v>14</v>
      </c>
      <c r="F63" t="s">
        <v>15</v>
      </c>
      <c r="G63" t="s">
        <v>23</v>
      </c>
      <c r="H63" t="s">
        <v>24</v>
      </c>
      <c r="I63" s="3">
        <v>17397</v>
      </c>
      <c r="J63" s="3" t="str">
        <f t="shared" si="0"/>
        <v>High</v>
      </c>
      <c r="K63" t="b">
        <v>0</v>
      </c>
      <c r="L63" t="b">
        <v>0</v>
      </c>
      <c r="M63" t="b">
        <v>0</v>
      </c>
    </row>
    <row r="64" spans="1:13" x14ac:dyDescent="0.3">
      <c r="A64">
        <v>19</v>
      </c>
      <c r="B64" t="s">
        <v>25</v>
      </c>
      <c r="C64" s="1">
        <v>7</v>
      </c>
      <c r="D64" t="s">
        <v>19</v>
      </c>
      <c r="E64" t="s">
        <v>14</v>
      </c>
      <c r="F64" t="s">
        <v>22</v>
      </c>
      <c r="G64" t="s">
        <v>16</v>
      </c>
      <c r="H64" t="s">
        <v>17</v>
      </c>
      <c r="I64" s="3">
        <v>12302</v>
      </c>
      <c r="J64" s="3" t="str">
        <f t="shared" si="0"/>
        <v>Medium</v>
      </c>
      <c r="K64" t="b">
        <v>0</v>
      </c>
      <c r="L64" t="b">
        <v>1</v>
      </c>
      <c r="M64" t="b">
        <v>1</v>
      </c>
    </row>
    <row r="65" spans="1:13" x14ac:dyDescent="0.3">
      <c r="A65">
        <v>23</v>
      </c>
      <c r="B65" t="s">
        <v>18</v>
      </c>
      <c r="C65" s="1">
        <v>3</v>
      </c>
      <c r="D65" t="s">
        <v>13</v>
      </c>
      <c r="E65" t="s">
        <v>26</v>
      </c>
      <c r="F65" t="s">
        <v>15</v>
      </c>
      <c r="G65" t="s">
        <v>16</v>
      </c>
      <c r="H65" t="s">
        <v>17</v>
      </c>
      <c r="I65" s="3">
        <v>12283</v>
      </c>
      <c r="J65" s="3" t="str">
        <f t="shared" si="0"/>
        <v>Medium</v>
      </c>
      <c r="K65" t="b">
        <v>0</v>
      </c>
      <c r="L65" t="b">
        <v>0</v>
      </c>
      <c r="M65" t="b">
        <v>1</v>
      </c>
    </row>
    <row r="66" spans="1:13" x14ac:dyDescent="0.3">
      <c r="A66">
        <v>59</v>
      </c>
      <c r="B66" t="s">
        <v>18</v>
      </c>
      <c r="C66" s="1">
        <v>6</v>
      </c>
      <c r="D66" t="s">
        <v>13</v>
      </c>
      <c r="E66" t="s">
        <v>26</v>
      </c>
      <c r="F66" t="s">
        <v>22</v>
      </c>
      <c r="G66" t="s">
        <v>23</v>
      </c>
      <c r="H66" t="s">
        <v>21</v>
      </c>
      <c r="I66" s="3">
        <v>19799</v>
      </c>
      <c r="J66" s="3" t="str">
        <f t="shared" si="0"/>
        <v>High</v>
      </c>
      <c r="K66" t="b">
        <v>0</v>
      </c>
      <c r="L66" t="b">
        <v>1</v>
      </c>
      <c r="M66" t="b">
        <v>0</v>
      </c>
    </row>
    <row r="67" spans="1:13" x14ac:dyDescent="0.3">
      <c r="A67">
        <v>21</v>
      </c>
      <c r="B67" t="s">
        <v>12</v>
      </c>
      <c r="C67" s="1">
        <v>5</v>
      </c>
      <c r="D67" t="s">
        <v>28</v>
      </c>
      <c r="E67" t="s">
        <v>26</v>
      </c>
      <c r="F67" t="s">
        <v>27</v>
      </c>
      <c r="G67" t="s">
        <v>23</v>
      </c>
      <c r="H67" t="s">
        <v>24</v>
      </c>
      <c r="I67" s="3">
        <v>14366</v>
      </c>
      <c r="J67" s="3" t="str">
        <f t="shared" ref="J67:J130" si="1">IF(I67&gt;16000, "High", IF(I67&gt;=12000, IF(I67&lt;=15000, "Medium", "High"), "Low"))</f>
        <v>Medium</v>
      </c>
      <c r="K67" t="b">
        <v>0</v>
      </c>
      <c r="L67" t="b">
        <v>0</v>
      </c>
      <c r="M67" t="b">
        <v>1</v>
      </c>
    </row>
    <row r="68" spans="1:13" x14ac:dyDescent="0.3">
      <c r="A68">
        <v>46</v>
      </c>
      <c r="B68" t="s">
        <v>25</v>
      </c>
      <c r="C68" s="1">
        <v>5</v>
      </c>
      <c r="D68" t="s">
        <v>28</v>
      </c>
      <c r="E68" t="s">
        <v>20</v>
      </c>
      <c r="F68" t="s">
        <v>27</v>
      </c>
      <c r="G68" t="s">
        <v>16</v>
      </c>
      <c r="H68" t="s">
        <v>21</v>
      </c>
      <c r="I68" s="3">
        <v>10122</v>
      </c>
      <c r="J68" s="3" t="str">
        <f t="shared" si="1"/>
        <v>Low</v>
      </c>
      <c r="K68" t="b">
        <v>1</v>
      </c>
      <c r="L68" t="b">
        <v>0</v>
      </c>
      <c r="M68" t="b">
        <v>1</v>
      </c>
    </row>
    <row r="69" spans="1:13" x14ac:dyDescent="0.3">
      <c r="A69">
        <v>35</v>
      </c>
      <c r="B69" t="s">
        <v>25</v>
      </c>
      <c r="C69" s="1">
        <v>5</v>
      </c>
      <c r="D69" t="s">
        <v>28</v>
      </c>
      <c r="E69" t="s">
        <v>20</v>
      </c>
      <c r="F69" t="s">
        <v>22</v>
      </c>
      <c r="G69" t="s">
        <v>29</v>
      </c>
      <c r="H69" t="s">
        <v>21</v>
      </c>
      <c r="I69" s="3">
        <v>16799</v>
      </c>
      <c r="J69" s="3" t="str">
        <f t="shared" si="1"/>
        <v>High</v>
      </c>
      <c r="K69" t="b">
        <v>0</v>
      </c>
      <c r="L69" t="b">
        <v>0</v>
      </c>
      <c r="M69" t="b">
        <v>1</v>
      </c>
    </row>
    <row r="70" spans="1:13" x14ac:dyDescent="0.3">
      <c r="A70">
        <v>43</v>
      </c>
      <c r="B70" t="s">
        <v>25</v>
      </c>
      <c r="C70" s="1">
        <v>1</v>
      </c>
      <c r="D70" t="s">
        <v>19</v>
      </c>
      <c r="E70" t="s">
        <v>26</v>
      </c>
      <c r="F70" t="s">
        <v>15</v>
      </c>
      <c r="G70" t="s">
        <v>16</v>
      </c>
      <c r="H70" t="s">
        <v>21</v>
      </c>
      <c r="I70" s="3">
        <v>19472</v>
      </c>
      <c r="J70" s="3" t="str">
        <f t="shared" si="1"/>
        <v>High</v>
      </c>
      <c r="K70" t="b">
        <v>0</v>
      </c>
      <c r="L70" t="b">
        <v>0</v>
      </c>
      <c r="M70" t="b">
        <v>0</v>
      </c>
    </row>
    <row r="71" spans="1:13" x14ac:dyDescent="0.3">
      <c r="A71">
        <v>61</v>
      </c>
      <c r="B71" t="s">
        <v>18</v>
      </c>
      <c r="C71" s="1">
        <v>1</v>
      </c>
      <c r="D71" t="s">
        <v>13</v>
      </c>
      <c r="E71" t="s">
        <v>20</v>
      </c>
      <c r="F71" t="s">
        <v>22</v>
      </c>
      <c r="G71" t="s">
        <v>23</v>
      </c>
      <c r="H71" t="s">
        <v>17</v>
      </c>
      <c r="I71" s="3">
        <v>13727</v>
      </c>
      <c r="J71" s="3" t="str">
        <f t="shared" si="1"/>
        <v>Medium</v>
      </c>
      <c r="K71" t="b">
        <v>1</v>
      </c>
      <c r="L71" t="b">
        <v>0</v>
      </c>
      <c r="M71" t="b">
        <v>0</v>
      </c>
    </row>
    <row r="72" spans="1:13" x14ac:dyDescent="0.3">
      <c r="A72">
        <v>51</v>
      </c>
      <c r="B72" t="s">
        <v>18</v>
      </c>
      <c r="C72" s="1">
        <v>3</v>
      </c>
      <c r="D72" t="s">
        <v>28</v>
      </c>
      <c r="E72" t="s">
        <v>26</v>
      </c>
      <c r="F72" t="s">
        <v>15</v>
      </c>
      <c r="G72" t="s">
        <v>23</v>
      </c>
      <c r="H72" t="s">
        <v>17</v>
      </c>
      <c r="I72" s="3">
        <v>18450</v>
      </c>
      <c r="J72" s="3" t="str">
        <f t="shared" si="1"/>
        <v>High</v>
      </c>
      <c r="K72" t="b">
        <v>0</v>
      </c>
      <c r="L72" t="b">
        <v>0</v>
      </c>
      <c r="M72" t="b">
        <v>1</v>
      </c>
    </row>
    <row r="73" spans="1:13" x14ac:dyDescent="0.3">
      <c r="A73">
        <v>27</v>
      </c>
      <c r="B73" t="s">
        <v>25</v>
      </c>
      <c r="C73" s="1">
        <v>4</v>
      </c>
      <c r="D73" t="s">
        <v>19</v>
      </c>
      <c r="E73" t="s">
        <v>20</v>
      </c>
      <c r="F73" t="s">
        <v>27</v>
      </c>
      <c r="G73" t="s">
        <v>29</v>
      </c>
      <c r="H73" t="s">
        <v>21</v>
      </c>
      <c r="I73" s="3">
        <v>19139</v>
      </c>
      <c r="J73" s="3" t="str">
        <f t="shared" si="1"/>
        <v>High</v>
      </c>
      <c r="K73" t="b">
        <v>0</v>
      </c>
      <c r="L73" t="b">
        <v>0</v>
      </c>
      <c r="M73" t="b">
        <v>1</v>
      </c>
    </row>
    <row r="74" spans="1:13" x14ac:dyDescent="0.3">
      <c r="A74">
        <v>53</v>
      </c>
      <c r="B74" t="s">
        <v>25</v>
      </c>
      <c r="C74" s="1">
        <v>5</v>
      </c>
      <c r="D74" t="s">
        <v>19</v>
      </c>
      <c r="E74" t="s">
        <v>14</v>
      </c>
      <c r="F74" t="s">
        <v>15</v>
      </c>
      <c r="G74" t="s">
        <v>16</v>
      </c>
      <c r="H74" t="s">
        <v>21</v>
      </c>
      <c r="I74" s="3">
        <v>14958</v>
      </c>
      <c r="J74" s="3" t="str">
        <f t="shared" si="1"/>
        <v>Medium</v>
      </c>
      <c r="K74" t="b">
        <v>1</v>
      </c>
      <c r="L74" t="b">
        <v>1</v>
      </c>
      <c r="M74" t="b">
        <v>1</v>
      </c>
    </row>
    <row r="75" spans="1:13" x14ac:dyDescent="0.3">
      <c r="A75">
        <v>31</v>
      </c>
      <c r="B75" t="s">
        <v>25</v>
      </c>
      <c r="C75" s="1">
        <v>2</v>
      </c>
      <c r="D75" t="s">
        <v>19</v>
      </c>
      <c r="E75" t="s">
        <v>14</v>
      </c>
      <c r="F75" t="s">
        <v>22</v>
      </c>
      <c r="G75" t="s">
        <v>16</v>
      </c>
      <c r="H75" t="s">
        <v>21</v>
      </c>
      <c r="I75" s="3">
        <v>10524</v>
      </c>
      <c r="J75" s="3" t="str">
        <f t="shared" si="1"/>
        <v>Low</v>
      </c>
      <c r="K75" t="b">
        <v>1</v>
      </c>
      <c r="L75" t="b">
        <v>1</v>
      </c>
      <c r="M75" t="b">
        <v>0</v>
      </c>
    </row>
    <row r="76" spans="1:13" x14ac:dyDescent="0.3">
      <c r="A76">
        <v>48</v>
      </c>
      <c r="B76" t="s">
        <v>18</v>
      </c>
      <c r="C76" s="1">
        <v>8</v>
      </c>
      <c r="D76" t="s">
        <v>28</v>
      </c>
      <c r="E76" t="s">
        <v>26</v>
      </c>
      <c r="F76" t="s">
        <v>22</v>
      </c>
      <c r="G76" t="s">
        <v>16</v>
      </c>
      <c r="H76" t="s">
        <v>17</v>
      </c>
      <c r="I76" s="3">
        <v>19079</v>
      </c>
      <c r="J76" s="3" t="str">
        <f t="shared" si="1"/>
        <v>High</v>
      </c>
      <c r="K76" t="b">
        <v>0</v>
      </c>
      <c r="L76" t="b">
        <v>1</v>
      </c>
      <c r="M76" t="b">
        <v>1</v>
      </c>
    </row>
    <row r="77" spans="1:13" x14ac:dyDescent="0.3">
      <c r="A77">
        <v>32</v>
      </c>
      <c r="B77" t="s">
        <v>25</v>
      </c>
      <c r="C77" s="1">
        <v>2</v>
      </c>
      <c r="D77" t="s">
        <v>28</v>
      </c>
      <c r="E77" t="s">
        <v>20</v>
      </c>
      <c r="F77" t="s">
        <v>27</v>
      </c>
      <c r="G77" t="s">
        <v>23</v>
      </c>
      <c r="H77" t="s">
        <v>21</v>
      </c>
      <c r="I77" s="3">
        <v>18399</v>
      </c>
      <c r="J77" s="3" t="str">
        <f t="shared" si="1"/>
        <v>High</v>
      </c>
      <c r="K77" t="b">
        <v>1</v>
      </c>
      <c r="L77" t="b">
        <v>1</v>
      </c>
      <c r="M77" t="b">
        <v>1</v>
      </c>
    </row>
    <row r="78" spans="1:13" x14ac:dyDescent="0.3">
      <c r="A78">
        <v>25</v>
      </c>
      <c r="B78" t="s">
        <v>25</v>
      </c>
      <c r="C78" s="1">
        <v>9</v>
      </c>
      <c r="D78" t="s">
        <v>13</v>
      </c>
      <c r="E78" t="s">
        <v>20</v>
      </c>
      <c r="F78" t="s">
        <v>15</v>
      </c>
      <c r="G78" t="s">
        <v>16</v>
      </c>
      <c r="H78" t="s">
        <v>21</v>
      </c>
      <c r="I78" s="3">
        <v>10148</v>
      </c>
      <c r="J78" s="3" t="str">
        <f t="shared" si="1"/>
        <v>Low</v>
      </c>
      <c r="K78" t="b">
        <v>0</v>
      </c>
      <c r="L78" t="b">
        <v>0</v>
      </c>
      <c r="M78" t="b">
        <v>0</v>
      </c>
    </row>
    <row r="79" spans="1:13" x14ac:dyDescent="0.3">
      <c r="A79">
        <v>31</v>
      </c>
      <c r="B79" t="s">
        <v>12</v>
      </c>
      <c r="C79" s="1">
        <v>2</v>
      </c>
      <c r="D79" t="s">
        <v>13</v>
      </c>
      <c r="E79" t="s">
        <v>14</v>
      </c>
      <c r="F79" t="s">
        <v>15</v>
      </c>
      <c r="G79" t="s">
        <v>29</v>
      </c>
      <c r="H79" t="s">
        <v>24</v>
      </c>
      <c r="I79" s="3">
        <v>18001</v>
      </c>
      <c r="J79" s="3" t="str">
        <f t="shared" si="1"/>
        <v>High</v>
      </c>
      <c r="K79" t="b">
        <v>1</v>
      </c>
      <c r="L79" t="b">
        <v>0</v>
      </c>
      <c r="M79" t="b">
        <v>1</v>
      </c>
    </row>
    <row r="80" spans="1:13" x14ac:dyDescent="0.3">
      <c r="A80">
        <v>40</v>
      </c>
      <c r="B80" t="s">
        <v>12</v>
      </c>
      <c r="C80" s="1">
        <v>9</v>
      </c>
      <c r="D80" t="s">
        <v>28</v>
      </c>
      <c r="E80" t="s">
        <v>14</v>
      </c>
      <c r="F80" t="s">
        <v>15</v>
      </c>
      <c r="G80" t="s">
        <v>23</v>
      </c>
      <c r="H80" t="s">
        <v>24</v>
      </c>
      <c r="I80" s="3">
        <v>10437</v>
      </c>
      <c r="J80" s="3" t="str">
        <f t="shared" si="1"/>
        <v>Low</v>
      </c>
      <c r="K80" t="b">
        <v>0</v>
      </c>
      <c r="L80" t="b">
        <v>0</v>
      </c>
      <c r="M80" t="b">
        <v>0</v>
      </c>
    </row>
    <row r="81" spans="1:13" x14ac:dyDescent="0.3">
      <c r="A81">
        <v>57</v>
      </c>
      <c r="B81" t="s">
        <v>18</v>
      </c>
      <c r="C81" s="1">
        <v>7</v>
      </c>
      <c r="D81" t="s">
        <v>19</v>
      </c>
      <c r="E81" t="s">
        <v>26</v>
      </c>
      <c r="F81" t="s">
        <v>27</v>
      </c>
      <c r="G81" t="s">
        <v>23</v>
      </c>
      <c r="H81" t="s">
        <v>17</v>
      </c>
      <c r="I81" s="3">
        <v>13749</v>
      </c>
      <c r="J81" s="3" t="str">
        <f t="shared" si="1"/>
        <v>Medium</v>
      </c>
      <c r="K81" t="b">
        <v>0</v>
      </c>
      <c r="L81" t="b">
        <v>1</v>
      </c>
      <c r="M81" t="b">
        <v>0</v>
      </c>
    </row>
    <row r="82" spans="1:13" x14ac:dyDescent="0.3">
      <c r="A82">
        <v>38</v>
      </c>
      <c r="B82" t="s">
        <v>25</v>
      </c>
      <c r="C82" s="1">
        <v>8</v>
      </c>
      <c r="D82" t="s">
        <v>19</v>
      </c>
      <c r="E82" t="s">
        <v>14</v>
      </c>
      <c r="F82" t="s">
        <v>15</v>
      </c>
      <c r="G82" t="s">
        <v>16</v>
      </c>
      <c r="H82" t="s">
        <v>24</v>
      </c>
      <c r="I82" s="3">
        <v>18186</v>
      </c>
      <c r="J82" s="3" t="str">
        <f t="shared" si="1"/>
        <v>High</v>
      </c>
      <c r="K82" t="b">
        <v>0</v>
      </c>
      <c r="L82" t="b">
        <v>1</v>
      </c>
      <c r="M82" t="b">
        <v>0</v>
      </c>
    </row>
    <row r="83" spans="1:13" x14ac:dyDescent="0.3">
      <c r="A83">
        <v>33</v>
      </c>
      <c r="B83" t="s">
        <v>25</v>
      </c>
      <c r="C83" s="1">
        <v>2</v>
      </c>
      <c r="D83" t="s">
        <v>19</v>
      </c>
      <c r="E83" t="s">
        <v>26</v>
      </c>
      <c r="F83" t="s">
        <v>22</v>
      </c>
      <c r="G83" t="s">
        <v>29</v>
      </c>
      <c r="H83" t="s">
        <v>24</v>
      </c>
      <c r="I83" s="3">
        <v>14453</v>
      </c>
      <c r="J83" s="3" t="str">
        <f t="shared" si="1"/>
        <v>Medium</v>
      </c>
      <c r="K83" t="b">
        <v>1</v>
      </c>
      <c r="L83" t="b">
        <v>1</v>
      </c>
      <c r="M83" t="b">
        <v>1</v>
      </c>
    </row>
    <row r="84" spans="1:13" x14ac:dyDescent="0.3">
      <c r="A84">
        <v>62</v>
      </c>
      <c r="B84" t="s">
        <v>12</v>
      </c>
      <c r="C84" s="1">
        <v>7</v>
      </c>
      <c r="D84" t="s">
        <v>13</v>
      </c>
      <c r="E84" t="s">
        <v>14</v>
      </c>
      <c r="F84" t="s">
        <v>15</v>
      </c>
      <c r="G84" t="s">
        <v>23</v>
      </c>
      <c r="H84" t="s">
        <v>24</v>
      </c>
      <c r="I84" s="3">
        <v>15336</v>
      </c>
      <c r="J84" s="3" t="str">
        <f t="shared" si="1"/>
        <v>High</v>
      </c>
      <c r="K84" t="b">
        <v>0</v>
      </c>
      <c r="L84" t="b">
        <v>0</v>
      </c>
      <c r="M84" t="b">
        <v>1</v>
      </c>
    </row>
    <row r="85" spans="1:13" x14ac:dyDescent="0.3">
      <c r="A85">
        <v>35</v>
      </c>
      <c r="B85" t="s">
        <v>18</v>
      </c>
      <c r="C85" s="1">
        <v>6</v>
      </c>
      <c r="D85" t="s">
        <v>19</v>
      </c>
      <c r="E85" t="s">
        <v>14</v>
      </c>
      <c r="F85" t="s">
        <v>27</v>
      </c>
      <c r="G85" t="s">
        <v>23</v>
      </c>
      <c r="H85" t="s">
        <v>17</v>
      </c>
      <c r="I85" s="3">
        <v>14551</v>
      </c>
      <c r="J85" s="3" t="str">
        <f t="shared" si="1"/>
        <v>Medium</v>
      </c>
      <c r="K85" t="b">
        <v>1</v>
      </c>
      <c r="L85" t="b">
        <v>1</v>
      </c>
      <c r="M85" t="b">
        <v>0</v>
      </c>
    </row>
    <row r="86" spans="1:13" x14ac:dyDescent="0.3">
      <c r="A86">
        <v>64</v>
      </c>
      <c r="B86" t="s">
        <v>12</v>
      </c>
      <c r="C86" s="1">
        <v>4</v>
      </c>
      <c r="D86" t="s">
        <v>13</v>
      </c>
      <c r="E86" t="s">
        <v>20</v>
      </c>
      <c r="F86" t="s">
        <v>15</v>
      </c>
      <c r="G86" t="s">
        <v>16</v>
      </c>
      <c r="H86" t="s">
        <v>24</v>
      </c>
      <c r="I86" s="3">
        <v>12823</v>
      </c>
      <c r="J86" s="3" t="str">
        <f t="shared" si="1"/>
        <v>Medium</v>
      </c>
      <c r="K86" t="b">
        <v>0</v>
      </c>
      <c r="L86" t="b">
        <v>0</v>
      </c>
      <c r="M86" t="b">
        <v>1</v>
      </c>
    </row>
    <row r="87" spans="1:13" x14ac:dyDescent="0.3">
      <c r="A87">
        <v>41</v>
      </c>
      <c r="B87" t="s">
        <v>12</v>
      </c>
      <c r="C87" s="1">
        <v>7</v>
      </c>
      <c r="D87" t="s">
        <v>13</v>
      </c>
      <c r="E87" t="s">
        <v>14</v>
      </c>
      <c r="F87" t="s">
        <v>15</v>
      </c>
      <c r="G87" t="s">
        <v>16</v>
      </c>
      <c r="H87" t="s">
        <v>17</v>
      </c>
      <c r="I87" s="3">
        <v>15728</v>
      </c>
      <c r="J87" s="3" t="str">
        <f t="shared" si="1"/>
        <v>High</v>
      </c>
      <c r="K87" t="b">
        <v>0</v>
      </c>
      <c r="L87" t="b">
        <v>1</v>
      </c>
      <c r="M87" t="b">
        <v>0</v>
      </c>
    </row>
    <row r="88" spans="1:13" x14ac:dyDescent="0.3">
      <c r="A88">
        <v>43</v>
      </c>
      <c r="B88" t="s">
        <v>12</v>
      </c>
      <c r="C88" s="1">
        <v>4</v>
      </c>
      <c r="D88" t="s">
        <v>19</v>
      </c>
      <c r="E88" t="s">
        <v>14</v>
      </c>
      <c r="F88" t="s">
        <v>22</v>
      </c>
      <c r="G88" t="s">
        <v>29</v>
      </c>
      <c r="H88" t="s">
        <v>21</v>
      </c>
      <c r="I88" s="3">
        <v>18677</v>
      </c>
      <c r="J88" s="3" t="str">
        <f t="shared" si="1"/>
        <v>High</v>
      </c>
      <c r="K88" t="b">
        <v>0</v>
      </c>
      <c r="L88" t="b">
        <v>0</v>
      </c>
      <c r="M88" t="b">
        <v>1</v>
      </c>
    </row>
    <row r="89" spans="1:13" x14ac:dyDescent="0.3">
      <c r="A89">
        <v>42</v>
      </c>
      <c r="B89" t="s">
        <v>12</v>
      </c>
      <c r="C89" s="1">
        <v>2</v>
      </c>
      <c r="D89" t="s">
        <v>19</v>
      </c>
      <c r="E89" t="s">
        <v>26</v>
      </c>
      <c r="F89" t="s">
        <v>15</v>
      </c>
      <c r="G89" t="s">
        <v>16</v>
      </c>
      <c r="H89" t="s">
        <v>24</v>
      </c>
      <c r="I89" s="3">
        <v>18391</v>
      </c>
      <c r="J89" s="3" t="str">
        <f t="shared" si="1"/>
        <v>High</v>
      </c>
      <c r="K89" t="b">
        <v>0</v>
      </c>
      <c r="L89" t="b">
        <v>1</v>
      </c>
      <c r="M89" t="b">
        <v>0</v>
      </c>
    </row>
    <row r="90" spans="1:13" x14ac:dyDescent="0.3">
      <c r="A90">
        <v>62</v>
      </c>
      <c r="B90" t="s">
        <v>25</v>
      </c>
      <c r="C90" s="1">
        <v>7</v>
      </c>
      <c r="D90" t="s">
        <v>28</v>
      </c>
      <c r="E90" t="s">
        <v>14</v>
      </c>
      <c r="F90" t="s">
        <v>22</v>
      </c>
      <c r="G90" t="s">
        <v>29</v>
      </c>
      <c r="H90" t="s">
        <v>17</v>
      </c>
      <c r="I90" s="3">
        <v>11982</v>
      </c>
      <c r="J90" s="3" t="str">
        <f t="shared" si="1"/>
        <v>Low</v>
      </c>
      <c r="K90" t="b">
        <v>0</v>
      </c>
      <c r="L90" t="b">
        <v>0</v>
      </c>
      <c r="M90" t="b">
        <v>0</v>
      </c>
    </row>
    <row r="91" spans="1:13" x14ac:dyDescent="0.3">
      <c r="A91">
        <v>58</v>
      </c>
      <c r="B91" t="s">
        <v>25</v>
      </c>
      <c r="C91" s="1">
        <v>8</v>
      </c>
      <c r="D91" t="s">
        <v>28</v>
      </c>
      <c r="E91" t="s">
        <v>26</v>
      </c>
      <c r="F91" t="s">
        <v>22</v>
      </c>
      <c r="G91" t="s">
        <v>23</v>
      </c>
      <c r="H91" t="s">
        <v>24</v>
      </c>
      <c r="I91" s="3">
        <v>16996</v>
      </c>
      <c r="J91" s="3" t="str">
        <f t="shared" si="1"/>
        <v>High</v>
      </c>
      <c r="K91" t="b">
        <v>1</v>
      </c>
      <c r="L91" t="b">
        <v>1</v>
      </c>
      <c r="M91" t="b">
        <v>1</v>
      </c>
    </row>
    <row r="92" spans="1:13" x14ac:dyDescent="0.3">
      <c r="A92">
        <v>46</v>
      </c>
      <c r="B92" t="s">
        <v>12</v>
      </c>
      <c r="C92" s="1">
        <v>2</v>
      </c>
      <c r="D92" t="s">
        <v>19</v>
      </c>
      <c r="E92" t="s">
        <v>14</v>
      </c>
      <c r="F92" t="s">
        <v>27</v>
      </c>
      <c r="G92" t="s">
        <v>29</v>
      </c>
      <c r="H92" t="s">
        <v>21</v>
      </c>
      <c r="I92" s="3">
        <v>19663</v>
      </c>
      <c r="J92" s="3" t="str">
        <f t="shared" si="1"/>
        <v>High</v>
      </c>
      <c r="K92" t="b">
        <v>1</v>
      </c>
      <c r="L92" t="b">
        <v>1</v>
      </c>
      <c r="M92" t="b">
        <v>1</v>
      </c>
    </row>
    <row r="93" spans="1:13" x14ac:dyDescent="0.3">
      <c r="A93">
        <v>32</v>
      </c>
      <c r="B93" t="s">
        <v>18</v>
      </c>
      <c r="C93" s="1">
        <v>5</v>
      </c>
      <c r="D93" t="s">
        <v>13</v>
      </c>
      <c r="E93" t="s">
        <v>14</v>
      </c>
      <c r="F93" t="s">
        <v>22</v>
      </c>
      <c r="G93" t="s">
        <v>29</v>
      </c>
      <c r="H93" t="s">
        <v>17</v>
      </c>
      <c r="I93" s="3">
        <v>12311</v>
      </c>
      <c r="J93" s="3" t="str">
        <f t="shared" si="1"/>
        <v>Medium</v>
      </c>
      <c r="K93" t="b">
        <v>1</v>
      </c>
      <c r="L93" t="b">
        <v>0</v>
      </c>
      <c r="M93" t="b">
        <v>1</v>
      </c>
    </row>
    <row r="94" spans="1:13" x14ac:dyDescent="0.3">
      <c r="A94">
        <v>62</v>
      </c>
      <c r="B94" t="s">
        <v>18</v>
      </c>
      <c r="C94" s="1">
        <v>1</v>
      </c>
      <c r="D94" t="s">
        <v>13</v>
      </c>
      <c r="E94" t="s">
        <v>26</v>
      </c>
      <c r="F94" t="s">
        <v>22</v>
      </c>
      <c r="G94" t="s">
        <v>29</v>
      </c>
      <c r="H94" t="s">
        <v>17</v>
      </c>
      <c r="I94" s="3">
        <v>17225</v>
      </c>
      <c r="J94" s="3" t="str">
        <f t="shared" si="1"/>
        <v>High</v>
      </c>
      <c r="K94" t="b">
        <v>0</v>
      </c>
      <c r="L94" t="b">
        <v>0</v>
      </c>
      <c r="M94" t="b">
        <v>1</v>
      </c>
    </row>
    <row r="95" spans="1:13" x14ac:dyDescent="0.3">
      <c r="A95">
        <v>18</v>
      </c>
      <c r="B95" t="s">
        <v>18</v>
      </c>
      <c r="C95" s="1">
        <v>7</v>
      </c>
      <c r="D95" t="s">
        <v>13</v>
      </c>
      <c r="E95" t="s">
        <v>20</v>
      </c>
      <c r="F95" t="s">
        <v>27</v>
      </c>
      <c r="G95" t="s">
        <v>23</v>
      </c>
      <c r="H95" t="s">
        <v>17</v>
      </c>
      <c r="I95" s="3">
        <v>19713</v>
      </c>
      <c r="J95" s="3" t="str">
        <f t="shared" si="1"/>
        <v>High</v>
      </c>
      <c r="K95" t="b">
        <v>0</v>
      </c>
      <c r="L95" t="b">
        <v>1</v>
      </c>
      <c r="M95" t="b">
        <v>0</v>
      </c>
    </row>
    <row r="96" spans="1:13" x14ac:dyDescent="0.3">
      <c r="A96">
        <v>42</v>
      </c>
      <c r="B96" t="s">
        <v>18</v>
      </c>
      <c r="C96" s="1">
        <v>8</v>
      </c>
      <c r="D96" t="s">
        <v>13</v>
      </c>
      <c r="E96" t="s">
        <v>26</v>
      </c>
      <c r="F96" t="s">
        <v>22</v>
      </c>
      <c r="G96" t="s">
        <v>16</v>
      </c>
      <c r="H96" t="s">
        <v>21</v>
      </c>
      <c r="I96" s="3">
        <v>10604</v>
      </c>
      <c r="J96" s="3" t="str">
        <f t="shared" si="1"/>
        <v>Low</v>
      </c>
      <c r="K96" t="b">
        <v>1</v>
      </c>
      <c r="L96" t="b">
        <v>0</v>
      </c>
      <c r="M96" t="b">
        <v>0</v>
      </c>
    </row>
    <row r="97" spans="1:13" x14ac:dyDescent="0.3">
      <c r="A97">
        <v>24</v>
      </c>
      <c r="B97" t="s">
        <v>12</v>
      </c>
      <c r="C97" s="1">
        <v>6</v>
      </c>
      <c r="D97" t="s">
        <v>13</v>
      </c>
      <c r="E97" t="s">
        <v>26</v>
      </c>
      <c r="F97" t="s">
        <v>27</v>
      </c>
      <c r="G97" t="s">
        <v>23</v>
      </c>
      <c r="H97" t="s">
        <v>21</v>
      </c>
      <c r="I97" s="3">
        <v>18175</v>
      </c>
      <c r="J97" s="3" t="str">
        <f t="shared" si="1"/>
        <v>High</v>
      </c>
      <c r="K97" t="b">
        <v>0</v>
      </c>
      <c r="L97" t="b">
        <v>1</v>
      </c>
      <c r="M97" t="b">
        <v>1</v>
      </c>
    </row>
    <row r="98" spans="1:13" x14ac:dyDescent="0.3">
      <c r="A98">
        <v>26</v>
      </c>
      <c r="B98" t="s">
        <v>25</v>
      </c>
      <c r="C98" s="1">
        <v>5</v>
      </c>
      <c r="D98" t="s">
        <v>28</v>
      </c>
      <c r="E98" t="s">
        <v>26</v>
      </c>
      <c r="F98" t="s">
        <v>15</v>
      </c>
      <c r="G98" t="s">
        <v>16</v>
      </c>
      <c r="H98" t="s">
        <v>21</v>
      </c>
      <c r="I98" s="3">
        <v>15785</v>
      </c>
      <c r="J98" s="3" t="str">
        <f t="shared" si="1"/>
        <v>High</v>
      </c>
      <c r="K98" t="b">
        <v>0</v>
      </c>
      <c r="L98" t="b">
        <v>0</v>
      </c>
      <c r="M98" t="b">
        <v>1</v>
      </c>
    </row>
    <row r="99" spans="1:13" x14ac:dyDescent="0.3">
      <c r="A99">
        <v>41</v>
      </c>
      <c r="B99" t="s">
        <v>18</v>
      </c>
      <c r="C99" s="1">
        <v>6</v>
      </c>
      <c r="D99" t="s">
        <v>19</v>
      </c>
      <c r="E99" t="s">
        <v>20</v>
      </c>
      <c r="F99" t="s">
        <v>27</v>
      </c>
      <c r="G99" t="s">
        <v>29</v>
      </c>
      <c r="H99" t="s">
        <v>17</v>
      </c>
      <c r="I99" s="3">
        <v>19609</v>
      </c>
      <c r="J99" s="3" t="str">
        <f t="shared" si="1"/>
        <v>High</v>
      </c>
      <c r="K99" t="b">
        <v>0</v>
      </c>
      <c r="L99" t="b">
        <v>1</v>
      </c>
      <c r="M99" t="b">
        <v>0</v>
      </c>
    </row>
    <row r="100" spans="1:13" x14ac:dyDescent="0.3">
      <c r="A100">
        <v>18</v>
      </c>
      <c r="B100" t="s">
        <v>12</v>
      </c>
      <c r="C100" s="1">
        <v>2</v>
      </c>
      <c r="D100" t="s">
        <v>28</v>
      </c>
      <c r="E100" t="s">
        <v>14</v>
      </c>
      <c r="F100" t="s">
        <v>22</v>
      </c>
      <c r="G100" t="s">
        <v>29</v>
      </c>
      <c r="H100" t="s">
        <v>21</v>
      </c>
      <c r="I100" s="3">
        <v>14597</v>
      </c>
      <c r="J100" s="3" t="str">
        <f t="shared" si="1"/>
        <v>Medium</v>
      </c>
      <c r="K100" t="b">
        <v>1</v>
      </c>
      <c r="L100" t="b">
        <v>0</v>
      </c>
      <c r="M100" t="b">
        <v>1</v>
      </c>
    </row>
    <row r="101" spans="1:13" x14ac:dyDescent="0.3">
      <c r="A101">
        <v>61</v>
      </c>
      <c r="B101" t="s">
        <v>18</v>
      </c>
      <c r="C101" s="1">
        <v>1</v>
      </c>
      <c r="D101" t="s">
        <v>13</v>
      </c>
      <c r="E101" t="s">
        <v>26</v>
      </c>
      <c r="F101" t="s">
        <v>27</v>
      </c>
      <c r="G101" t="s">
        <v>29</v>
      </c>
      <c r="H101" t="s">
        <v>24</v>
      </c>
      <c r="I101" s="3">
        <v>17759</v>
      </c>
      <c r="J101" s="3" t="str">
        <f t="shared" si="1"/>
        <v>High</v>
      </c>
      <c r="K101" t="b">
        <v>1</v>
      </c>
      <c r="L101" t="b">
        <v>1</v>
      </c>
      <c r="M101" t="b">
        <v>1</v>
      </c>
    </row>
    <row r="102" spans="1:13" x14ac:dyDescent="0.3">
      <c r="A102">
        <v>25</v>
      </c>
      <c r="B102" t="s">
        <v>18</v>
      </c>
      <c r="C102" s="1">
        <v>7</v>
      </c>
      <c r="D102" t="s">
        <v>13</v>
      </c>
      <c r="E102" t="s">
        <v>26</v>
      </c>
      <c r="F102" t="s">
        <v>22</v>
      </c>
      <c r="G102" t="s">
        <v>29</v>
      </c>
      <c r="H102" t="s">
        <v>21</v>
      </c>
      <c r="I102" s="3">
        <v>17532</v>
      </c>
      <c r="J102" s="3" t="str">
        <f t="shared" si="1"/>
        <v>High</v>
      </c>
      <c r="K102" t="b">
        <v>1</v>
      </c>
      <c r="L102" t="b">
        <v>1</v>
      </c>
      <c r="M102" t="b">
        <v>1</v>
      </c>
    </row>
    <row r="103" spans="1:13" x14ac:dyDescent="0.3">
      <c r="A103">
        <v>41</v>
      </c>
      <c r="B103" t="s">
        <v>12</v>
      </c>
      <c r="C103" s="1">
        <v>7</v>
      </c>
      <c r="D103" t="s">
        <v>13</v>
      </c>
      <c r="E103" t="s">
        <v>20</v>
      </c>
      <c r="F103" t="s">
        <v>15</v>
      </c>
      <c r="G103" t="s">
        <v>29</v>
      </c>
      <c r="H103" t="s">
        <v>17</v>
      </c>
      <c r="I103" s="3">
        <v>18740</v>
      </c>
      <c r="J103" s="3" t="str">
        <f t="shared" si="1"/>
        <v>High</v>
      </c>
      <c r="K103" t="b">
        <v>1</v>
      </c>
      <c r="L103" t="b">
        <v>1</v>
      </c>
      <c r="M103" t="b">
        <v>1</v>
      </c>
    </row>
    <row r="104" spans="1:13" x14ac:dyDescent="0.3">
      <c r="A104">
        <v>28</v>
      </c>
      <c r="B104" t="s">
        <v>25</v>
      </c>
      <c r="C104" s="1">
        <v>2</v>
      </c>
      <c r="D104" t="s">
        <v>13</v>
      </c>
      <c r="E104" t="s">
        <v>26</v>
      </c>
      <c r="F104" t="s">
        <v>27</v>
      </c>
      <c r="G104" t="s">
        <v>16</v>
      </c>
      <c r="H104" t="s">
        <v>24</v>
      </c>
      <c r="I104" s="3">
        <v>10838</v>
      </c>
      <c r="J104" s="3" t="str">
        <f t="shared" si="1"/>
        <v>Low</v>
      </c>
      <c r="K104" t="b">
        <v>1</v>
      </c>
      <c r="L104" t="b">
        <v>0</v>
      </c>
      <c r="M104" t="b">
        <v>0</v>
      </c>
    </row>
    <row r="105" spans="1:13" x14ac:dyDescent="0.3">
      <c r="A105">
        <v>34</v>
      </c>
      <c r="B105" t="s">
        <v>25</v>
      </c>
      <c r="C105" s="1">
        <v>2</v>
      </c>
      <c r="D105" t="s">
        <v>19</v>
      </c>
      <c r="E105" t="s">
        <v>14</v>
      </c>
      <c r="F105" t="s">
        <v>15</v>
      </c>
      <c r="G105" t="s">
        <v>16</v>
      </c>
      <c r="H105" t="s">
        <v>21</v>
      </c>
      <c r="I105" s="3">
        <v>13815</v>
      </c>
      <c r="J105" s="3" t="str">
        <f t="shared" si="1"/>
        <v>Medium</v>
      </c>
      <c r="K105" t="b">
        <v>0</v>
      </c>
      <c r="L105" t="b">
        <v>1</v>
      </c>
      <c r="M105" t="b">
        <v>0</v>
      </c>
    </row>
    <row r="106" spans="1:13" x14ac:dyDescent="0.3">
      <c r="A106">
        <v>25</v>
      </c>
      <c r="B106" t="s">
        <v>12</v>
      </c>
      <c r="C106" s="1">
        <v>1</v>
      </c>
      <c r="D106" t="s">
        <v>13</v>
      </c>
      <c r="E106" t="s">
        <v>20</v>
      </c>
      <c r="F106" t="s">
        <v>22</v>
      </c>
      <c r="G106" t="s">
        <v>29</v>
      </c>
      <c r="H106" t="s">
        <v>24</v>
      </c>
      <c r="I106" s="3">
        <v>10847</v>
      </c>
      <c r="J106" s="3" t="str">
        <f t="shared" si="1"/>
        <v>Low</v>
      </c>
      <c r="K106" t="b">
        <v>0</v>
      </c>
      <c r="L106" t="b">
        <v>0</v>
      </c>
      <c r="M106" t="b">
        <v>1</v>
      </c>
    </row>
    <row r="107" spans="1:13" x14ac:dyDescent="0.3">
      <c r="A107">
        <v>52</v>
      </c>
      <c r="B107" t="s">
        <v>25</v>
      </c>
      <c r="C107" s="1">
        <v>8</v>
      </c>
      <c r="D107" t="s">
        <v>19</v>
      </c>
      <c r="E107" t="s">
        <v>14</v>
      </c>
      <c r="F107" t="s">
        <v>22</v>
      </c>
      <c r="G107" t="s">
        <v>23</v>
      </c>
      <c r="H107" t="s">
        <v>24</v>
      </c>
      <c r="I107" s="3">
        <v>14709</v>
      </c>
      <c r="J107" s="3" t="str">
        <f t="shared" si="1"/>
        <v>Medium</v>
      </c>
      <c r="K107" t="b">
        <v>0</v>
      </c>
      <c r="L107" t="b">
        <v>0</v>
      </c>
      <c r="M107" t="b">
        <v>0</v>
      </c>
    </row>
    <row r="108" spans="1:13" x14ac:dyDescent="0.3">
      <c r="A108">
        <v>52</v>
      </c>
      <c r="B108" t="s">
        <v>12</v>
      </c>
      <c r="C108" s="1">
        <v>8</v>
      </c>
      <c r="D108" t="s">
        <v>13</v>
      </c>
      <c r="E108" t="s">
        <v>14</v>
      </c>
      <c r="F108" t="s">
        <v>15</v>
      </c>
      <c r="G108" t="s">
        <v>23</v>
      </c>
      <c r="H108" t="s">
        <v>17</v>
      </c>
      <c r="I108" s="3">
        <v>14507</v>
      </c>
      <c r="J108" s="3" t="str">
        <f t="shared" si="1"/>
        <v>Medium</v>
      </c>
      <c r="K108" t="b">
        <v>0</v>
      </c>
      <c r="L108" t="b">
        <v>0</v>
      </c>
      <c r="M108" t="b">
        <v>1</v>
      </c>
    </row>
    <row r="109" spans="1:13" x14ac:dyDescent="0.3">
      <c r="A109">
        <v>50</v>
      </c>
      <c r="B109" t="s">
        <v>12</v>
      </c>
      <c r="C109" s="1">
        <v>1</v>
      </c>
      <c r="D109" t="s">
        <v>19</v>
      </c>
      <c r="E109" t="s">
        <v>20</v>
      </c>
      <c r="F109" t="s">
        <v>27</v>
      </c>
      <c r="G109" t="s">
        <v>29</v>
      </c>
      <c r="H109" t="s">
        <v>24</v>
      </c>
      <c r="I109" s="3">
        <v>16575</v>
      </c>
      <c r="J109" s="3" t="str">
        <f t="shared" si="1"/>
        <v>High</v>
      </c>
      <c r="K109" t="b">
        <v>1</v>
      </c>
      <c r="L109" t="b">
        <v>1</v>
      </c>
      <c r="M109" t="b">
        <v>1</v>
      </c>
    </row>
    <row r="110" spans="1:13" x14ac:dyDescent="0.3">
      <c r="A110">
        <v>22</v>
      </c>
      <c r="B110" t="s">
        <v>12</v>
      </c>
      <c r="C110" s="1">
        <v>8</v>
      </c>
      <c r="D110" t="s">
        <v>28</v>
      </c>
      <c r="E110" t="s">
        <v>26</v>
      </c>
      <c r="F110" t="s">
        <v>27</v>
      </c>
      <c r="G110" t="s">
        <v>16</v>
      </c>
      <c r="H110" t="s">
        <v>24</v>
      </c>
      <c r="I110" s="3">
        <v>14773</v>
      </c>
      <c r="J110" s="3" t="str">
        <f t="shared" si="1"/>
        <v>Medium</v>
      </c>
      <c r="K110" t="b">
        <v>1</v>
      </c>
      <c r="L110" t="b">
        <v>0</v>
      </c>
      <c r="M110" t="b">
        <v>1</v>
      </c>
    </row>
    <row r="111" spans="1:13" x14ac:dyDescent="0.3">
      <c r="A111">
        <v>59</v>
      </c>
      <c r="B111" t="s">
        <v>25</v>
      </c>
      <c r="C111" s="1">
        <v>9</v>
      </c>
      <c r="D111" t="s">
        <v>13</v>
      </c>
      <c r="E111" t="s">
        <v>14</v>
      </c>
      <c r="F111" t="s">
        <v>22</v>
      </c>
      <c r="G111" t="s">
        <v>23</v>
      </c>
      <c r="H111" t="s">
        <v>17</v>
      </c>
      <c r="I111" s="3">
        <v>14468</v>
      </c>
      <c r="J111" s="3" t="str">
        <f t="shared" si="1"/>
        <v>Medium</v>
      </c>
      <c r="K111" t="b">
        <v>0</v>
      </c>
      <c r="L111" t="b">
        <v>0</v>
      </c>
      <c r="M111" t="b">
        <v>0</v>
      </c>
    </row>
    <row r="112" spans="1:13" x14ac:dyDescent="0.3">
      <c r="A112">
        <v>56</v>
      </c>
      <c r="B112" t="s">
        <v>12</v>
      </c>
      <c r="C112" s="1">
        <v>4</v>
      </c>
      <c r="D112" t="s">
        <v>19</v>
      </c>
      <c r="E112" t="s">
        <v>14</v>
      </c>
      <c r="F112" t="s">
        <v>15</v>
      </c>
      <c r="G112" t="s">
        <v>23</v>
      </c>
      <c r="H112" t="s">
        <v>17</v>
      </c>
      <c r="I112" s="3">
        <v>15192</v>
      </c>
      <c r="J112" s="3" t="str">
        <f t="shared" si="1"/>
        <v>High</v>
      </c>
      <c r="K112" t="b">
        <v>1</v>
      </c>
      <c r="L112" t="b">
        <v>0</v>
      </c>
      <c r="M112" t="b">
        <v>0</v>
      </c>
    </row>
    <row r="113" spans="1:13" x14ac:dyDescent="0.3">
      <c r="A113">
        <v>58</v>
      </c>
      <c r="B113" t="s">
        <v>18</v>
      </c>
      <c r="C113" s="1">
        <v>1</v>
      </c>
      <c r="D113" t="s">
        <v>28</v>
      </c>
      <c r="E113" t="s">
        <v>14</v>
      </c>
      <c r="F113" t="s">
        <v>15</v>
      </c>
      <c r="G113" t="s">
        <v>23</v>
      </c>
      <c r="H113" t="s">
        <v>17</v>
      </c>
      <c r="I113" s="3">
        <v>13320</v>
      </c>
      <c r="J113" s="3" t="str">
        <f t="shared" si="1"/>
        <v>Medium</v>
      </c>
      <c r="K113" t="b">
        <v>0</v>
      </c>
      <c r="L113" t="b">
        <v>1</v>
      </c>
      <c r="M113" t="b">
        <v>0</v>
      </c>
    </row>
    <row r="114" spans="1:13" x14ac:dyDescent="0.3">
      <c r="A114">
        <v>45</v>
      </c>
      <c r="B114" t="s">
        <v>25</v>
      </c>
      <c r="C114" s="1">
        <v>1</v>
      </c>
      <c r="D114" t="s">
        <v>13</v>
      </c>
      <c r="E114" t="s">
        <v>14</v>
      </c>
      <c r="F114" t="s">
        <v>27</v>
      </c>
      <c r="G114" t="s">
        <v>29</v>
      </c>
      <c r="H114" t="s">
        <v>24</v>
      </c>
      <c r="I114" s="3">
        <v>14698</v>
      </c>
      <c r="J114" s="3" t="str">
        <f t="shared" si="1"/>
        <v>Medium</v>
      </c>
      <c r="K114" t="b">
        <v>0</v>
      </c>
      <c r="L114" t="b">
        <v>0</v>
      </c>
      <c r="M114" t="b">
        <v>0</v>
      </c>
    </row>
    <row r="115" spans="1:13" x14ac:dyDescent="0.3">
      <c r="A115">
        <v>24</v>
      </c>
      <c r="B115" t="s">
        <v>25</v>
      </c>
      <c r="C115" s="1">
        <v>3</v>
      </c>
      <c r="D115" t="s">
        <v>13</v>
      </c>
      <c r="E115" t="s">
        <v>20</v>
      </c>
      <c r="F115" t="s">
        <v>27</v>
      </c>
      <c r="G115" t="s">
        <v>23</v>
      </c>
      <c r="H115" t="s">
        <v>24</v>
      </c>
      <c r="I115" s="3">
        <v>14311</v>
      </c>
      <c r="J115" s="3" t="str">
        <f t="shared" si="1"/>
        <v>Medium</v>
      </c>
      <c r="K115" t="b">
        <v>0</v>
      </c>
      <c r="L115" t="b">
        <v>0</v>
      </c>
      <c r="M115" t="b">
        <v>0</v>
      </c>
    </row>
    <row r="116" spans="1:13" x14ac:dyDescent="0.3">
      <c r="A116">
        <v>26</v>
      </c>
      <c r="B116" t="s">
        <v>25</v>
      </c>
      <c r="C116" s="1">
        <v>5</v>
      </c>
      <c r="D116" t="s">
        <v>13</v>
      </c>
      <c r="E116" t="s">
        <v>20</v>
      </c>
      <c r="F116" t="s">
        <v>27</v>
      </c>
      <c r="G116" t="s">
        <v>23</v>
      </c>
      <c r="H116" t="s">
        <v>24</v>
      </c>
      <c r="I116" s="3">
        <v>13673</v>
      </c>
      <c r="J116" s="3" t="str">
        <f t="shared" si="1"/>
        <v>Medium</v>
      </c>
      <c r="K116" t="b">
        <v>0</v>
      </c>
      <c r="L116" t="b">
        <v>0</v>
      </c>
      <c r="M116" t="b">
        <v>1</v>
      </c>
    </row>
    <row r="117" spans="1:13" x14ac:dyDescent="0.3">
      <c r="A117">
        <v>25</v>
      </c>
      <c r="B117" t="s">
        <v>25</v>
      </c>
      <c r="C117" s="1">
        <v>5</v>
      </c>
      <c r="D117" t="s">
        <v>19</v>
      </c>
      <c r="E117" t="s">
        <v>14</v>
      </c>
      <c r="F117" t="s">
        <v>15</v>
      </c>
      <c r="G117" t="s">
        <v>23</v>
      </c>
      <c r="H117" t="s">
        <v>17</v>
      </c>
      <c r="I117" s="3">
        <v>11564</v>
      </c>
      <c r="J117" s="3" t="str">
        <f t="shared" si="1"/>
        <v>Low</v>
      </c>
      <c r="K117" t="b">
        <v>1</v>
      </c>
      <c r="L117" t="b">
        <v>0</v>
      </c>
      <c r="M117" t="b">
        <v>1</v>
      </c>
    </row>
    <row r="118" spans="1:13" x14ac:dyDescent="0.3">
      <c r="A118">
        <v>29</v>
      </c>
      <c r="B118" t="s">
        <v>18</v>
      </c>
      <c r="C118" s="1">
        <v>9</v>
      </c>
      <c r="D118" t="s">
        <v>19</v>
      </c>
      <c r="E118" t="s">
        <v>26</v>
      </c>
      <c r="F118" t="s">
        <v>27</v>
      </c>
      <c r="G118" t="s">
        <v>23</v>
      </c>
      <c r="H118" t="s">
        <v>21</v>
      </c>
      <c r="I118" s="3">
        <v>11840</v>
      </c>
      <c r="J118" s="3" t="str">
        <f t="shared" si="1"/>
        <v>Low</v>
      </c>
      <c r="K118" t="b">
        <v>0</v>
      </c>
      <c r="L118" t="b">
        <v>1</v>
      </c>
      <c r="M118" t="b">
        <v>0</v>
      </c>
    </row>
    <row r="119" spans="1:13" x14ac:dyDescent="0.3">
      <c r="A119">
        <v>51</v>
      </c>
      <c r="B119" t="s">
        <v>25</v>
      </c>
      <c r="C119" s="1">
        <v>2</v>
      </c>
      <c r="D119" t="s">
        <v>28</v>
      </c>
      <c r="E119" t="s">
        <v>14</v>
      </c>
      <c r="F119" t="s">
        <v>27</v>
      </c>
      <c r="G119" t="s">
        <v>16</v>
      </c>
      <c r="H119" t="s">
        <v>24</v>
      </c>
      <c r="I119" s="3">
        <v>16058</v>
      </c>
      <c r="J119" s="3" t="str">
        <f t="shared" si="1"/>
        <v>High</v>
      </c>
      <c r="K119" t="b">
        <v>1</v>
      </c>
      <c r="L119" t="b">
        <v>1</v>
      </c>
      <c r="M119" t="b">
        <v>0</v>
      </c>
    </row>
    <row r="120" spans="1:13" x14ac:dyDescent="0.3">
      <c r="A120">
        <v>50</v>
      </c>
      <c r="B120" t="s">
        <v>25</v>
      </c>
      <c r="C120" s="1">
        <v>2</v>
      </c>
      <c r="D120" t="s">
        <v>19</v>
      </c>
      <c r="E120" t="s">
        <v>26</v>
      </c>
      <c r="F120" t="s">
        <v>22</v>
      </c>
      <c r="G120" t="s">
        <v>29</v>
      </c>
      <c r="H120" t="s">
        <v>21</v>
      </c>
      <c r="I120" s="3">
        <v>17131</v>
      </c>
      <c r="J120" s="3" t="str">
        <f t="shared" si="1"/>
        <v>High</v>
      </c>
      <c r="K120" t="b">
        <v>0</v>
      </c>
      <c r="L120" t="b">
        <v>0</v>
      </c>
      <c r="M120" t="b">
        <v>0</v>
      </c>
    </row>
    <row r="121" spans="1:13" x14ac:dyDescent="0.3">
      <c r="A121">
        <v>40</v>
      </c>
      <c r="B121" t="s">
        <v>12</v>
      </c>
      <c r="C121" s="1">
        <v>6</v>
      </c>
      <c r="D121" t="s">
        <v>19</v>
      </c>
      <c r="E121" t="s">
        <v>14</v>
      </c>
      <c r="F121" t="s">
        <v>27</v>
      </c>
      <c r="G121" t="s">
        <v>29</v>
      </c>
      <c r="H121" t="s">
        <v>17</v>
      </c>
      <c r="I121" s="3">
        <v>10726</v>
      </c>
      <c r="J121" s="3" t="str">
        <f t="shared" si="1"/>
        <v>Low</v>
      </c>
      <c r="K121" t="b">
        <v>0</v>
      </c>
      <c r="L121" t="b">
        <v>0</v>
      </c>
      <c r="M121" t="b">
        <v>1</v>
      </c>
    </row>
    <row r="122" spans="1:13" x14ac:dyDescent="0.3">
      <c r="A122">
        <v>41</v>
      </c>
      <c r="B122" t="s">
        <v>25</v>
      </c>
      <c r="C122" s="1">
        <v>9</v>
      </c>
      <c r="D122" t="s">
        <v>13</v>
      </c>
      <c r="E122" t="s">
        <v>26</v>
      </c>
      <c r="F122" t="s">
        <v>27</v>
      </c>
      <c r="G122" t="s">
        <v>16</v>
      </c>
      <c r="H122" t="s">
        <v>24</v>
      </c>
      <c r="I122" s="3">
        <v>19436</v>
      </c>
      <c r="J122" s="3" t="str">
        <f t="shared" si="1"/>
        <v>High</v>
      </c>
      <c r="K122" t="b">
        <v>0</v>
      </c>
      <c r="L122" t="b">
        <v>0</v>
      </c>
      <c r="M122" t="b">
        <v>0</v>
      </c>
    </row>
    <row r="123" spans="1:13" x14ac:dyDescent="0.3">
      <c r="A123">
        <v>54</v>
      </c>
      <c r="B123" t="s">
        <v>18</v>
      </c>
      <c r="C123" s="1">
        <v>1</v>
      </c>
      <c r="D123" t="s">
        <v>13</v>
      </c>
      <c r="E123" t="s">
        <v>14</v>
      </c>
      <c r="F123" t="s">
        <v>15</v>
      </c>
      <c r="G123" t="s">
        <v>16</v>
      </c>
      <c r="H123" t="s">
        <v>21</v>
      </c>
      <c r="I123" s="3">
        <v>16697</v>
      </c>
      <c r="J123" s="3" t="str">
        <f t="shared" si="1"/>
        <v>High</v>
      </c>
      <c r="K123" t="b">
        <v>0</v>
      </c>
      <c r="L123" t="b">
        <v>0</v>
      </c>
      <c r="M123" t="b">
        <v>1</v>
      </c>
    </row>
    <row r="124" spans="1:13" x14ac:dyDescent="0.3">
      <c r="A124">
        <v>52</v>
      </c>
      <c r="B124" t="s">
        <v>18</v>
      </c>
      <c r="C124" s="1">
        <v>9</v>
      </c>
      <c r="D124" t="s">
        <v>13</v>
      </c>
      <c r="E124" t="s">
        <v>26</v>
      </c>
      <c r="F124" t="s">
        <v>15</v>
      </c>
      <c r="G124" t="s">
        <v>29</v>
      </c>
      <c r="H124" t="s">
        <v>24</v>
      </c>
      <c r="I124" s="3">
        <v>19257</v>
      </c>
      <c r="J124" s="3" t="str">
        <f t="shared" si="1"/>
        <v>High</v>
      </c>
      <c r="K124" t="b">
        <v>1</v>
      </c>
      <c r="L124" t="b">
        <v>1</v>
      </c>
      <c r="M124" t="b">
        <v>1</v>
      </c>
    </row>
    <row r="125" spans="1:13" x14ac:dyDescent="0.3">
      <c r="A125">
        <v>61</v>
      </c>
      <c r="B125" t="s">
        <v>18</v>
      </c>
      <c r="C125" s="1">
        <v>9</v>
      </c>
      <c r="D125" t="s">
        <v>13</v>
      </c>
      <c r="E125" t="s">
        <v>14</v>
      </c>
      <c r="F125" t="s">
        <v>22</v>
      </c>
      <c r="G125" t="s">
        <v>23</v>
      </c>
      <c r="H125" t="s">
        <v>24</v>
      </c>
      <c r="I125" s="3">
        <v>10282</v>
      </c>
      <c r="J125" s="3" t="str">
        <f t="shared" si="1"/>
        <v>Low</v>
      </c>
      <c r="K125" t="b">
        <v>0</v>
      </c>
      <c r="L125" t="b">
        <v>1</v>
      </c>
      <c r="M125" t="b">
        <v>0</v>
      </c>
    </row>
    <row r="126" spans="1:13" x14ac:dyDescent="0.3">
      <c r="A126">
        <v>57</v>
      </c>
      <c r="B126" t="s">
        <v>18</v>
      </c>
      <c r="C126" s="1">
        <v>9</v>
      </c>
      <c r="D126" t="s">
        <v>13</v>
      </c>
      <c r="E126" t="s">
        <v>14</v>
      </c>
      <c r="F126" t="s">
        <v>27</v>
      </c>
      <c r="G126" t="s">
        <v>23</v>
      </c>
      <c r="H126" t="s">
        <v>24</v>
      </c>
      <c r="I126" s="3">
        <v>11081</v>
      </c>
      <c r="J126" s="3" t="str">
        <f t="shared" si="1"/>
        <v>Low</v>
      </c>
      <c r="K126" t="b">
        <v>1</v>
      </c>
      <c r="L126" t="b">
        <v>1</v>
      </c>
      <c r="M126" t="b">
        <v>1</v>
      </c>
    </row>
    <row r="127" spans="1:13" x14ac:dyDescent="0.3">
      <c r="A127">
        <v>39</v>
      </c>
      <c r="B127" t="s">
        <v>25</v>
      </c>
      <c r="C127" s="1">
        <v>5</v>
      </c>
      <c r="D127" t="s">
        <v>13</v>
      </c>
      <c r="E127" t="s">
        <v>26</v>
      </c>
      <c r="F127" t="s">
        <v>22</v>
      </c>
      <c r="G127" t="s">
        <v>29</v>
      </c>
      <c r="H127" t="s">
        <v>21</v>
      </c>
      <c r="I127" s="3">
        <v>13885</v>
      </c>
      <c r="J127" s="3" t="str">
        <f t="shared" si="1"/>
        <v>Medium</v>
      </c>
      <c r="K127" t="b">
        <v>0</v>
      </c>
      <c r="L127" t="b">
        <v>1</v>
      </c>
      <c r="M127" t="b">
        <v>1</v>
      </c>
    </row>
    <row r="128" spans="1:13" x14ac:dyDescent="0.3">
      <c r="A128">
        <v>44</v>
      </c>
      <c r="B128" t="s">
        <v>25</v>
      </c>
      <c r="C128" s="1">
        <v>9</v>
      </c>
      <c r="D128" t="s">
        <v>13</v>
      </c>
      <c r="E128" t="s">
        <v>20</v>
      </c>
      <c r="F128" t="s">
        <v>15</v>
      </c>
      <c r="G128" t="s">
        <v>23</v>
      </c>
      <c r="H128" t="s">
        <v>17</v>
      </c>
      <c r="I128" s="3">
        <v>12881</v>
      </c>
      <c r="J128" s="3" t="str">
        <f t="shared" si="1"/>
        <v>Medium</v>
      </c>
      <c r="K128" t="b">
        <v>0</v>
      </c>
      <c r="L128" t="b">
        <v>0</v>
      </c>
      <c r="M128" t="b">
        <v>0</v>
      </c>
    </row>
    <row r="129" spans="1:13" x14ac:dyDescent="0.3">
      <c r="A129">
        <v>52</v>
      </c>
      <c r="B129" t="s">
        <v>18</v>
      </c>
      <c r="C129" s="1">
        <v>4</v>
      </c>
      <c r="D129" t="s">
        <v>28</v>
      </c>
      <c r="E129" t="s">
        <v>26</v>
      </c>
      <c r="F129" t="s">
        <v>22</v>
      </c>
      <c r="G129" t="s">
        <v>16</v>
      </c>
      <c r="H129" t="s">
        <v>24</v>
      </c>
      <c r="I129" s="3">
        <v>12970</v>
      </c>
      <c r="J129" s="3" t="str">
        <f t="shared" si="1"/>
        <v>Medium</v>
      </c>
      <c r="K129" t="b">
        <v>0</v>
      </c>
      <c r="L129" t="b">
        <v>0</v>
      </c>
      <c r="M129" t="b">
        <v>1</v>
      </c>
    </row>
    <row r="130" spans="1:13" x14ac:dyDescent="0.3">
      <c r="A130">
        <v>18</v>
      </c>
      <c r="B130" t="s">
        <v>18</v>
      </c>
      <c r="C130" s="1">
        <v>2</v>
      </c>
      <c r="D130" t="s">
        <v>28</v>
      </c>
      <c r="E130" t="s">
        <v>20</v>
      </c>
      <c r="F130" t="s">
        <v>15</v>
      </c>
      <c r="G130" t="s">
        <v>23</v>
      </c>
      <c r="H130" t="s">
        <v>17</v>
      </c>
      <c r="I130" s="3">
        <v>19344</v>
      </c>
      <c r="J130" s="3" t="str">
        <f t="shared" si="1"/>
        <v>High</v>
      </c>
      <c r="K130" t="b">
        <v>1</v>
      </c>
      <c r="L130" t="b">
        <v>1</v>
      </c>
      <c r="M130" t="b">
        <v>0</v>
      </c>
    </row>
    <row r="131" spans="1:13" x14ac:dyDescent="0.3">
      <c r="A131">
        <v>52</v>
      </c>
      <c r="B131" t="s">
        <v>25</v>
      </c>
      <c r="C131" s="1">
        <v>6</v>
      </c>
      <c r="D131" t="s">
        <v>28</v>
      </c>
      <c r="E131" t="s">
        <v>14</v>
      </c>
      <c r="F131" t="s">
        <v>22</v>
      </c>
      <c r="G131" t="s">
        <v>23</v>
      </c>
      <c r="H131" t="s">
        <v>17</v>
      </c>
      <c r="I131" s="3">
        <v>16985</v>
      </c>
      <c r="J131" s="3" t="str">
        <f t="shared" ref="J131:J194" si="2">IF(I131&gt;16000, "High", IF(I131&gt;=12000, IF(I131&lt;=15000, "Medium", "High"), "Low"))</f>
        <v>High</v>
      </c>
      <c r="K131" t="b">
        <v>0</v>
      </c>
      <c r="L131" t="b">
        <v>1</v>
      </c>
      <c r="M131" t="b">
        <v>1</v>
      </c>
    </row>
    <row r="132" spans="1:13" x14ac:dyDescent="0.3">
      <c r="A132">
        <v>54</v>
      </c>
      <c r="B132" t="s">
        <v>18</v>
      </c>
      <c r="C132" s="1">
        <v>4</v>
      </c>
      <c r="D132" t="s">
        <v>28</v>
      </c>
      <c r="E132" t="s">
        <v>26</v>
      </c>
      <c r="F132" t="s">
        <v>22</v>
      </c>
      <c r="G132" t="s">
        <v>23</v>
      </c>
      <c r="H132" t="s">
        <v>21</v>
      </c>
      <c r="I132" s="3">
        <v>10947</v>
      </c>
      <c r="J132" s="3" t="str">
        <f t="shared" si="2"/>
        <v>Low</v>
      </c>
      <c r="K132" t="b">
        <v>0</v>
      </c>
      <c r="L132" t="b">
        <v>0</v>
      </c>
      <c r="M132" t="b">
        <v>0</v>
      </c>
    </row>
    <row r="133" spans="1:13" x14ac:dyDescent="0.3">
      <c r="A133">
        <v>64</v>
      </c>
      <c r="B133" t="s">
        <v>12</v>
      </c>
      <c r="C133" s="1">
        <v>6</v>
      </c>
      <c r="D133" t="s">
        <v>13</v>
      </c>
      <c r="E133" t="s">
        <v>26</v>
      </c>
      <c r="F133" t="s">
        <v>27</v>
      </c>
      <c r="G133" t="s">
        <v>29</v>
      </c>
      <c r="H133" t="s">
        <v>21</v>
      </c>
      <c r="I133" s="3">
        <v>14760</v>
      </c>
      <c r="J133" s="3" t="str">
        <f t="shared" si="2"/>
        <v>Medium</v>
      </c>
      <c r="K133" t="b">
        <v>0</v>
      </c>
      <c r="L133" t="b">
        <v>0</v>
      </c>
      <c r="M133" t="b">
        <v>0</v>
      </c>
    </row>
    <row r="134" spans="1:13" x14ac:dyDescent="0.3">
      <c r="A134">
        <v>31</v>
      </c>
      <c r="B134" t="s">
        <v>18</v>
      </c>
      <c r="C134" s="1">
        <v>3</v>
      </c>
      <c r="D134" t="s">
        <v>28</v>
      </c>
      <c r="E134" t="s">
        <v>26</v>
      </c>
      <c r="F134" t="s">
        <v>22</v>
      </c>
      <c r="G134" t="s">
        <v>16</v>
      </c>
      <c r="H134" t="s">
        <v>17</v>
      </c>
      <c r="I134" s="3">
        <v>19909</v>
      </c>
      <c r="J134" s="3" t="str">
        <f t="shared" si="2"/>
        <v>High</v>
      </c>
      <c r="K134" t="b">
        <v>0</v>
      </c>
      <c r="L134" t="b">
        <v>0</v>
      </c>
      <c r="M134" t="b">
        <v>1</v>
      </c>
    </row>
    <row r="135" spans="1:13" x14ac:dyDescent="0.3">
      <c r="A135">
        <v>20</v>
      </c>
      <c r="B135" t="s">
        <v>18</v>
      </c>
      <c r="C135" s="1">
        <v>6</v>
      </c>
      <c r="D135" t="s">
        <v>13</v>
      </c>
      <c r="E135" t="s">
        <v>20</v>
      </c>
      <c r="F135" t="s">
        <v>27</v>
      </c>
      <c r="G135" t="s">
        <v>23</v>
      </c>
      <c r="H135" t="s">
        <v>24</v>
      </c>
      <c r="I135" s="3">
        <v>10066</v>
      </c>
      <c r="J135" s="3" t="str">
        <f t="shared" si="2"/>
        <v>Low</v>
      </c>
      <c r="K135" t="b">
        <v>0</v>
      </c>
      <c r="L135" t="b">
        <v>0</v>
      </c>
      <c r="M135" t="b">
        <v>0</v>
      </c>
    </row>
    <row r="136" spans="1:13" x14ac:dyDescent="0.3">
      <c r="A136">
        <v>18</v>
      </c>
      <c r="B136" t="s">
        <v>12</v>
      </c>
      <c r="C136" s="1">
        <v>2</v>
      </c>
      <c r="D136" t="s">
        <v>28</v>
      </c>
      <c r="E136" t="s">
        <v>20</v>
      </c>
      <c r="F136" t="s">
        <v>27</v>
      </c>
      <c r="G136" t="s">
        <v>29</v>
      </c>
      <c r="H136" t="s">
        <v>21</v>
      </c>
      <c r="I136" s="3">
        <v>18828</v>
      </c>
      <c r="J136" s="3" t="str">
        <f t="shared" si="2"/>
        <v>High</v>
      </c>
      <c r="K136" t="b">
        <v>1</v>
      </c>
      <c r="L136" t="b">
        <v>0</v>
      </c>
      <c r="M136" t="b">
        <v>1</v>
      </c>
    </row>
    <row r="137" spans="1:13" x14ac:dyDescent="0.3">
      <c r="A137">
        <v>22</v>
      </c>
      <c r="B137" t="s">
        <v>12</v>
      </c>
      <c r="C137" s="1">
        <v>2</v>
      </c>
      <c r="D137" t="s">
        <v>19</v>
      </c>
      <c r="E137" t="s">
        <v>14</v>
      </c>
      <c r="F137" t="s">
        <v>27</v>
      </c>
      <c r="G137" t="s">
        <v>23</v>
      </c>
      <c r="H137" t="s">
        <v>24</v>
      </c>
      <c r="I137" s="3">
        <v>18505</v>
      </c>
      <c r="J137" s="3" t="str">
        <f t="shared" si="2"/>
        <v>High</v>
      </c>
      <c r="K137" t="b">
        <v>1</v>
      </c>
      <c r="L137" t="b">
        <v>1</v>
      </c>
      <c r="M137" t="b">
        <v>1</v>
      </c>
    </row>
    <row r="138" spans="1:13" x14ac:dyDescent="0.3">
      <c r="A138">
        <v>43</v>
      </c>
      <c r="B138" t="s">
        <v>25</v>
      </c>
      <c r="C138" s="1">
        <v>9</v>
      </c>
      <c r="D138" t="s">
        <v>28</v>
      </c>
      <c r="E138" t="s">
        <v>20</v>
      </c>
      <c r="F138" t="s">
        <v>27</v>
      </c>
      <c r="G138" t="s">
        <v>16</v>
      </c>
      <c r="H138" t="s">
        <v>24</v>
      </c>
      <c r="I138" s="3">
        <v>10564</v>
      </c>
      <c r="J138" s="3" t="str">
        <f t="shared" si="2"/>
        <v>Low</v>
      </c>
      <c r="K138" t="b">
        <v>0</v>
      </c>
      <c r="L138" t="b">
        <v>1</v>
      </c>
      <c r="M138" t="b">
        <v>0</v>
      </c>
    </row>
    <row r="139" spans="1:13" x14ac:dyDescent="0.3">
      <c r="A139">
        <v>31</v>
      </c>
      <c r="B139" t="s">
        <v>25</v>
      </c>
      <c r="C139" s="1">
        <v>7</v>
      </c>
      <c r="D139" t="s">
        <v>28</v>
      </c>
      <c r="E139" t="s">
        <v>20</v>
      </c>
      <c r="F139" t="s">
        <v>22</v>
      </c>
      <c r="G139" t="s">
        <v>23</v>
      </c>
      <c r="H139" t="s">
        <v>24</v>
      </c>
      <c r="I139" s="3">
        <v>19793</v>
      </c>
      <c r="J139" s="3" t="str">
        <f t="shared" si="2"/>
        <v>High</v>
      </c>
      <c r="K139" t="b">
        <v>0</v>
      </c>
      <c r="L139" t="b">
        <v>0</v>
      </c>
      <c r="M139" t="b">
        <v>1</v>
      </c>
    </row>
    <row r="140" spans="1:13" x14ac:dyDescent="0.3">
      <c r="A140">
        <v>56</v>
      </c>
      <c r="B140" t="s">
        <v>12</v>
      </c>
      <c r="C140" s="1">
        <v>3</v>
      </c>
      <c r="D140" t="s">
        <v>13</v>
      </c>
      <c r="E140" t="s">
        <v>14</v>
      </c>
      <c r="F140" t="s">
        <v>15</v>
      </c>
      <c r="G140" t="s">
        <v>16</v>
      </c>
      <c r="H140" t="s">
        <v>17</v>
      </c>
      <c r="I140" s="3">
        <v>19017</v>
      </c>
      <c r="J140" s="3" t="str">
        <f t="shared" si="2"/>
        <v>High</v>
      </c>
      <c r="K140" t="b">
        <v>1</v>
      </c>
      <c r="L140" t="b">
        <v>0</v>
      </c>
      <c r="M140" t="b">
        <v>0</v>
      </c>
    </row>
    <row r="141" spans="1:13" x14ac:dyDescent="0.3">
      <c r="A141">
        <v>44</v>
      </c>
      <c r="B141" t="s">
        <v>12</v>
      </c>
      <c r="C141" s="1">
        <v>1</v>
      </c>
      <c r="D141" t="s">
        <v>28</v>
      </c>
      <c r="E141" t="s">
        <v>26</v>
      </c>
      <c r="F141" t="s">
        <v>15</v>
      </c>
      <c r="G141" t="s">
        <v>23</v>
      </c>
      <c r="H141" t="s">
        <v>24</v>
      </c>
      <c r="I141" s="3">
        <v>13670</v>
      </c>
      <c r="J141" s="3" t="str">
        <f t="shared" si="2"/>
        <v>Medium</v>
      </c>
      <c r="K141" t="b">
        <v>0</v>
      </c>
      <c r="L141" t="b">
        <v>1</v>
      </c>
      <c r="M141" t="b">
        <v>1</v>
      </c>
    </row>
    <row r="142" spans="1:13" x14ac:dyDescent="0.3">
      <c r="A142">
        <v>26</v>
      </c>
      <c r="B142" t="s">
        <v>25</v>
      </c>
      <c r="C142" s="1">
        <v>8</v>
      </c>
      <c r="D142" t="s">
        <v>19</v>
      </c>
      <c r="E142" t="s">
        <v>26</v>
      </c>
      <c r="F142" t="s">
        <v>15</v>
      </c>
      <c r="G142" t="s">
        <v>16</v>
      </c>
      <c r="H142" t="s">
        <v>17</v>
      </c>
      <c r="I142" s="3">
        <v>19217</v>
      </c>
      <c r="J142" s="3" t="str">
        <f t="shared" si="2"/>
        <v>High</v>
      </c>
      <c r="K142" t="b">
        <v>1</v>
      </c>
      <c r="L142" t="b">
        <v>0</v>
      </c>
      <c r="M142" t="b">
        <v>1</v>
      </c>
    </row>
    <row r="143" spans="1:13" x14ac:dyDescent="0.3">
      <c r="A143">
        <v>32</v>
      </c>
      <c r="B143" t="s">
        <v>18</v>
      </c>
      <c r="C143" s="1">
        <v>6</v>
      </c>
      <c r="D143" t="s">
        <v>13</v>
      </c>
      <c r="E143" t="s">
        <v>14</v>
      </c>
      <c r="F143" t="s">
        <v>22</v>
      </c>
      <c r="G143" t="s">
        <v>23</v>
      </c>
      <c r="H143" t="s">
        <v>17</v>
      </c>
      <c r="I143" s="3">
        <v>12251</v>
      </c>
      <c r="J143" s="3" t="str">
        <f t="shared" si="2"/>
        <v>Medium</v>
      </c>
      <c r="K143" t="b">
        <v>0</v>
      </c>
      <c r="L143" t="b">
        <v>1</v>
      </c>
      <c r="M143" t="b">
        <v>0</v>
      </c>
    </row>
    <row r="144" spans="1:13" x14ac:dyDescent="0.3">
      <c r="A144">
        <v>32</v>
      </c>
      <c r="B144" t="s">
        <v>12</v>
      </c>
      <c r="C144" s="1">
        <v>7</v>
      </c>
      <c r="D144" t="s">
        <v>13</v>
      </c>
      <c r="E144" t="s">
        <v>26</v>
      </c>
      <c r="F144" t="s">
        <v>27</v>
      </c>
      <c r="G144" t="s">
        <v>16</v>
      </c>
      <c r="H144" t="s">
        <v>24</v>
      </c>
      <c r="I144" s="3">
        <v>10804</v>
      </c>
      <c r="J144" s="3" t="str">
        <f t="shared" si="2"/>
        <v>Low</v>
      </c>
      <c r="K144" t="b">
        <v>0</v>
      </c>
      <c r="L144" t="b">
        <v>1</v>
      </c>
      <c r="M144" t="b">
        <v>1</v>
      </c>
    </row>
    <row r="145" spans="1:13" x14ac:dyDescent="0.3">
      <c r="A145">
        <v>43</v>
      </c>
      <c r="B145" t="s">
        <v>25</v>
      </c>
      <c r="C145" s="1">
        <v>9</v>
      </c>
      <c r="D145" t="s">
        <v>28</v>
      </c>
      <c r="E145" t="s">
        <v>20</v>
      </c>
      <c r="F145" t="s">
        <v>15</v>
      </c>
      <c r="G145" t="s">
        <v>23</v>
      </c>
      <c r="H145" t="s">
        <v>24</v>
      </c>
      <c r="I145" s="3">
        <v>14631</v>
      </c>
      <c r="J145" s="3" t="str">
        <f t="shared" si="2"/>
        <v>Medium</v>
      </c>
      <c r="K145" t="b">
        <v>1</v>
      </c>
      <c r="L145" t="b">
        <v>1</v>
      </c>
      <c r="M145" t="b">
        <v>1</v>
      </c>
    </row>
    <row r="146" spans="1:13" x14ac:dyDescent="0.3">
      <c r="A146">
        <v>59</v>
      </c>
      <c r="B146" t="s">
        <v>18</v>
      </c>
      <c r="C146" s="1">
        <v>5</v>
      </c>
      <c r="D146" t="s">
        <v>13</v>
      </c>
      <c r="E146" t="s">
        <v>14</v>
      </c>
      <c r="F146" t="s">
        <v>22</v>
      </c>
      <c r="G146" t="s">
        <v>23</v>
      </c>
      <c r="H146" t="s">
        <v>24</v>
      </c>
      <c r="I146" s="3">
        <v>19583</v>
      </c>
      <c r="J146" s="3" t="str">
        <f t="shared" si="2"/>
        <v>High</v>
      </c>
      <c r="K146" t="b">
        <v>0</v>
      </c>
      <c r="L146" t="b">
        <v>1</v>
      </c>
      <c r="M146" t="b">
        <v>1</v>
      </c>
    </row>
    <row r="147" spans="1:13" x14ac:dyDescent="0.3">
      <c r="A147">
        <v>30</v>
      </c>
      <c r="B147" t="s">
        <v>12</v>
      </c>
      <c r="C147" s="1">
        <v>1</v>
      </c>
      <c r="D147" t="s">
        <v>13</v>
      </c>
      <c r="E147" t="s">
        <v>14</v>
      </c>
      <c r="F147" t="s">
        <v>27</v>
      </c>
      <c r="G147" t="s">
        <v>29</v>
      </c>
      <c r="H147" t="s">
        <v>24</v>
      </c>
      <c r="I147" s="3">
        <v>11235</v>
      </c>
      <c r="J147" s="3" t="str">
        <f t="shared" si="2"/>
        <v>Low</v>
      </c>
      <c r="K147" t="b">
        <v>1</v>
      </c>
      <c r="L147" t="b">
        <v>0</v>
      </c>
      <c r="M147" t="b">
        <v>1</v>
      </c>
    </row>
    <row r="148" spans="1:13" x14ac:dyDescent="0.3">
      <c r="A148">
        <v>49</v>
      </c>
      <c r="B148" t="s">
        <v>18</v>
      </c>
      <c r="C148" s="1">
        <v>7</v>
      </c>
      <c r="D148" t="s">
        <v>13</v>
      </c>
      <c r="E148" t="s">
        <v>14</v>
      </c>
      <c r="F148" t="s">
        <v>15</v>
      </c>
      <c r="G148" t="s">
        <v>29</v>
      </c>
      <c r="H148" t="s">
        <v>17</v>
      </c>
      <c r="I148" s="3">
        <v>16720</v>
      </c>
      <c r="J148" s="3" t="str">
        <f t="shared" si="2"/>
        <v>High</v>
      </c>
      <c r="K148" t="b">
        <v>1</v>
      </c>
      <c r="L148" t="b">
        <v>0</v>
      </c>
      <c r="M148" t="b">
        <v>1</v>
      </c>
    </row>
    <row r="149" spans="1:13" x14ac:dyDescent="0.3">
      <c r="A149">
        <v>56</v>
      </c>
      <c r="B149" t="s">
        <v>25</v>
      </c>
      <c r="C149" s="1">
        <v>5</v>
      </c>
      <c r="D149" t="s">
        <v>13</v>
      </c>
      <c r="E149" t="s">
        <v>26</v>
      </c>
      <c r="F149" t="s">
        <v>27</v>
      </c>
      <c r="G149" t="s">
        <v>16</v>
      </c>
      <c r="H149" t="s">
        <v>24</v>
      </c>
      <c r="I149" s="3">
        <v>16906</v>
      </c>
      <c r="J149" s="3" t="str">
        <f t="shared" si="2"/>
        <v>High</v>
      </c>
      <c r="K149" t="b">
        <v>1</v>
      </c>
      <c r="L149" t="b">
        <v>1</v>
      </c>
      <c r="M149" t="b">
        <v>1</v>
      </c>
    </row>
    <row r="150" spans="1:13" x14ac:dyDescent="0.3">
      <c r="A150">
        <v>49</v>
      </c>
      <c r="B150" t="s">
        <v>12</v>
      </c>
      <c r="C150" s="1">
        <v>3</v>
      </c>
      <c r="D150" t="s">
        <v>13</v>
      </c>
      <c r="E150" t="s">
        <v>14</v>
      </c>
      <c r="F150" t="s">
        <v>15</v>
      </c>
      <c r="G150" t="s">
        <v>23</v>
      </c>
      <c r="H150" t="s">
        <v>24</v>
      </c>
      <c r="I150" s="3">
        <v>16016</v>
      </c>
      <c r="J150" s="3" t="str">
        <f t="shared" si="2"/>
        <v>High</v>
      </c>
      <c r="K150" t="b">
        <v>0</v>
      </c>
      <c r="L150" t="b">
        <v>0</v>
      </c>
      <c r="M150" t="b">
        <v>1</v>
      </c>
    </row>
    <row r="151" spans="1:13" x14ac:dyDescent="0.3">
      <c r="A151">
        <v>21</v>
      </c>
      <c r="B151" t="s">
        <v>18</v>
      </c>
      <c r="C151" s="1">
        <v>9</v>
      </c>
      <c r="D151" t="s">
        <v>13</v>
      </c>
      <c r="E151" t="s">
        <v>14</v>
      </c>
      <c r="F151" t="s">
        <v>15</v>
      </c>
      <c r="G151" t="s">
        <v>16</v>
      </c>
      <c r="H151" t="s">
        <v>17</v>
      </c>
      <c r="I151" s="3">
        <v>13549</v>
      </c>
      <c r="J151" s="3" t="str">
        <f t="shared" si="2"/>
        <v>Medium</v>
      </c>
      <c r="K151" t="b">
        <v>1</v>
      </c>
      <c r="L151" t="b">
        <v>0</v>
      </c>
      <c r="M151" t="b">
        <v>1</v>
      </c>
    </row>
    <row r="152" spans="1:13" x14ac:dyDescent="0.3">
      <c r="A152">
        <v>47</v>
      </c>
      <c r="B152" t="s">
        <v>12</v>
      </c>
      <c r="C152" s="1">
        <v>1</v>
      </c>
      <c r="D152" t="s">
        <v>19</v>
      </c>
      <c r="E152" t="s">
        <v>14</v>
      </c>
      <c r="F152" t="s">
        <v>15</v>
      </c>
      <c r="G152" t="s">
        <v>29</v>
      </c>
      <c r="H152" t="s">
        <v>21</v>
      </c>
      <c r="I152" s="3">
        <v>17938</v>
      </c>
      <c r="J152" s="3" t="str">
        <f t="shared" si="2"/>
        <v>High</v>
      </c>
      <c r="K152" t="b">
        <v>1</v>
      </c>
      <c r="L152" t="b">
        <v>0</v>
      </c>
      <c r="M152" t="b">
        <v>0</v>
      </c>
    </row>
    <row r="153" spans="1:13" x14ac:dyDescent="0.3">
      <c r="A153">
        <v>54</v>
      </c>
      <c r="B153" t="s">
        <v>18</v>
      </c>
      <c r="C153" s="1">
        <v>1</v>
      </c>
      <c r="D153" t="s">
        <v>28</v>
      </c>
      <c r="E153" t="s">
        <v>26</v>
      </c>
      <c r="F153" t="s">
        <v>27</v>
      </c>
      <c r="G153" t="s">
        <v>16</v>
      </c>
      <c r="H153" t="s">
        <v>21</v>
      </c>
      <c r="I153" s="3">
        <v>14141</v>
      </c>
      <c r="J153" s="3" t="str">
        <f t="shared" si="2"/>
        <v>Medium</v>
      </c>
      <c r="K153" t="b">
        <v>0</v>
      </c>
      <c r="L153" t="b">
        <v>0</v>
      </c>
      <c r="M153" t="b">
        <v>1</v>
      </c>
    </row>
    <row r="154" spans="1:13" x14ac:dyDescent="0.3">
      <c r="A154">
        <v>40</v>
      </c>
      <c r="B154" t="s">
        <v>25</v>
      </c>
      <c r="C154" s="1">
        <v>1</v>
      </c>
      <c r="D154" t="s">
        <v>19</v>
      </c>
      <c r="E154" t="s">
        <v>20</v>
      </c>
      <c r="F154" t="s">
        <v>22</v>
      </c>
      <c r="G154" t="s">
        <v>16</v>
      </c>
      <c r="H154" t="s">
        <v>17</v>
      </c>
      <c r="I154" s="3">
        <v>16966</v>
      </c>
      <c r="J154" s="3" t="str">
        <f t="shared" si="2"/>
        <v>High</v>
      </c>
      <c r="K154" t="b">
        <v>0</v>
      </c>
      <c r="L154" t="b">
        <v>1</v>
      </c>
      <c r="M154" t="b">
        <v>1</v>
      </c>
    </row>
    <row r="155" spans="1:13" x14ac:dyDescent="0.3">
      <c r="A155">
        <v>56</v>
      </c>
      <c r="B155" t="s">
        <v>25</v>
      </c>
      <c r="C155" s="1">
        <v>3</v>
      </c>
      <c r="D155" t="s">
        <v>13</v>
      </c>
      <c r="E155" t="s">
        <v>14</v>
      </c>
      <c r="F155" t="s">
        <v>27</v>
      </c>
      <c r="G155" t="s">
        <v>29</v>
      </c>
      <c r="H155" t="s">
        <v>21</v>
      </c>
      <c r="I155" s="3">
        <v>19546</v>
      </c>
      <c r="J155" s="3" t="str">
        <f t="shared" si="2"/>
        <v>High</v>
      </c>
      <c r="K155" t="b">
        <v>0</v>
      </c>
      <c r="L155" t="b">
        <v>0</v>
      </c>
      <c r="M155" t="b">
        <v>0</v>
      </c>
    </row>
    <row r="156" spans="1:13" x14ac:dyDescent="0.3">
      <c r="A156">
        <v>62</v>
      </c>
      <c r="B156" t="s">
        <v>12</v>
      </c>
      <c r="C156" s="1">
        <v>6</v>
      </c>
      <c r="D156" t="s">
        <v>13</v>
      </c>
      <c r="E156" t="s">
        <v>20</v>
      </c>
      <c r="F156" t="s">
        <v>15</v>
      </c>
      <c r="G156" t="s">
        <v>23</v>
      </c>
      <c r="H156" t="s">
        <v>17</v>
      </c>
      <c r="I156" s="3">
        <v>15335</v>
      </c>
      <c r="J156" s="3" t="str">
        <f t="shared" si="2"/>
        <v>High</v>
      </c>
      <c r="K156" t="b">
        <v>0</v>
      </c>
      <c r="L156" t="b">
        <v>1</v>
      </c>
      <c r="M156" t="b">
        <v>0</v>
      </c>
    </row>
    <row r="157" spans="1:13" x14ac:dyDescent="0.3">
      <c r="A157">
        <v>32</v>
      </c>
      <c r="B157" t="s">
        <v>18</v>
      </c>
      <c r="C157" s="1">
        <v>3</v>
      </c>
      <c r="D157" t="s">
        <v>28</v>
      </c>
      <c r="E157" t="s">
        <v>26</v>
      </c>
      <c r="F157" t="s">
        <v>27</v>
      </c>
      <c r="G157" t="s">
        <v>16</v>
      </c>
      <c r="H157" t="s">
        <v>24</v>
      </c>
      <c r="I157" s="3">
        <v>15077</v>
      </c>
      <c r="J157" s="3" t="str">
        <f t="shared" si="2"/>
        <v>High</v>
      </c>
      <c r="K157" t="b">
        <v>0</v>
      </c>
      <c r="L157" t="b">
        <v>1</v>
      </c>
      <c r="M157" t="b">
        <v>0</v>
      </c>
    </row>
    <row r="158" spans="1:13" x14ac:dyDescent="0.3">
      <c r="A158">
        <v>60</v>
      </c>
      <c r="B158" t="s">
        <v>12</v>
      </c>
      <c r="C158" s="1">
        <v>8</v>
      </c>
      <c r="D158" t="s">
        <v>19</v>
      </c>
      <c r="E158" t="s">
        <v>26</v>
      </c>
      <c r="F158" t="s">
        <v>22</v>
      </c>
      <c r="G158" t="s">
        <v>29</v>
      </c>
      <c r="H158" t="s">
        <v>24</v>
      </c>
      <c r="I158" s="3">
        <v>15611</v>
      </c>
      <c r="J158" s="3" t="str">
        <f t="shared" si="2"/>
        <v>High</v>
      </c>
      <c r="K158" t="b">
        <v>0</v>
      </c>
      <c r="L158" t="b">
        <v>0</v>
      </c>
      <c r="M158" t="b">
        <v>1</v>
      </c>
    </row>
    <row r="159" spans="1:13" x14ac:dyDescent="0.3">
      <c r="A159">
        <v>46</v>
      </c>
      <c r="B159" t="s">
        <v>12</v>
      </c>
      <c r="C159" s="1">
        <v>2</v>
      </c>
      <c r="D159" t="s">
        <v>28</v>
      </c>
      <c r="E159" t="s">
        <v>26</v>
      </c>
      <c r="F159" t="s">
        <v>27</v>
      </c>
      <c r="G159" t="s">
        <v>23</v>
      </c>
      <c r="H159" t="s">
        <v>21</v>
      </c>
      <c r="I159" s="3">
        <v>18089</v>
      </c>
      <c r="J159" s="3" t="str">
        <f t="shared" si="2"/>
        <v>High</v>
      </c>
      <c r="K159" t="b">
        <v>1</v>
      </c>
      <c r="L159" t="b">
        <v>1</v>
      </c>
      <c r="M159" t="b">
        <v>0</v>
      </c>
    </row>
    <row r="160" spans="1:13" x14ac:dyDescent="0.3">
      <c r="A160">
        <v>53</v>
      </c>
      <c r="B160" t="s">
        <v>18</v>
      </c>
      <c r="C160" s="1">
        <v>9</v>
      </c>
      <c r="D160" t="s">
        <v>19</v>
      </c>
      <c r="E160" t="s">
        <v>26</v>
      </c>
      <c r="F160" t="s">
        <v>22</v>
      </c>
      <c r="G160" t="s">
        <v>29</v>
      </c>
      <c r="H160" t="s">
        <v>24</v>
      </c>
      <c r="I160" s="3">
        <v>12892</v>
      </c>
      <c r="J160" s="3" t="str">
        <f t="shared" si="2"/>
        <v>Medium</v>
      </c>
      <c r="K160" t="b">
        <v>0</v>
      </c>
      <c r="L160" t="b">
        <v>0</v>
      </c>
      <c r="M160" t="b">
        <v>0</v>
      </c>
    </row>
    <row r="161" spans="1:13" x14ac:dyDescent="0.3">
      <c r="A161">
        <v>30</v>
      </c>
      <c r="B161" t="s">
        <v>18</v>
      </c>
      <c r="C161" s="1">
        <v>3</v>
      </c>
      <c r="D161" t="s">
        <v>13</v>
      </c>
      <c r="E161" t="s">
        <v>20</v>
      </c>
      <c r="F161" t="s">
        <v>22</v>
      </c>
      <c r="G161" t="s">
        <v>16</v>
      </c>
      <c r="H161" t="s">
        <v>21</v>
      </c>
      <c r="I161" s="3">
        <v>15577</v>
      </c>
      <c r="J161" s="3" t="str">
        <f t="shared" si="2"/>
        <v>High</v>
      </c>
      <c r="K161" t="b">
        <v>1</v>
      </c>
      <c r="L161" t="b">
        <v>0</v>
      </c>
      <c r="M161" t="b">
        <v>1</v>
      </c>
    </row>
    <row r="162" spans="1:13" x14ac:dyDescent="0.3">
      <c r="A162">
        <v>49</v>
      </c>
      <c r="B162" t="s">
        <v>18</v>
      </c>
      <c r="C162" s="1">
        <v>5</v>
      </c>
      <c r="D162" t="s">
        <v>28</v>
      </c>
      <c r="E162" t="s">
        <v>14</v>
      </c>
      <c r="F162" t="s">
        <v>27</v>
      </c>
      <c r="G162" t="s">
        <v>23</v>
      </c>
      <c r="H162" t="s">
        <v>21</v>
      </c>
      <c r="I162" s="3">
        <v>13618</v>
      </c>
      <c r="J162" s="3" t="str">
        <f t="shared" si="2"/>
        <v>Medium</v>
      </c>
      <c r="K162" t="b">
        <v>0</v>
      </c>
      <c r="L162" t="b">
        <v>1</v>
      </c>
      <c r="M162" t="b">
        <v>1</v>
      </c>
    </row>
    <row r="163" spans="1:13" x14ac:dyDescent="0.3">
      <c r="A163">
        <v>24</v>
      </c>
      <c r="B163" t="s">
        <v>25</v>
      </c>
      <c r="C163" s="1">
        <v>8</v>
      </c>
      <c r="D163" t="s">
        <v>28</v>
      </c>
      <c r="E163" t="s">
        <v>26</v>
      </c>
      <c r="F163" t="s">
        <v>15</v>
      </c>
      <c r="G163" t="s">
        <v>23</v>
      </c>
      <c r="H163" t="s">
        <v>24</v>
      </c>
      <c r="I163" s="3">
        <v>11559</v>
      </c>
      <c r="J163" s="3" t="str">
        <f t="shared" si="2"/>
        <v>Low</v>
      </c>
      <c r="K163" t="b">
        <v>1</v>
      </c>
      <c r="L163" t="b">
        <v>0</v>
      </c>
      <c r="M163" t="b">
        <v>0</v>
      </c>
    </row>
    <row r="164" spans="1:13" x14ac:dyDescent="0.3">
      <c r="A164">
        <v>39</v>
      </c>
      <c r="B164" t="s">
        <v>12</v>
      </c>
      <c r="C164" s="1">
        <v>2</v>
      </c>
      <c r="D164" t="s">
        <v>13</v>
      </c>
      <c r="E164" t="s">
        <v>26</v>
      </c>
      <c r="F164" t="s">
        <v>22</v>
      </c>
      <c r="G164" t="s">
        <v>29</v>
      </c>
      <c r="H164" t="s">
        <v>24</v>
      </c>
      <c r="I164" s="3">
        <v>16683</v>
      </c>
      <c r="J164" s="3" t="str">
        <f t="shared" si="2"/>
        <v>High</v>
      </c>
      <c r="K164" t="b">
        <v>1</v>
      </c>
      <c r="L164" t="b">
        <v>1</v>
      </c>
      <c r="M164" t="b">
        <v>0</v>
      </c>
    </row>
    <row r="165" spans="1:13" x14ac:dyDescent="0.3">
      <c r="A165">
        <v>45</v>
      </c>
      <c r="B165" t="s">
        <v>12</v>
      </c>
      <c r="C165" s="1">
        <v>6</v>
      </c>
      <c r="D165" t="s">
        <v>28</v>
      </c>
      <c r="E165" t="s">
        <v>20</v>
      </c>
      <c r="F165" t="s">
        <v>27</v>
      </c>
      <c r="G165" t="s">
        <v>29</v>
      </c>
      <c r="H165" t="s">
        <v>21</v>
      </c>
      <c r="I165" s="3">
        <v>11507</v>
      </c>
      <c r="J165" s="3" t="str">
        <f t="shared" si="2"/>
        <v>Low</v>
      </c>
      <c r="K165" t="b">
        <v>0</v>
      </c>
      <c r="L165" t="b">
        <v>1</v>
      </c>
      <c r="M165" t="b">
        <v>1</v>
      </c>
    </row>
    <row r="166" spans="1:13" x14ac:dyDescent="0.3">
      <c r="A166">
        <v>19</v>
      </c>
      <c r="B166" t="s">
        <v>25</v>
      </c>
      <c r="C166" s="1">
        <v>5</v>
      </c>
      <c r="D166" t="s">
        <v>19</v>
      </c>
      <c r="E166" t="s">
        <v>20</v>
      </c>
      <c r="F166" t="s">
        <v>22</v>
      </c>
      <c r="G166" t="s">
        <v>29</v>
      </c>
      <c r="H166" t="s">
        <v>24</v>
      </c>
      <c r="I166" s="3">
        <v>12063</v>
      </c>
      <c r="J166" s="3" t="str">
        <f t="shared" si="2"/>
        <v>Medium</v>
      </c>
      <c r="K166" t="b">
        <v>0</v>
      </c>
      <c r="L166" t="b">
        <v>0</v>
      </c>
      <c r="M166" t="b">
        <v>1</v>
      </c>
    </row>
    <row r="167" spans="1:13" x14ac:dyDescent="0.3">
      <c r="A167">
        <v>59</v>
      </c>
      <c r="B167" t="s">
        <v>18</v>
      </c>
      <c r="C167" s="1">
        <v>9</v>
      </c>
      <c r="D167" t="s">
        <v>19</v>
      </c>
      <c r="E167" t="s">
        <v>26</v>
      </c>
      <c r="F167" t="s">
        <v>15</v>
      </c>
      <c r="G167" t="s">
        <v>23</v>
      </c>
      <c r="H167" t="s">
        <v>17</v>
      </c>
      <c r="I167" s="3">
        <v>13642</v>
      </c>
      <c r="J167" s="3" t="str">
        <f t="shared" si="2"/>
        <v>Medium</v>
      </c>
      <c r="K167" t="b">
        <v>1</v>
      </c>
      <c r="L167" t="b">
        <v>0</v>
      </c>
      <c r="M167" t="b">
        <v>1</v>
      </c>
    </row>
    <row r="168" spans="1:13" x14ac:dyDescent="0.3">
      <c r="A168">
        <v>62</v>
      </c>
      <c r="B168" t="s">
        <v>25</v>
      </c>
      <c r="C168" s="1">
        <v>5</v>
      </c>
      <c r="D168" t="s">
        <v>19</v>
      </c>
      <c r="E168" t="s">
        <v>14</v>
      </c>
      <c r="F168" t="s">
        <v>27</v>
      </c>
      <c r="G168" t="s">
        <v>23</v>
      </c>
      <c r="H168" t="s">
        <v>24</v>
      </c>
      <c r="I168" s="3">
        <v>12000</v>
      </c>
      <c r="J168" s="3" t="str">
        <f t="shared" si="2"/>
        <v>Medium</v>
      </c>
      <c r="K168" t="b">
        <v>0</v>
      </c>
      <c r="L168" t="b">
        <v>0</v>
      </c>
      <c r="M168" t="b">
        <v>1</v>
      </c>
    </row>
    <row r="169" spans="1:13" x14ac:dyDescent="0.3">
      <c r="A169">
        <v>23</v>
      </c>
      <c r="B169" t="s">
        <v>25</v>
      </c>
      <c r="C169" s="1">
        <v>2</v>
      </c>
      <c r="D169" t="s">
        <v>19</v>
      </c>
      <c r="E169" t="s">
        <v>14</v>
      </c>
      <c r="F169" t="s">
        <v>27</v>
      </c>
      <c r="G169" t="s">
        <v>16</v>
      </c>
      <c r="H169" t="s">
        <v>24</v>
      </c>
      <c r="I169" s="3">
        <v>11294</v>
      </c>
      <c r="J169" s="3" t="str">
        <f t="shared" si="2"/>
        <v>Low</v>
      </c>
      <c r="K169" t="b">
        <v>0</v>
      </c>
      <c r="L169" t="b">
        <v>1</v>
      </c>
      <c r="M169" t="b">
        <v>1</v>
      </c>
    </row>
    <row r="170" spans="1:13" x14ac:dyDescent="0.3">
      <c r="A170">
        <v>45</v>
      </c>
      <c r="B170" t="s">
        <v>25</v>
      </c>
      <c r="C170" s="1">
        <v>5</v>
      </c>
      <c r="D170" t="s">
        <v>13</v>
      </c>
      <c r="E170" t="s">
        <v>26</v>
      </c>
      <c r="F170" t="s">
        <v>27</v>
      </c>
      <c r="G170" t="s">
        <v>23</v>
      </c>
      <c r="H170" t="s">
        <v>17</v>
      </c>
      <c r="I170" s="3">
        <v>14065</v>
      </c>
      <c r="J170" s="3" t="str">
        <f t="shared" si="2"/>
        <v>Medium</v>
      </c>
      <c r="K170" t="b">
        <v>1</v>
      </c>
      <c r="L170" t="b">
        <v>0</v>
      </c>
      <c r="M170" t="b">
        <v>0</v>
      </c>
    </row>
    <row r="171" spans="1:13" x14ac:dyDescent="0.3">
      <c r="A171">
        <v>45</v>
      </c>
      <c r="B171" t="s">
        <v>12</v>
      </c>
      <c r="C171" s="1">
        <v>4</v>
      </c>
      <c r="D171" t="s">
        <v>28</v>
      </c>
      <c r="E171" t="s">
        <v>20</v>
      </c>
      <c r="F171" t="s">
        <v>15</v>
      </c>
      <c r="G171" t="s">
        <v>16</v>
      </c>
      <c r="H171" t="s">
        <v>24</v>
      </c>
      <c r="I171" s="3">
        <v>18014</v>
      </c>
      <c r="J171" s="3" t="str">
        <f t="shared" si="2"/>
        <v>High</v>
      </c>
      <c r="K171" t="b">
        <v>1</v>
      </c>
      <c r="L171" t="b">
        <v>1</v>
      </c>
      <c r="M171" t="b">
        <v>1</v>
      </c>
    </row>
    <row r="172" spans="1:13" x14ac:dyDescent="0.3">
      <c r="A172">
        <v>61</v>
      </c>
      <c r="B172" t="s">
        <v>25</v>
      </c>
      <c r="C172" s="1">
        <v>7</v>
      </c>
      <c r="D172" t="s">
        <v>19</v>
      </c>
      <c r="E172" t="s">
        <v>26</v>
      </c>
      <c r="F172" t="s">
        <v>22</v>
      </c>
      <c r="G172" t="s">
        <v>29</v>
      </c>
      <c r="H172" t="s">
        <v>24</v>
      </c>
      <c r="I172" s="3">
        <v>19945</v>
      </c>
      <c r="J172" s="3" t="str">
        <f t="shared" si="2"/>
        <v>High</v>
      </c>
      <c r="K172" t="b">
        <v>1</v>
      </c>
      <c r="L172" t="b">
        <v>1</v>
      </c>
      <c r="M172" t="b">
        <v>1</v>
      </c>
    </row>
    <row r="173" spans="1:13" x14ac:dyDescent="0.3">
      <c r="A173">
        <v>61</v>
      </c>
      <c r="B173" t="s">
        <v>12</v>
      </c>
      <c r="C173" s="1">
        <v>6</v>
      </c>
      <c r="D173" t="s">
        <v>13</v>
      </c>
      <c r="E173" t="s">
        <v>26</v>
      </c>
      <c r="F173" t="s">
        <v>27</v>
      </c>
      <c r="G173" t="s">
        <v>29</v>
      </c>
      <c r="H173" t="s">
        <v>21</v>
      </c>
      <c r="I173" s="3">
        <v>11603</v>
      </c>
      <c r="J173" s="3" t="str">
        <f t="shared" si="2"/>
        <v>Low</v>
      </c>
      <c r="K173" t="b">
        <v>0</v>
      </c>
      <c r="L173" t="b">
        <v>0</v>
      </c>
      <c r="M173" t="b">
        <v>1</v>
      </c>
    </row>
    <row r="174" spans="1:13" x14ac:dyDescent="0.3">
      <c r="A174">
        <v>37</v>
      </c>
      <c r="B174" t="s">
        <v>12</v>
      </c>
      <c r="C174" s="1">
        <v>2</v>
      </c>
      <c r="D174" t="s">
        <v>28</v>
      </c>
      <c r="E174" t="s">
        <v>20</v>
      </c>
      <c r="F174" t="s">
        <v>22</v>
      </c>
      <c r="G174" t="s">
        <v>23</v>
      </c>
      <c r="H174" t="s">
        <v>24</v>
      </c>
      <c r="I174" s="3">
        <v>11322</v>
      </c>
      <c r="J174" s="3" t="str">
        <f t="shared" si="2"/>
        <v>Low</v>
      </c>
      <c r="K174" t="b">
        <v>0</v>
      </c>
      <c r="L174" t="b">
        <v>0</v>
      </c>
      <c r="M174" t="b">
        <v>1</v>
      </c>
    </row>
    <row r="175" spans="1:13" x14ac:dyDescent="0.3">
      <c r="A175">
        <v>47</v>
      </c>
      <c r="B175" t="s">
        <v>12</v>
      </c>
      <c r="C175" s="1">
        <v>5</v>
      </c>
      <c r="D175" t="s">
        <v>28</v>
      </c>
      <c r="E175" t="s">
        <v>26</v>
      </c>
      <c r="F175" t="s">
        <v>22</v>
      </c>
      <c r="G175" t="s">
        <v>29</v>
      </c>
      <c r="H175" t="s">
        <v>24</v>
      </c>
      <c r="I175" s="3">
        <v>15956</v>
      </c>
      <c r="J175" s="3" t="str">
        <f t="shared" si="2"/>
        <v>High</v>
      </c>
      <c r="K175" t="b">
        <v>0</v>
      </c>
      <c r="L175" t="b">
        <v>0</v>
      </c>
      <c r="M175" t="b">
        <v>1</v>
      </c>
    </row>
    <row r="176" spans="1:13" x14ac:dyDescent="0.3">
      <c r="A176">
        <v>28</v>
      </c>
      <c r="B176" t="s">
        <v>18</v>
      </c>
      <c r="C176" s="1">
        <v>7</v>
      </c>
      <c r="D176" t="s">
        <v>13</v>
      </c>
      <c r="E176" t="s">
        <v>26</v>
      </c>
      <c r="F176" t="s">
        <v>15</v>
      </c>
      <c r="G176" t="s">
        <v>29</v>
      </c>
      <c r="H176" t="s">
        <v>17</v>
      </c>
      <c r="I176" s="3">
        <v>12441</v>
      </c>
      <c r="J176" s="3" t="str">
        <f t="shared" si="2"/>
        <v>Medium</v>
      </c>
      <c r="K176" t="b">
        <v>0</v>
      </c>
      <c r="L176" t="b">
        <v>1</v>
      </c>
      <c r="M176" t="b">
        <v>0</v>
      </c>
    </row>
    <row r="177" spans="1:13" x14ac:dyDescent="0.3">
      <c r="A177">
        <v>45</v>
      </c>
      <c r="B177" t="s">
        <v>12</v>
      </c>
      <c r="C177" s="1">
        <v>7</v>
      </c>
      <c r="D177" t="s">
        <v>13</v>
      </c>
      <c r="E177" t="s">
        <v>26</v>
      </c>
      <c r="F177" t="s">
        <v>27</v>
      </c>
      <c r="G177" t="s">
        <v>23</v>
      </c>
      <c r="H177" t="s">
        <v>21</v>
      </c>
      <c r="I177" s="3">
        <v>11098</v>
      </c>
      <c r="J177" s="3" t="str">
        <f t="shared" si="2"/>
        <v>Low</v>
      </c>
      <c r="K177" t="b">
        <v>1</v>
      </c>
      <c r="L177" t="b">
        <v>0</v>
      </c>
      <c r="M177" t="b">
        <v>1</v>
      </c>
    </row>
    <row r="178" spans="1:13" x14ac:dyDescent="0.3">
      <c r="A178">
        <v>42</v>
      </c>
      <c r="B178" t="s">
        <v>12</v>
      </c>
      <c r="C178" s="1">
        <v>5</v>
      </c>
      <c r="D178" t="s">
        <v>19</v>
      </c>
      <c r="E178" t="s">
        <v>20</v>
      </c>
      <c r="F178" t="s">
        <v>22</v>
      </c>
      <c r="G178" t="s">
        <v>16</v>
      </c>
      <c r="H178" t="s">
        <v>21</v>
      </c>
      <c r="I178" s="3">
        <v>15073</v>
      </c>
      <c r="J178" s="3" t="str">
        <f t="shared" si="2"/>
        <v>High</v>
      </c>
      <c r="K178" t="b">
        <v>0</v>
      </c>
      <c r="L178" t="b">
        <v>1</v>
      </c>
      <c r="M178" t="b">
        <v>0</v>
      </c>
    </row>
    <row r="179" spans="1:13" x14ac:dyDescent="0.3">
      <c r="A179">
        <v>56</v>
      </c>
      <c r="B179" t="s">
        <v>18</v>
      </c>
      <c r="C179" s="1">
        <v>9</v>
      </c>
      <c r="D179" t="s">
        <v>28</v>
      </c>
      <c r="E179" t="s">
        <v>14</v>
      </c>
      <c r="F179" t="s">
        <v>27</v>
      </c>
      <c r="G179" t="s">
        <v>23</v>
      </c>
      <c r="H179" t="s">
        <v>21</v>
      </c>
      <c r="I179" s="3">
        <v>19697</v>
      </c>
      <c r="J179" s="3" t="str">
        <f t="shared" si="2"/>
        <v>High</v>
      </c>
      <c r="K179" t="b">
        <v>1</v>
      </c>
      <c r="L179" t="b">
        <v>0</v>
      </c>
      <c r="M179" t="b">
        <v>1</v>
      </c>
    </row>
    <row r="180" spans="1:13" x14ac:dyDescent="0.3">
      <c r="A180">
        <v>50</v>
      </c>
      <c r="B180" t="s">
        <v>12</v>
      </c>
      <c r="C180" s="1">
        <v>4</v>
      </c>
      <c r="D180" t="s">
        <v>28</v>
      </c>
      <c r="E180" t="s">
        <v>14</v>
      </c>
      <c r="F180" t="s">
        <v>27</v>
      </c>
      <c r="G180" t="s">
        <v>16</v>
      </c>
      <c r="H180" t="s">
        <v>24</v>
      </c>
      <c r="I180" s="3">
        <v>19318</v>
      </c>
      <c r="J180" s="3" t="str">
        <f t="shared" si="2"/>
        <v>High</v>
      </c>
      <c r="K180" t="b">
        <v>0</v>
      </c>
      <c r="L180" t="b">
        <v>0</v>
      </c>
      <c r="M180" t="b">
        <v>0</v>
      </c>
    </row>
    <row r="181" spans="1:13" x14ac:dyDescent="0.3">
      <c r="A181">
        <v>18</v>
      </c>
      <c r="B181" t="s">
        <v>25</v>
      </c>
      <c r="C181" s="1">
        <v>3</v>
      </c>
      <c r="D181" t="s">
        <v>13</v>
      </c>
      <c r="E181" t="s">
        <v>20</v>
      </c>
      <c r="F181" t="s">
        <v>15</v>
      </c>
      <c r="G181" t="s">
        <v>23</v>
      </c>
      <c r="H181" t="s">
        <v>21</v>
      </c>
      <c r="I181" s="3">
        <v>18488</v>
      </c>
      <c r="J181" s="3" t="str">
        <f t="shared" si="2"/>
        <v>High</v>
      </c>
      <c r="K181" t="b">
        <v>0</v>
      </c>
      <c r="L181" t="b">
        <v>1</v>
      </c>
      <c r="M181" t="b">
        <v>0</v>
      </c>
    </row>
    <row r="182" spans="1:13" x14ac:dyDescent="0.3">
      <c r="A182">
        <v>44</v>
      </c>
      <c r="B182" t="s">
        <v>25</v>
      </c>
      <c r="C182" s="1">
        <v>4</v>
      </c>
      <c r="D182" t="s">
        <v>28</v>
      </c>
      <c r="E182" t="s">
        <v>14</v>
      </c>
      <c r="F182" t="s">
        <v>27</v>
      </c>
      <c r="G182" t="s">
        <v>23</v>
      </c>
      <c r="H182" t="s">
        <v>17</v>
      </c>
      <c r="I182" s="3">
        <v>13787</v>
      </c>
      <c r="J182" s="3" t="str">
        <f t="shared" si="2"/>
        <v>Medium</v>
      </c>
      <c r="K182" t="b">
        <v>1</v>
      </c>
      <c r="L182" t="b">
        <v>1</v>
      </c>
      <c r="M182" t="b">
        <v>1</v>
      </c>
    </row>
    <row r="183" spans="1:13" x14ac:dyDescent="0.3">
      <c r="A183">
        <v>30</v>
      </c>
      <c r="B183" t="s">
        <v>12</v>
      </c>
      <c r="C183" s="1">
        <v>5</v>
      </c>
      <c r="D183" t="s">
        <v>19</v>
      </c>
      <c r="E183" t="s">
        <v>26</v>
      </c>
      <c r="F183" t="s">
        <v>27</v>
      </c>
      <c r="G183" t="s">
        <v>29</v>
      </c>
      <c r="H183" t="s">
        <v>21</v>
      </c>
      <c r="I183" s="3">
        <v>12096</v>
      </c>
      <c r="J183" s="3" t="str">
        <f t="shared" si="2"/>
        <v>Medium</v>
      </c>
      <c r="K183" t="b">
        <v>0</v>
      </c>
      <c r="L183" t="b">
        <v>0</v>
      </c>
      <c r="M183" t="b">
        <v>1</v>
      </c>
    </row>
    <row r="184" spans="1:13" x14ac:dyDescent="0.3">
      <c r="A184">
        <v>58</v>
      </c>
      <c r="B184" t="s">
        <v>18</v>
      </c>
      <c r="C184" s="1">
        <v>6</v>
      </c>
      <c r="D184" t="s">
        <v>28</v>
      </c>
      <c r="E184" t="s">
        <v>14</v>
      </c>
      <c r="F184" t="s">
        <v>22</v>
      </c>
      <c r="G184" t="s">
        <v>23</v>
      </c>
      <c r="H184" t="s">
        <v>17</v>
      </c>
      <c r="I184" s="3">
        <v>12208</v>
      </c>
      <c r="J184" s="3" t="str">
        <f t="shared" si="2"/>
        <v>Medium</v>
      </c>
      <c r="K184" t="b">
        <v>0</v>
      </c>
      <c r="L184" t="b">
        <v>0</v>
      </c>
      <c r="M184" t="b">
        <v>1</v>
      </c>
    </row>
    <row r="185" spans="1:13" x14ac:dyDescent="0.3">
      <c r="A185">
        <v>20</v>
      </c>
      <c r="B185" t="s">
        <v>25</v>
      </c>
      <c r="C185" s="1">
        <v>3</v>
      </c>
      <c r="D185" t="s">
        <v>13</v>
      </c>
      <c r="E185" t="s">
        <v>26</v>
      </c>
      <c r="F185" t="s">
        <v>15</v>
      </c>
      <c r="G185" t="s">
        <v>23</v>
      </c>
      <c r="H185" t="s">
        <v>21</v>
      </c>
      <c r="I185" s="3">
        <v>15988</v>
      </c>
      <c r="J185" s="3" t="str">
        <f t="shared" si="2"/>
        <v>High</v>
      </c>
      <c r="K185" t="b">
        <v>1</v>
      </c>
      <c r="L185" t="b">
        <v>0</v>
      </c>
      <c r="M185" t="b">
        <v>1</v>
      </c>
    </row>
    <row r="186" spans="1:13" x14ac:dyDescent="0.3">
      <c r="A186">
        <v>56</v>
      </c>
      <c r="B186" t="s">
        <v>18</v>
      </c>
      <c r="C186" s="1">
        <v>2</v>
      </c>
      <c r="D186" t="s">
        <v>13</v>
      </c>
      <c r="E186" t="s">
        <v>14</v>
      </c>
      <c r="F186" t="s">
        <v>27</v>
      </c>
      <c r="G186" t="s">
        <v>16</v>
      </c>
      <c r="H186" t="s">
        <v>21</v>
      </c>
      <c r="I186" s="3">
        <v>10175</v>
      </c>
      <c r="J186" s="3" t="str">
        <f t="shared" si="2"/>
        <v>Low</v>
      </c>
      <c r="K186" t="b">
        <v>0</v>
      </c>
      <c r="L186" t="b">
        <v>0</v>
      </c>
      <c r="M186" t="b">
        <v>1</v>
      </c>
    </row>
    <row r="187" spans="1:13" x14ac:dyDescent="0.3">
      <c r="A187">
        <v>23</v>
      </c>
      <c r="B187" t="s">
        <v>18</v>
      </c>
      <c r="C187" s="1">
        <v>4</v>
      </c>
      <c r="D187" t="s">
        <v>19</v>
      </c>
      <c r="E187" t="s">
        <v>20</v>
      </c>
      <c r="F187" t="s">
        <v>22</v>
      </c>
      <c r="G187" t="s">
        <v>29</v>
      </c>
      <c r="H187" t="s">
        <v>17</v>
      </c>
      <c r="I187" s="3">
        <v>17169</v>
      </c>
      <c r="J187" s="3" t="str">
        <f t="shared" si="2"/>
        <v>High</v>
      </c>
      <c r="K187" t="b">
        <v>1</v>
      </c>
      <c r="L187" t="b">
        <v>0</v>
      </c>
      <c r="M187" t="b">
        <v>0</v>
      </c>
    </row>
    <row r="188" spans="1:13" x14ac:dyDescent="0.3">
      <c r="A188">
        <v>25</v>
      </c>
      <c r="B188" t="s">
        <v>25</v>
      </c>
      <c r="C188" s="1">
        <v>5</v>
      </c>
      <c r="D188" t="s">
        <v>19</v>
      </c>
      <c r="E188" t="s">
        <v>14</v>
      </c>
      <c r="F188" t="s">
        <v>15</v>
      </c>
      <c r="G188" t="s">
        <v>16</v>
      </c>
      <c r="H188" t="s">
        <v>21</v>
      </c>
      <c r="I188" s="3">
        <v>16014</v>
      </c>
      <c r="J188" s="3" t="str">
        <f t="shared" si="2"/>
        <v>High</v>
      </c>
      <c r="K188" t="b">
        <v>1</v>
      </c>
      <c r="L188" t="b">
        <v>1</v>
      </c>
      <c r="M188" t="b">
        <v>1</v>
      </c>
    </row>
    <row r="189" spans="1:13" x14ac:dyDescent="0.3">
      <c r="A189">
        <v>44</v>
      </c>
      <c r="B189" t="s">
        <v>18</v>
      </c>
      <c r="C189" s="1">
        <v>4</v>
      </c>
      <c r="D189" t="s">
        <v>28</v>
      </c>
      <c r="E189" t="s">
        <v>14</v>
      </c>
      <c r="F189" t="s">
        <v>15</v>
      </c>
      <c r="G189" t="s">
        <v>16</v>
      </c>
      <c r="H189" t="s">
        <v>21</v>
      </c>
      <c r="I189" s="3">
        <v>11667</v>
      </c>
      <c r="J189" s="3" t="str">
        <f t="shared" si="2"/>
        <v>Low</v>
      </c>
      <c r="K189" t="b">
        <v>1</v>
      </c>
      <c r="L189" t="b">
        <v>1</v>
      </c>
      <c r="M189" t="b">
        <v>1</v>
      </c>
    </row>
    <row r="190" spans="1:13" x14ac:dyDescent="0.3">
      <c r="A190">
        <v>26</v>
      </c>
      <c r="B190" t="s">
        <v>25</v>
      </c>
      <c r="C190" s="1">
        <v>3</v>
      </c>
      <c r="D190" t="s">
        <v>28</v>
      </c>
      <c r="E190" t="s">
        <v>14</v>
      </c>
      <c r="F190" t="s">
        <v>22</v>
      </c>
      <c r="G190" t="s">
        <v>29</v>
      </c>
      <c r="H190" t="s">
        <v>21</v>
      </c>
      <c r="I190" s="3">
        <v>18867</v>
      </c>
      <c r="J190" s="3" t="str">
        <f t="shared" si="2"/>
        <v>High</v>
      </c>
      <c r="K190" t="b">
        <v>1</v>
      </c>
      <c r="L190" t="b">
        <v>1</v>
      </c>
      <c r="M190" t="b">
        <v>0</v>
      </c>
    </row>
    <row r="191" spans="1:13" x14ac:dyDescent="0.3">
      <c r="A191">
        <v>54</v>
      </c>
      <c r="B191" t="s">
        <v>18</v>
      </c>
      <c r="C191" s="1">
        <v>8</v>
      </c>
      <c r="D191" t="s">
        <v>13</v>
      </c>
      <c r="E191" t="s">
        <v>20</v>
      </c>
      <c r="F191" t="s">
        <v>22</v>
      </c>
      <c r="G191" t="s">
        <v>29</v>
      </c>
      <c r="H191" t="s">
        <v>24</v>
      </c>
      <c r="I191" s="3">
        <v>11823</v>
      </c>
      <c r="J191" s="3" t="str">
        <f t="shared" si="2"/>
        <v>Low</v>
      </c>
      <c r="K191" t="b">
        <v>0</v>
      </c>
      <c r="L191" t="b">
        <v>1</v>
      </c>
      <c r="M191" t="b">
        <v>1</v>
      </c>
    </row>
    <row r="192" spans="1:13" x14ac:dyDescent="0.3">
      <c r="A192">
        <v>50</v>
      </c>
      <c r="B192" t="s">
        <v>25</v>
      </c>
      <c r="C192" s="1">
        <v>4</v>
      </c>
      <c r="D192" t="s">
        <v>19</v>
      </c>
      <c r="E192" t="s">
        <v>14</v>
      </c>
      <c r="F192" t="s">
        <v>22</v>
      </c>
      <c r="G192" t="s">
        <v>29</v>
      </c>
      <c r="H192" t="s">
        <v>17</v>
      </c>
      <c r="I192" s="3">
        <v>15147</v>
      </c>
      <c r="J192" s="3" t="str">
        <f t="shared" si="2"/>
        <v>High</v>
      </c>
      <c r="K192" t="b">
        <v>0</v>
      </c>
      <c r="L192" t="b">
        <v>0</v>
      </c>
      <c r="M192" t="b">
        <v>0</v>
      </c>
    </row>
    <row r="193" spans="1:13" x14ac:dyDescent="0.3">
      <c r="A193">
        <v>59</v>
      </c>
      <c r="B193" t="s">
        <v>12</v>
      </c>
      <c r="C193" s="1">
        <v>2</v>
      </c>
      <c r="D193" t="s">
        <v>19</v>
      </c>
      <c r="E193" t="s">
        <v>20</v>
      </c>
      <c r="F193" t="s">
        <v>22</v>
      </c>
      <c r="G193" t="s">
        <v>23</v>
      </c>
      <c r="H193" t="s">
        <v>21</v>
      </c>
      <c r="I193" s="3">
        <v>11356</v>
      </c>
      <c r="J193" s="3" t="str">
        <f t="shared" si="2"/>
        <v>Low</v>
      </c>
      <c r="K193" t="b">
        <v>0</v>
      </c>
      <c r="L193" t="b">
        <v>1</v>
      </c>
      <c r="M193" t="b">
        <v>1</v>
      </c>
    </row>
    <row r="194" spans="1:13" x14ac:dyDescent="0.3">
      <c r="A194">
        <v>61</v>
      </c>
      <c r="B194" t="s">
        <v>25</v>
      </c>
      <c r="C194" s="1">
        <v>2</v>
      </c>
      <c r="D194" t="s">
        <v>19</v>
      </c>
      <c r="E194" t="s">
        <v>26</v>
      </c>
      <c r="F194" t="s">
        <v>22</v>
      </c>
      <c r="G194" t="s">
        <v>29</v>
      </c>
      <c r="H194" t="s">
        <v>17</v>
      </c>
      <c r="I194" s="3">
        <v>13072</v>
      </c>
      <c r="J194" s="3" t="str">
        <f t="shared" si="2"/>
        <v>Medium</v>
      </c>
      <c r="K194" t="b">
        <v>1</v>
      </c>
      <c r="L194" t="b">
        <v>1</v>
      </c>
      <c r="M194" t="b">
        <v>0</v>
      </c>
    </row>
    <row r="195" spans="1:13" x14ac:dyDescent="0.3">
      <c r="A195">
        <v>41</v>
      </c>
      <c r="B195" t="s">
        <v>25</v>
      </c>
      <c r="C195" s="1">
        <v>1</v>
      </c>
      <c r="D195" t="s">
        <v>28</v>
      </c>
      <c r="E195" t="s">
        <v>14</v>
      </c>
      <c r="F195" t="s">
        <v>27</v>
      </c>
      <c r="G195" t="s">
        <v>29</v>
      </c>
      <c r="H195" t="s">
        <v>17</v>
      </c>
      <c r="I195" s="3">
        <v>13259</v>
      </c>
      <c r="J195" s="3" t="str">
        <f t="shared" ref="J195:J258" si="3">IF(I195&gt;16000, "High", IF(I195&gt;=12000, IF(I195&lt;=15000, "Medium", "High"), "Low"))</f>
        <v>Medium</v>
      </c>
      <c r="K195" t="b">
        <v>0</v>
      </c>
      <c r="L195" t="b">
        <v>1</v>
      </c>
      <c r="M195" t="b">
        <v>1</v>
      </c>
    </row>
    <row r="196" spans="1:13" x14ac:dyDescent="0.3">
      <c r="A196">
        <v>32</v>
      </c>
      <c r="B196" t="s">
        <v>25</v>
      </c>
      <c r="C196" s="1">
        <v>4</v>
      </c>
      <c r="D196" t="s">
        <v>19</v>
      </c>
      <c r="E196" t="s">
        <v>20</v>
      </c>
      <c r="F196" t="s">
        <v>27</v>
      </c>
      <c r="G196" t="s">
        <v>29</v>
      </c>
      <c r="H196" t="s">
        <v>17</v>
      </c>
      <c r="I196" s="3">
        <v>16199</v>
      </c>
      <c r="J196" s="3" t="str">
        <f t="shared" si="3"/>
        <v>High</v>
      </c>
      <c r="K196" t="b">
        <v>0</v>
      </c>
      <c r="L196" t="b">
        <v>0</v>
      </c>
      <c r="M196" t="b">
        <v>0</v>
      </c>
    </row>
    <row r="197" spans="1:13" x14ac:dyDescent="0.3">
      <c r="A197">
        <v>49</v>
      </c>
      <c r="B197" t="s">
        <v>25</v>
      </c>
      <c r="C197" s="1">
        <v>9</v>
      </c>
      <c r="D197" t="s">
        <v>13</v>
      </c>
      <c r="E197" t="s">
        <v>20</v>
      </c>
      <c r="F197" t="s">
        <v>15</v>
      </c>
      <c r="G197" t="s">
        <v>16</v>
      </c>
      <c r="H197" t="s">
        <v>21</v>
      </c>
      <c r="I197" s="3">
        <v>10546</v>
      </c>
      <c r="J197" s="3" t="str">
        <f t="shared" si="3"/>
        <v>Low</v>
      </c>
      <c r="K197" t="b">
        <v>0</v>
      </c>
      <c r="L197" t="b">
        <v>1</v>
      </c>
      <c r="M197" t="b">
        <v>0</v>
      </c>
    </row>
    <row r="198" spans="1:13" x14ac:dyDescent="0.3">
      <c r="A198">
        <v>49</v>
      </c>
      <c r="B198" t="s">
        <v>18</v>
      </c>
      <c r="C198" s="1">
        <v>7</v>
      </c>
      <c r="D198" t="s">
        <v>13</v>
      </c>
      <c r="E198" t="s">
        <v>14</v>
      </c>
      <c r="F198" t="s">
        <v>27</v>
      </c>
      <c r="G198" t="s">
        <v>16</v>
      </c>
      <c r="H198" t="s">
        <v>21</v>
      </c>
      <c r="I198" s="3">
        <v>15231</v>
      </c>
      <c r="J198" s="3" t="str">
        <f t="shared" si="3"/>
        <v>High</v>
      </c>
      <c r="K198" t="b">
        <v>0</v>
      </c>
      <c r="L198" t="b">
        <v>0</v>
      </c>
      <c r="M198" t="b">
        <v>1</v>
      </c>
    </row>
    <row r="199" spans="1:13" x14ac:dyDescent="0.3">
      <c r="A199">
        <v>41</v>
      </c>
      <c r="B199" t="s">
        <v>12</v>
      </c>
      <c r="C199" s="1">
        <v>7</v>
      </c>
      <c r="D199" t="s">
        <v>28</v>
      </c>
      <c r="E199" t="s">
        <v>26</v>
      </c>
      <c r="F199" t="s">
        <v>27</v>
      </c>
      <c r="G199" t="s">
        <v>23</v>
      </c>
      <c r="H199" t="s">
        <v>17</v>
      </c>
      <c r="I199" s="3">
        <v>17965</v>
      </c>
      <c r="J199" s="3" t="str">
        <f t="shared" si="3"/>
        <v>High</v>
      </c>
      <c r="K199" t="b">
        <v>1</v>
      </c>
      <c r="L199" t="b">
        <v>1</v>
      </c>
      <c r="M199" t="b">
        <v>1</v>
      </c>
    </row>
    <row r="200" spans="1:13" x14ac:dyDescent="0.3">
      <c r="A200">
        <v>58</v>
      </c>
      <c r="B200" t="s">
        <v>25</v>
      </c>
      <c r="C200" s="1">
        <v>7</v>
      </c>
      <c r="D200" t="s">
        <v>28</v>
      </c>
      <c r="E200" t="s">
        <v>20</v>
      </c>
      <c r="F200" t="s">
        <v>27</v>
      </c>
      <c r="G200" t="s">
        <v>16</v>
      </c>
      <c r="H200" t="s">
        <v>24</v>
      </c>
      <c r="I200" s="3">
        <v>12083</v>
      </c>
      <c r="J200" s="3" t="str">
        <f t="shared" si="3"/>
        <v>Medium</v>
      </c>
      <c r="K200" t="b">
        <v>1</v>
      </c>
      <c r="L200" t="b">
        <v>0</v>
      </c>
      <c r="M200" t="b">
        <v>1</v>
      </c>
    </row>
    <row r="201" spans="1:13" x14ac:dyDescent="0.3">
      <c r="A201">
        <v>29</v>
      </c>
      <c r="B201" t="s">
        <v>18</v>
      </c>
      <c r="C201" s="1">
        <v>8</v>
      </c>
      <c r="D201" t="s">
        <v>19</v>
      </c>
      <c r="E201" t="s">
        <v>14</v>
      </c>
      <c r="F201" t="s">
        <v>22</v>
      </c>
      <c r="G201" t="s">
        <v>23</v>
      </c>
      <c r="H201" t="s">
        <v>17</v>
      </c>
      <c r="I201" s="3">
        <v>12040</v>
      </c>
      <c r="J201" s="3" t="str">
        <f t="shared" si="3"/>
        <v>Medium</v>
      </c>
      <c r="K201" t="b">
        <v>0</v>
      </c>
      <c r="L201" t="b">
        <v>1</v>
      </c>
      <c r="M201" t="b">
        <v>0</v>
      </c>
    </row>
    <row r="202" spans="1:13" x14ac:dyDescent="0.3">
      <c r="A202">
        <v>56</v>
      </c>
      <c r="B202" t="s">
        <v>12</v>
      </c>
      <c r="C202" s="1">
        <v>1</v>
      </c>
      <c r="D202" t="s">
        <v>28</v>
      </c>
      <c r="E202" t="s">
        <v>26</v>
      </c>
      <c r="F202" t="s">
        <v>15</v>
      </c>
      <c r="G202" t="s">
        <v>16</v>
      </c>
      <c r="H202" t="s">
        <v>24</v>
      </c>
      <c r="I202" s="3">
        <v>14534</v>
      </c>
      <c r="J202" s="3" t="str">
        <f t="shared" si="3"/>
        <v>Medium</v>
      </c>
      <c r="K202" t="b">
        <v>1</v>
      </c>
      <c r="L202" t="b">
        <v>0</v>
      </c>
      <c r="M202" t="b">
        <v>0</v>
      </c>
    </row>
    <row r="203" spans="1:13" x14ac:dyDescent="0.3">
      <c r="A203">
        <v>19</v>
      </c>
      <c r="B203" t="s">
        <v>12</v>
      </c>
      <c r="C203" s="1">
        <v>8</v>
      </c>
      <c r="D203" t="s">
        <v>13</v>
      </c>
      <c r="E203" t="s">
        <v>20</v>
      </c>
      <c r="F203" t="s">
        <v>15</v>
      </c>
      <c r="G203" t="s">
        <v>29</v>
      </c>
      <c r="H203" t="s">
        <v>17</v>
      </c>
      <c r="I203" s="3">
        <v>11752</v>
      </c>
      <c r="J203" s="3" t="str">
        <f t="shared" si="3"/>
        <v>Low</v>
      </c>
      <c r="K203" t="b">
        <v>0</v>
      </c>
      <c r="L203" t="b">
        <v>1</v>
      </c>
      <c r="M203" t="b">
        <v>0</v>
      </c>
    </row>
    <row r="204" spans="1:13" x14ac:dyDescent="0.3">
      <c r="A204">
        <v>20</v>
      </c>
      <c r="B204" t="s">
        <v>12</v>
      </c>
      <c r="C204" s="1">
        <v>4</v>
      </c>
      <c r="D204" t="s">
        <v>19</v>
      </c>
      <c r="E204" t="s">
        <v>20</v>
      </c>
      <c r="F204" t="s">
        <v>15</v>
      </c>
      <c r="G204" t="s">
        <v>16</v>
      </c>
      <c r="H204" t="s">
        <v>17</v>
      </c>
      <c r="I204" s="3">
        <v>19807</v>
      </c>
      <c r="J204" s="3" t="str">
        <f t="shared" si="3"/>
        <v>High</v>
      </c>
      <c r="K204" t="b">
        <v>0</v>
      </c>
      <c r="L204" t="b">
        <v>0</v>
      </c>
      <c r="M204" t="b">
        <v>1</v>
      </c>
    </row>
    <row r="205" spans="1:13" x14ac:dyDescent="0.3">
      <c r="A205">
        <v>54</v>
      </c>
      <c r="B205" t="s">
        <v>12</v>
      </c>
      <c r="C205" s="1">
        <v>4</v>
      </c>
      <c r="D205" t="s">
        <v>13</v>
      </c>
      <c r="E205" t="s">
        <v>26</v>
      </c>
      <c r="F205" t="s">
        <v>15</v>
      </c>
      <c r="G205" t="s">
        <v>23</v>
      </c>
      <c r="H205" t="s">
        <v>17</v>
      </c>
      <c r="I205" s="3">
        <v>11849</v>
      </c>
      <c r="J205" s="3" t="str">
        <f t="shared" si="3"/>
        <v>Low</v>
      </c>
      <c r="K205" t="b">
        <v>0</v>
      </c>
      <c r="L205" t="b">
        <v>0</v>
      </c>
      <c r="M205" t="b">
        <v>1</v>
      </c>
    </row>
    <row r="206" spans="1:13" x14ac:dyDescent="0.3">
      <c r="A206">
        <v>34</v>
      </c>
      <c r="B206" t="s">
        <v>25</v>
      </c>
      <c r="C206" s="1">
        <v>4</v>
      </c>
      <c r="D206" t="s">
        <v>19</v>
      </c>
      <c r="E206" t="s">
        <v>26</v>
      </c>
      <c r="F206" t="s">
        <v>27</v>
      </c>
      <c r="G206" t="s">
        <v>16</v>
      </c>
      <c r="H206" t="s">
        <v>21</v>
      </c>
      <c r="I206" s="3">
        <v>12642</v>
      </c>
      <c r="J206" s="3" t="str">
        <f t="shared" si="3"/>
        <v>Medium</v>
      </c>
      <c r="K206" t="b">
        <v>1</v>
      </c>
      <c r="L206" t="b">
        <v>1</v>
      </c>
      <c r="M206" t="b">
        <v>0</v>
      </c>
    </row>
    <row r="207" spans="1:13" x14ac:dyDescent="0.3">
      <c r="A207">
        <v>19</v>
      </c>
      <c r="B207" t="s">
        <v>25</v>
      </c>
      <c r="C207" s="1">
        <v>6</v>
      </c>
      <c r="D207" t="s">
        <v>28</v>
      </c>
      <c r="E207" t="s">
        <v>14</v>
      </c>
      <c r="F207" t="s">
        <v>27</v>
      </c>
      <c r="G207" t="s">
        <v>29</v>
      </c>
      <c r="H207" t="s">
        <v>24</v>
      </c>
      <c r="I207" s="3">
        <v>11600</v>
      </c>
      <c r="J207" s="3" t="str">
        <f t="shared" si="3"/>
        <v>Low</v>
      </c>
      <c r="K207" t="b">
        <v>0</v>
      </c>
      <c r="L207" t="b">
        <v>0</v>
      </c>
      <c r="M207" t="b">
        <v>1</v>
      </c>
    </row>
    <row r="208" spans="1:13" x14ac:dyDescent="0.3">
      <c r="A208">
        <v>19</v>
      </c>
      <c r="B208" t="s">
        <v>18</v>
      </c>
      <c r="C208" s="1">
        <v>7</v>
      </c>
      <c r="D208" t="s">
        <v>19</v>
      </c>
      <c r="E208" t="s">
        <v>14</v>
      </c>
      <c r="F208" t="s">
        <v>22</v>
      </c>
      <c r="G208" t="s">
        <v>23</v>
      </c>
      <c r="H208" t="s">
        <v>24</v>
      </c>
      <c r="I208" s="3">
        <v>14402</v>
      </c>
      <c r="J208" s="3" t="str">
        <f t="shared" si="3"/>
        <v>Medium</v>
      </c>
      <c r="K208" t="b">
        <v>1</v>
      </c>
      <c r="L208" t="b">
        <v>0</v>
      </c>
      <c r="M208" t="b">
        <v>0</v>
      </c>
    </row>
    <row r="209" spans="1:13" x14ac:dyDescent="0.3">
      <c r="A209">
        <v>45</v>
      </c>
      <c r="B209" t="s">
        <v>18</v>
      </c>
      <c r="C209" s="1">
        <v>6</v>
      </c>
      <c r="D209" t="s">
        <v>19</v>
      </c>
      <c r="E209" t="s">
        <v>20</v>
      </c>
      <c r="F209" t="s">
        <v>15</v>
      </c>
      <c r="G209" t="s">
        <v>29</v>
      </c>
      <c r="H209" t="s">
        <v>17</v>
      </c>
      <c r="I209" s="3">
        <v>13799</v>
      </c>
      <c r="J209" s="3" t="str">
        <f t="shared" si="3"/>
        <v>Medium</v>
      </c>
      <c r="K209" t="b">
        <v>1</v>
      </c>
      <c r="L209" t="b">
        <v>1</v>
      </c>
      <c r="M209" t="b">
        <v>1</v>
      </c>
    </row>
    <row r="210" spans="1:13" x14ac:dyDescent="0.3">
      <c r="A210">
        <v>40</v>
      </c>
      <c r="B210" t="s">
        <v>18</v>
      </c>
      <c r="C210" s="1">
        <v>1</v>
      </c>
      <c r="D210" t="s">
        <v>13</v>
      </c>
      <c r="E210" t="s">
        <v>26</v>
      </c>
      <c r="F210" t="s">
        <v>27</v>
      </c>
      <c r="G210" t="s">
        <v>29</v>
      </c>
      <c r="H210" t="s">
        <v>21</v>
      </c>
      <c r="I210" s="3">
        <v>10618</v>
      </c>
      <c r="J210" s="3" t="str">
        <f t="shared" si="3"/>
        <v>Low</v>
      </c>
      <c r="K210" t="b">
        <v>0</v>
      </c>
      <c r="L210" t="b">
        <v>1</v>
      </c>
      <c r="M210" t="b">
        <v>1</v>
      </c>
    </row>
    <row r="211" spans="1:13" x14ac:dyDescent="0.3">
      <c r="A211">
        <v>54</v>
      </c>
      <c r="B211" t="s">
        <v>12</v>
      </c>
      <c r="C211" s="1">
        <v>8</v>
      </c>
      <c r="D211" t="s">
        <v>13</v>
      </c>
      <c r="E211" t="s">
        <v>26</v>
      </c>
      <c r="F211" t="s">
        <v>27</v>
      </c>
      <c r="G211" t="s">
        <v>23</v>
      </c>
      <c r="H211" t="s">
        <v>21</v>
      </c>
      <c r="I211" s="3">
        <v>11132</v>
      </c>
      <c r="J211" s="3" t="str">
        <f t="shared" si="3"/>
        <v>Low</v>
      </c>
      <c r="K211" t="b">
        <v>1</v>
      </c>
      <c r="L211" t="b">
        <v>0</v>
      </c>
      <c r="M211" t="b">
        <v>0</v>
      </c>
    </row>
    <row r="212" spans="1:13" x14ac:dyDescent="0.3">
      <c r="A212">
        <v>49</v>
      </c>
      <c r="B212" t="s">
        <v>12</v>
      </c>
      <c r="C212" s="1">
        <v>7</v>
      </c>
      <c r="D212" t="s">
        <v>19</v>
      </c>
      <c r="E212" t="s">
        <v>26</v>
      </c>
      <c r="F212" t="s">
        <v>22</v>
      </c>
      <c r="G212" t="s">
        <v>29</v>
      </c>
      <c r="H212" t="s">
        <v>24</v>
      </c>
      <c r="I212" s="3">
        <v>15491</v>
      </c>
      <c r="J212" s="3" t="str">
        <f t="shared" si="3"/>
        <v>High</v>
      </c>
      <c r="K212" t="b">
        <v>1</v>
      </c>
      <c r="L212" t="b">
        <v>1</v>
      </c>
      <c r="M212" t="b">
        <v>1</v>
      </c>
    </row>
    <row r="213" spans="1:13" x14ac:dyDescent="0.3">
      <c r="A213">
        <v>50</v>
      </c>
      <c r="B213" t="s">
        <v>25</v>
      </c>
      <c r="C213" s="1">
        <v>6</v>
      </c>
      <c r="D213" t="s">
        <v>28</v>
      </c>
      <c r="E213" t="s">
        <v>20</v>
      </c>
      <c r="F213" t="s">
        <v>22</v>
      </c>
      <c r="G213" t="s">
        <v>29</v>
      </c>
      <c r="H213" t="s">
        <v>21</v>
      </c>
      <c r="I213" s="3">
        <v>15795</v>
      </c>
      <c r="J213" s="3" t="str">
        <f t="shared" si="3"/>
        <v>High</v>
      </c>
      <c r="K213" t="b">
        <v>0</v>
      </c>
      <c r="L213" t="b">
        <v>1</v>
      </c>
      <c r="M213" t="b">
        <v>1</v>
      </c>
    </row>
    <row r="214" spans="1:13" x14ac:dyDescent="0.3">
      <c r="A214">
        <v>18</v>
      </c>
      <c r="B214" t="s">
        <v>12</v>
      </c>
      <c r="C214" s="1">
        <v>6</v>
      </c>
      <c r="D214" t="s">
        <v>28</v>
      </c>
      <c r="E214" t="s">
        <v>26</v>
      </c>
      <c r="F214" t="s">
        <v>22</v>
      </c>
      <c r="G214" t="s">
        <v>16</v>
      </c>
      <c r="H214" t="s">
        <v>24</v>
      </c>
      <c r="I214" s="3">
        <v>17633</v>
      </c>
      <c r="J214" s="3" t="str">
        <f t="shared" si="3"/>
        <v>High</v>
      </c>
      <c r="K214" t="b">
        <v>1</v>
      </c>
      <c r="L214" t="b">
        <v>1</v>
      </c>
      <c r="M214" t="b">
        <v>1</v>
      </c>
    </row>
    <row r="215" spans="1:13" x14ac:dyDescent="0.3">
      <c r="A215">
        <v>36</v>
      </c>
      <c r="B215" t="s">
        <v>12</v>
      </c>
      <c r="C215" s="1">
        <v>5</v>
      </c>
      <c r="D215" t="s">
        <v>13</v>
      </c>
      <c r="E215" t="s">
        <v>26</v>
      </c>
      <c r="F215" t="s">
        <v>27</v>
      </c>
      <c r="G215" t="s">
        <v>29</v>
      </c>
      <c r="H215" t="s">
        <v>24</v>
      </c>
      <c r="I215" s="3">
        <v>11487</v>
      </c>
      <c r="J215" s="3" t="str">
        <f t="shared" si="3"/>
        <v>Low</v>
      </c>
      <c r="K215" t="b">
        <v>1</v>
      </c>
      <c r="L215" t="b">
        <v>0</v>
      </c>
      <c r="M215" t="b">
        <v>1</v>
      </c>
    </row>
    <row r="216" spans="1:13" x14ac:dyDescent="0.3">
      <c r="A216">
        <v>19</v>
      </c>
      <c r="B216" t="s">
        <v>12</v>
      </c>
      <c r="C216" s="1">
        <v>6</v>
      </c>
      <c r="D216" t="s">
        <v>28</v>
      </c>
      <c r="E216" t="s">
        <v>20</v>
      </c>
      <c r="F216" t="s">
        <v>27</v>
      </c>
      <c r="G216" t="s">
        <v>29</v>
      </c>
      <c r="H216" t="s">
        <v>24</v>
      </c>
      <c r="I216" s="3">
        <v>17848</v>
      </c>
      <c r="J216" s="3" t="str">
        <f t="shared" si="3"/>
        <v>High</v>
      </c>
      <c r="K216" t="b">
        <v>0</v>
      </c>
      <c r="L216" t="b">
        <v>0</v>
      </c>
      <c r="M216" t="b">
        <v>1</v>
      </c>
    </row>
    <row r="217" spans="1:13" x14ac:dyDescent="0.3">
      <c r="A217">
        <v>61</v>
      </c>
      <c r="B217" t="s">
        <v>18</v>
      </c>
      <c r="C217" s="1">
        <v>9</v>
      </c>
      <c r="D217" t="s">
        <v>13</v>
      </c>
      <c r="E217" t="s">
        <v>14</v>
      </c>
      <c r="F217" t="s">
        <v>22</v>
      </c>
      <c r="G217" t="s">
        <v>29</v>
      </c>
      <c r="H217" t="s">
        <v>21</v>
      </c>
      <c r="I217" s="3">
        <v>15009</v>
      </c>
      <c r="J217" s="3" t="str">
        <f t="shared" si="3"/>
        <v>High</v>
      </c>
      <c r="K217" t="b">
        <v>0</v>
      </c>
      <c r="L217" t="b">
        <v>0</v>
      </c>
      <c r="M217" t="b">
        <v>0</v>
      </c>
    </row>
    <row r="218" spans="1:13" x14ac:dyDescent="0.3">
      <c r="A218">
        <v>43</v>
      </c>
      <c r="B218" t="s">
        <v>18</v>
      </c>
      <c r="C218" s="1">
        <v>9</v>
      </c>
      <c r="D218" t="s">
        <v>28</v>
      </c>
      <c r="E218" t="s">
        <v>14</v>
      </c>
      <c r="F218" t="s">
        <v>15</v>
      </c>
      <c r="G218" t="s">
        <v>29</v>
      </c>
      <c r="H218" t="s">
        <v>24</v>
      </c>
      <c r="I218" s="3">
        <v>19749</v>
      </c>
      <c r="J218" s="3" t="str">
        <f t="shared" si="3"/>
        <v>High</v>
      </c>
      <c r="K218" t="b">
        <v>1</v>
      </c>
      <c r="L218" t="b">
        <v>0</v>
      </c>
      <c r="M218" t="b">
        <v>1</v>
      </c>
    </row>
    <row r="219" spans="1:13" x14ac:dyDescent="0.3">
      <c r="A219">
        <v>49</v>
      </c>
      <c r="B219" t="s">
        <v>25</v>
      </c>
      <c r="C219" s="1">
        <v>8</v>
      </c>
      <c r="D219" t="s">
        <v>19</v>
      </c>
      <c r="E219" t="s">
        <v>20</v>
      </c>
      <c r="F219" t="s">
        <v>22</v>
      </c>
      <c r="G219" t="s">
        <v>23</v>
      </c>
      <c r="H219" t="s">
        <v>24</v>
      </c>
      <c r="I219" s="3">
        <v>12113</v>
      </c>
      <c r="J219" s="3" t="str">
        <f t="shared" si="3"/>
        <v>Medium</v>
      </c>
      <c r="K219" t="b">
        <v>0</v>
      </c>
      <c r="L219" t="b">
        <v>0</v>
      </c>
      <c r="M219" t="b">
        <v>0</v>
      </c>
    </row>
    <row r="220" spans="1:13" x14ac:dyDescent="0.3">
      <c r="A220">
        <v>23</v>
      </c>
      <c r="B220" t="s">
        <v>12</v>
      </c>
      <c r="C220" s="1">
        <v>9</v>
      </c>
      <c r="D220" t="s">
        <v>13</v>
      </c>
      <c r="E220" t="s">
        <v>26</v>
      </c>
      <c r="F220" t="s">
        <v>22</v>
      </c>
      <c r="G220" t="s">
        <v>16</v>
      </c>
      <c r="H220" t="s">
        <v>17</v>
      </c>
      <c r="I220" s="3">
        <v>11044</v>
      </c>
      <c r="J220" s="3" t="str">
        <f t="shared" si="3"/>
        <v>Low</v>
      </c>
      <c r="K220" t="b">
        <v>0</v>
      </c>
      <c r="L220" t="b">
        <v>0</v>
      </c>
      <c r="M220" t="b">
        <v>1</v>
      </c>
    </row>
    <row r="221" spans="1:13" x14ac:dyDescent="0.3">
      <c r="A221">
        <v>49</v>
      </c>
      <c r="B221" t="s">
        <v>12</v>
      </c>
      <c r="C221" s="1">
        <v>8</v>
      </c>
      <c r="D221" t="s">
        <v>13</v>
      </c>
      <c r="E221" t="s">
        <v>20</v>
      </c>
      <c r="F221" t="s">
        <v>22</v>
      </c>
      <c r="G221" t="s">
        <v>29</v>
      </c>
      <c r="H221" t="s">
        <v>24</v>
      </c>
      <c r="I221" s="3">
        <v>12431</v>
      </c>
      <c r="J221" s="3" t="str">
        <f t="shared" si="3"/>
        <v>Medium</v>
      </c>
      <c r="K221" t="b">
        <v>1</v>
      </c>
      <c r="L221" t="b">
        <v>0</v>
      </c>
      <c r="M221" t="b">
        <v>1</v>
      </c>
    </row>
    <row r="222" spans="1:13" x14ac:dyDescent="0.3">
      <c r="A222">
        <v>21</v>
      </c>
      <c r="B222" t="s">
        <v>25</v>
      </c>
      <c r="C222" s="1">
        <v>8</v>
      </c>
      <c r="D222" t="s">
        <v>19</v>
      </c>
      <c r="E222" t="s">
        <v>14</v>
      </c>
      <c r="F222" t="s">
        <v>22</v>
      </c>
      <c r="G222" t="s">
        <v>29</v>
      </c>
      <c r="H222" t="s">
        <v>24</v>
      </c>
      <c r="I222" s="3">
        <v>17979</v>
      </c>
      <c r="J222" s="3" t="str">
        <f t="shared" si="3"/>
        <v>High</v>
      </c>
      <c r="K222" t="b">
        <v>1</v>
      </c>
      <c r="L222" t="b">
        <v>1</v>
      </c>
      <c r="M222" t="b">
        <v>0</v>
      </c>
    </row>
    <row r="223" spans="1:13" x14ac:dyDescent="0.3">
      <c r="A223">
        <v>28</v>
      </c>
      <c r="B223" t="s">
        <v>12</v>
      </c>
      <c r="C223" s="1">
        <v>1</v>
      </c>
      <c r="D223" t="s">
        <v>13</v>
      </c>
      <c r="E223" t="s">
        <v>14</v>
      </c>
      <c r="F223" t="s">
        <v>27</v>
      </c>
      <c r="G223" t="s">
        <v>23</v>
      </c>
      <c r="H223" t="s">
        <v>17</v>
      </c>
      <c r="I223" s="3">
        <v>11582</v>
      </c>
      <c r="J223" s="3" t="str">
        <f t="shared" si="3"/>
        <v>Low</v>
      </c>
      <c r="K223" t="b">
        <v>0</v>
      </c>
      <c r="L223" t="b">
        <v>0</v>
      </c>
      <c r="M223" t="b">
        <v>0</v>
      </c>
    </row>
    <row r="224" spans="1:13" x14ac:dyDescent="0.3">
      <c r="A224">
        <v>34</v>
      </c>
      <c r="B224" t="s">
        <v>12</v>
      </c>
      <c r="C224" s="1">
        <v>5</v>
      </c>
      <c r="D224" t="s">
        <v>28</v>
      </c>
      <c r="E224" t="s">
        <v>20</v>
      </c>
      <c r="F224" t="s">
        <v>15</v>
      </c>
      <c r="G224" t="s">
        <v>29</v>
      </c>
      <c r="H224" t="s">
        <v>17</v>
      </c>
      <c r="I224" s="3">
        <v>11308</v>
      </c>
      <c r="J224" s="3" t="str">
        <f t="shared" si="3"/>
        <v>Low</v>
      </c>
      <c r="K224" t="b">
        <v>1</v>
      </c>
      <c r="L224" t="b">
        <v>0</v>
      </c>
      <c r="M224" t="b">
        <v>1</v>
      </c>
    </row>
    <row r="225" spans="1:13" x14ac:dyDescent="0.3">
      <c r="A225">
        <v>55</v>
      </c>
      <c r="B225" t="s">
        <v>18</v>
      </c>
      <c r="C225" s="1">
        <v>4</v>
      </c>
      <c r="D225" t="s">
        <v>28</v>
      </c>
      <c r="E225" t="s">
        <v>20</v>
      </c>
      <c r="F225" t="s">
        <v>22</v>
      </c>
      <c r="G225" t="s">
        <v>23</v>
      </c>
      <c r="H225" t="s">
        <v>21</v>
      </c>
      <c r="I225" s="3">
        <v>14917</v>
      </c>
      <c r="J225" s="3" t="str">
        <f t="shared" si="3"/>
        <v>Medium</v>
      </c>
      <c r="K225" t="b">
        <v>0</v>
      </c>
      <c r="L225" t="b">
        <v>1</v>
      </c>
      <c r="M225" t="b">
        <v>1</v>
      </c>
    </row>
    <row r="226" spans="1:13" x14ac:dyDescent="0.3">
      <c r="A226">
        <v>41</v>
      </c>
      <c r="B226" t="s">
        <v>25</v>
      </c>
      <c r="C226" s="1">
        <v>2</v>
      </c>
      <c r="D226" t="s">
        <v>13</v>
      </c>
      <c r="E226" t="s">
        <v>14</v>
      </c>
      <c r="F226" t="s">
        <v>15</v>
      </c>
      <c r="G226" t="s">
        <v>16</v>
      </c>
      <c r="H226" t="s">
        <v>24</v>
      </c>
      <c r="I226" s="3">
        <v>18793</v>
      </c>
      <c r="J226" s="3" t="str">
        <f t="shared" si="3"/>
        <v>High</v>
      </c>
      <c r="K226" t="b">
        <v>0</v>
      </c>
      <c r="L226" t="b">
        <v>1</v>
      </c>
      <c r="M226" t="b">
        <v>0</v>
      </c>
    </row>
    <row r="227" spans="1:13" x14ac:dyDescent="0.3">
      <c r="A227">
        <v>22</v>
      </c>
      <c r="B227" t="s">
        <v>25</v>
      </c>
      <c r="C227" s="1">
        <v>8</v>
      </c>
      <c r="D227" t="s">
        <v>28</v>
      </c>
      <c r="E227" t="s">
        <v>20</v>
      </c>
      <c r="F227" t="s">
        <v>15</v>
      </c>
      <c r="G227" t="s">
        <v>16</v>
      </c>
      <c r="H227" t="s">
        <v>21</v>
      </c>
      <c r="I227" s="3">
        <v>11620</v>
      </c>
      <c r="J227" s="3" t="str">
        <f t="shared" si="3"/>
        <v>Low</v>
      </c>
      <c r="K227" t="b">
        <v>1</v>
      </c>
      <c r="L227" t="b">
        <v>1</v>
      </c>
      <c r="M227" t="b">
        <v>0</v>
      </c>
    </row>
    <row r="228" spans="1:13" x14ac:dyDescent="0.3">
      <c r="A228">
        <v>51</v>
      </c>
      <c r="B228" t="s">
        <v>25</v>
      </c>
      <c r="C228" s="1">
        <v>3</v>
      </c>
      <c r="D228" t="s">
        <v>13</v>
      </c>
      <c r="E228" t="s">
        <v>14</v>
      </c>
      <c r="F228" t="s">
        <v>15</v>
      </c>
      <c r="G228" t="s">
        <v>29</v>
      </c>
      <c r="H228" t="s">
        <v>21</v>
      </c>
      <c r="I228" s="3">
        <v>17503</v>
      </c>
      <c r="J228" s="3" t="str">
        <f t="shared" si="3"/>
        <v>High</v>
      </c>
      <c r="K228" t="b">
        <v>1</v>
      </c>
      <c r="L228" t="b">
        <v>0</v>
      </c>
      <c r="M228" t="b">
        <v>0</v>
      </c>
    </row>
    <row r="229" spans="1:13" x14ac:dyDescent="0.3">
      <c r="A229">
        <v>23</v>
      </c>
      <c r="B229" t="s">
        <v>25</v>
      </c>
      <c r="C229" s="1">
        <v>4</v>
      </c>
      <c r="D229" t="s">
        <v>19</v>
      </c>
      <c r="E229" t="s">
        <v>20</v>
      </c>
      <c r="F229" t="s">
        <v>22</v>
      </c>
      <c r="G229" t="s">
        <v>29</v>
      </c>
      <c r="H229" t="s">
        <v>17</v>
      </c>
      <c r="I229" s="3">
        <v>14766</v>
      </c>
      <c r="J229" s="3" t="str">
        <f t="shared" si="3"/>
        <v>Medium</v>
      </c>
      <c r="K229" t="b">
        <v>0</v>
      </c>
      <c r="L229" t="b">
        <v>1</v>
      </c>
      <c r="M229" t="b">
        <v>0</v>
      </c>
    </row>
    <row r="230" spans="1:13" x14ac:dyDescent="0.3">
      <c r="A230">
        <v>39</v>
      </c>
      <c r="B230" t="s">
        <v>18</v>
      </c>
      <c r="C230" s="1">
        <v>7</v>
      </c>
      <c r="D230" t="s">
        <v>13</v>
      </c>
      <c r="E230" t="s">
        <v>20</v>
      </c>
      <c r="F230" t="s">
        <v>27</v>
      </c>
      <c r="G230" t="s">
        <v>29</v>
      </c>
      <c r="H230" t="s">
        <v>21</v>
      </c>
      <c r="I230" s="3">
        <v>15362</v>
      </c>
      <c r="J230" s="3" t="str">
        <f t="shared" si="3"/>
        <v>High</v>
      </c>
      <c r="K230" t="b">
        <v>0</v>
      </c>
      <c r="L230" t="b">
        <v>0</v>
      </c>
      <c r="M230" t="b">
        <v>1</v>
      </c>
    </row>
    <row r="231" spans="1:13" x14ac:dyDescent="0.3">
      <c r="A231">
        <v>28</v>
      </c>
      <c r="B231" t="s">
        <v>18</v>
      </c>
      <c r="C231" s="1">
        <v>9</v>
      </c>
      <c r="D231" t="s">
        <v>19</v>
      </c>
      <c r="E231" t="s">
        <v>20</v>
      </c>
      <c r="F231" t="s">
        <v>22</v>
      </c>
      <c r="G231" t="s">
        <v>23</v>
      </c>
      <c r="H231" t="s">
        <v>24</v>
      </c>
      <c r="I231" s="3">
        <v>15192</v>
      </c>
      <c r="J231" s="3" t="str">
        <f t="shared" si="3"/>
        <v>High</v>
      </c>
      <c r="K231" t="b">
        <v>0</v>
      </c>
      <c r="L231" t="b">
        <v>0</v>
      </c>
      <c r="M231" t="b">
        <v>1</v>
      </c>
    </row>
    <row r="232" spans="1:13" x14ac:dyDescent="0.3">
      <c r="A232">
        <v>33</v>
      </c>
      <c r="B232" t="s">
        <v>12</v>
      </c>
      <c r="C232" s="1">
        <v>2</v>
      </c>
      <c r="D232" t="s">
        <v>28</v>
      </c>
      <c r="E232" t="s">
        <v>14</v>
      </c>
      <c r="F232" t="s">
        <v>15</v>
      </c>
      <c r="G232" t="s">
        <v>29</v>
      </c>
      <c r="H232" t="s">
        <v>17</v>
      </c>
      <c r="I232" s="3">
        <v>16622</v>
      </c>
      <c r="J232" s="3" t="str">
        <f t="shared" si="3"/>
        <v>High</v>
      </c>
      <c r="K232" t="b">
        <v>0</v>
      </c>
      <c r="L232" t="b">
        <v>0</v>
      </c>
      <c r="M232" t="b">
        <v>1</v>
      </c>
    </row>
    <row r="233" spans="1:13" x14ac:dyDescent="0.3">
      <c r="A233">
        <v>50</v>
      </c>
      <c r="B233" t="s">
        <v>12</v>
      </c>
      <c r="C233" s="1">
        <v>3</v>
      </c>
      <c r="D233" t="s">
        <v>19</v>
      </c>
      <c r="E233" t="s">
        <v>20</v>
      </c>
      <c r="F233" t="s">
        <v>15</v>
      </c>
      <c r="G233" t="s">
        <v>29</v>
      </c>
      <c r="H233" t="s">
        <v>24</v>
      </c>
      <c r="I233" s="3">
        <v>16093</v>
      </c>
      <c r="J233" s="3" t="str">
        <f t="shared" si="3"/>
        <v>High</v>
      </c>
      <c r="K233" t="b">
        <v>1</v>
      </c>
      <c r="L233" t="b">
        <v>1</v>
      </c>
      <c r="M233" t="b">
        <v>1</v>
      </c>
    </row>
    <row r="234" spans="1:13" x14ac:dyDescent="0.3">
      <c r="A234">
        <v>26</v>
      </c>
      <c r="B234" t="s">
        <v>12</v>
      </c>
      <c r="C234" s="1">
        <v>4</v>
      </c>
      <c r="D234" t="s">
        <v>28</v>
      </c>
      <c r="E234" t="s">
        <v>14</v>
      </c>
      <c r="F234" t="s">
        <v>27</v>
      </c>
      <c r="G234" t="s">
        <v>16</v>
      </c>
      <c r="H234" t="s">
        <v>24</v>
      </c>
      <c r="I234" s="3">
        <v>16704</v>
      </c>
      <c r="J234" s="3" t="str">
        <f t="shared" si="3"/>
        <v>High</v>
      </c>
      <c r="K234" t="b">
        <v>0</v>
      </c>
      <c r="L234" t="b">
        <v>1</v>
      </c>
      <c r="M234" t="b">
        <v>1</v>
      </c>
    </row>
    <row r="235" spans="1:13" x14ac:dyDescent="0.3">
      <c r="A235">
        <v>23</v>
      </c>
      <c r="B235" t="s">
        <v>12</v>
      </c>
      <c r="C235" s="1">
        <v>1</v>
      </c>
      <c r="D235" t="s">
        <v>13</v>
      </c>
      <c r="E235" t="s">
        <v>14</v>
      </c>
      <c r="F235" t="s">
        <v>22</v>
      </c>
      <c r="G235" t="s">
        <v>29</v>
      </c>
      <c r="H235" t="s">
        <v>17</v>
      </c>
      <c r="I235" s="3">
        <v>10100</v>
      </c>
      <c r="J235" s="3" t="str">
        <f t="shared" si="3"/>
        <v>Low</v>
      </c>
      <c r="K235" t="b">
        <v>1</v>
      </c>
      <c r="L235" t="b">
        <v>0</v>
      </c>
      <c r="M235" t="b">
        <v>0</v>
      </c>
    </row>
    <row r="236" spans="1:13" x14ac:dyDescent="0.3">
      <c r="A236">
        <v>33</v>
      </c>
      <c r="B236" t="s">
        <v>18</v>
      </c>
      <c r="C236" s="1">
        <v>7</v>
      </c>
      <c r="D236" t="s">
        <v>28</v>
      </c>
      <c r="E236" t="s">
        <v>20</v>
      </c>
      <c r="F236" t="s">
        <v>15</v>
      </c>
      <c r="G236" t="s">
        <v>16</v>
      </c>
      <c r="H236" t="s">
        <v>24</v>
      </c>
      <c r="I236" s="3">
        <v>16657</v>
      </c>
      <c r="J236" s="3" t="str">
        <f t="shared" si="3"/>
        <v>High</v>
      </c>
      <c r="K236" t="b">
        <v>1</v>
      </c>
      <c r="L236" t="b">
        <v>0</v>
      </c>
      <c r="M236" t="b">
        <v>0</v>
      </c>
    </row>
    <row r="237" spans="1:13" x14ac:dyDescent="0.3">
      <c r="A237">
        <v>46</v>
      </c>
      <c r="B237" t="s">
        <v>25</v>
      </c>
      <c r="C237" s="1">
        <v>2</v>
      </c>
      <c r="D237" t="s">
        <v>13</v>
      </c>
      <c r="E237" t="s">
        <v>20</v>
      </c>
      <c r="F237" t="s">
        <v>27</v>
      </c>
      <c r="G237" t="s">
        <v>29</v>
      </c>
      <c r="H237" t="s">
        <v>17</v>
      </c>
      <c r="I237" s="3">
        <v>15875</v>
      </c>
      <c r="J237" s="3" t="str">
        <f t="shared" si="3"/>
        <v>High</v>
      </c>
      <c r="K237" t="b">
        <v>0</v>
      </c>
      <c r="L237" t="b">
        <v>0</v>
      </c>
      <c r="M237" t="b">
        <v>0</v>
      </c>
    </row>
    <row r="238" spans="1:13" x14ac:dyDescent="0.3">
      <c r="A238">
        <v>20</v>
      </c>
      <c r="B238" t="s">
        <v>18</v>
      </c>
      <c r="C238" s="1">
        <v>5</v>
      </c>
      <c r="D238" t="s">
        <v>13</v>
      </c>
      <c r="E238" t="s">
        <v>14</v>
      </c>
      <c r="F238" t="s">
        <v>15</v>
      </c>
      <c r="G238" t="s">
        <v>16</v>
      </c>
      <c r="H238" t="s">
        <v>24</v>
      </c>
      <c r="I238" s="3">
        <v>14271</v>
      </c>
      <c r="J238" s="3" t="str">
        <f t="shared" si="3"/>
        <v>Medium</v>
      </c>
      <c r="K238" t="b">
        <v>1</v>
      </c>
      <c r="L238" t="b">
        <v>1</v>
      </c>
      <c r="M238" t="b">
        <v>1</v>
      </c>
    </row>
    <row r="239" spans="1:13" x14ac:dyDescent="0.3">
      <c r="A239">
        <v>37</v>
      </c>
      <c r="B239" t="s">
        <v>12</v>
      </c>
      <c r="C239" s="1">
        <v>1</v>
      </c>
      <c r="D239" t="s">
        <v>19</v>
      </c>
      <c r="E239" t="s">
        <v>14</v>
      </c>
      <c r="F239" t="s">
        <v>27</v>
      </c>
      <c r="G239" t="s">
        <v>29</v>
      </c>
      <c r="H239" t="s">
        <v>17</v>
      </c>
      <c r="I239" s="3">
        <v>10237</v>
      </c>
      <c r="J239" s="3" t="str">
        <f t="shared" si="3"/>
        <v>Low</v>
      </c>
      <c r="K239" t="b">
        <v>1</v>
      </c>
      <c r="L239" t="b">
        <v>0</v>
      </c>
      <c r="M239" t="b">
        <v>0</v>
      </c>
    </row>
    <row r="240" spans="1:13" x14ac:dyDescent="0.3">
      <c r="A240">
        <v>53</v>
      </c>
      <c r="B240" t="s">
        <v>18</v>
      </c>
      <c r="C240" s="1">
        <v>3</v>
      </c>
      <c r="D240" t="s">
        <v>19</v>
      </c>
      <c r="E240" t="s">
        <v>26</v>
      </c>
      <c r="F240" t="s">
        <v>27</v>
      </c>
      <c r="G240" t="s">
        <v>16</v>
      </c>
      <c r="H240" t="s">
        <v>21</v>
      </c>
      <c r="I240" s="3">
        <v>17226</v>
      </c>
      <c r="J240" s="3" t="str">
        <f t="shared" si="3"/>
        <v>High</v>
      </c>
      <c r="K240" t="b">
        <v>0</v>
      </c>
      <c r="L240" t="b">
        <v>1</v>
      </c>
      <c r="M240" t="b">
        <v>1</v>
      </c>
    </row>
    <row r="241" spans="1:13" x14ac:dyDescent="0.3">
      <c r="A241">
        <v>36</v>
      </c>
      <c r="B241" t="s">
        <v>25</v>
      </c>
      <c r="C241" s="1">
        <v>2</v>
      </c>
      <c r="D241" t="s">
        <v>19</v>
      </c>
      <c r="E241" t="s">
        <v>14</v>
      </c>
      <c r="F241" t="s">
        <v>22</v>
      </c>
      <c r="G241" t="s">
        <v>23</v>
      </c>
      <c r="H241" t="s">
        <v>24</v>
      </c>
      <c r="I241" s="3">
        <v>18032</v>
      </c>
      <c r="J241" s="3" t="str">
        <f t="shared" si="3"/>
        <v>High</v>
      </c>
      <c r="K241" t="b">
        <v>1</v>
      </c>
      <c r="L241" t="b">
        <v>0</v>
      </c>
      <c r="M241" t="b">
        <v>1</v>
      </c>
    </row>
    <row r="242" spans="1:13" x14ac:dyDescent="0.3">
      <c r="A242">
        <v>43</v>
      </c>
      <c r="B242" t="s">
        <v>25</v>
      </c>
      <c r="C242" s="1">
        <v>1</v>
      </c>
      <c r="D242" t="s">
        <v>19</v>
      </c>
      <c r="E242" t="s">
        <v>26</v>
      </c>
      <c r="F242" t="s">
        <v>15</v>
      </c>
      <c r="G242" t="s">
        <v>16</v>
      </c>
      <c r="H242" t="s">
        <v>17</v>
      </c>
      <c r="I242" s="3">
        <v>15218</v>
      </c>
      <c r="J242" s="3" t="str">
        <f t="shared" si="3"/>
        <v>High</v>
      </c>
      <c r="K242" t="b">
        <v>1</v>
      </c>
      <c r="L242" t="b">
        <v>1</v>
      </c>
      <c r="M242" t="b">
        <v>1</v>
      </c>
    </row>
    <row r="243" spans="1:13" x14ac:dyDescent="0.3">
      <c r="A243">
        <v>20</v>
      </c>
      <c r="B243" t="s">
        <v>18</v>
      </c>
      <c r="C243" s="1">
        <v>7</v>
      </c>
      <c r="D243" t="s">
        <v>28</v>
      </c>
      <c r="E243" t="s">
        <v>26</v>
      </c>
      <c r="F243" t="s">
        <v>22</v>
      </c>
      <c r="G243" t="s">
        <v>16</v>
      </c>
      <c r="H243" t="s">
        <v>24</v>
      </c>
      <c r="I243" s="3">
        <v>14025</v>
      </c>
      <c r="J243" s="3" t="str">
        <f t="shared" si="3"/>
        <v>Medium</v>
      </c>
      <c r="K243" t="b">
        <v>0</v>
      </c>
      <c r="L243" t="b">
        <v>0</v>
      </c>
      <c r="M243" t="b">
        <v>0</v>
      </c>
    </row>
    <row r="244" spans="1:13" x14ac:dyDescent="0.3">
      <c r="A244">
        <v>36</v>
      </c>
      <c r="B244" t="s">
        <v>18</v>
      </c>
      <c r="C244" s="1">
        <v>5</v>
      </c>
      <c r="D244" t="s">
        <v>28</v>
      </c>
      <c r="E244" t="s">
        <v>26</v>
      </c>
      <c r="F244" t="s">
        <v>15</v>
      </c>
      <c r="G244" t="s">
        <v>16</v>
      </c>
      <c r="H244" t="s">
        <v>24</v>
      </c>
      <c r="I244" s="3">
        <v>16073</v>
      </c>
      <c r="J244" s="3" t="str">
        <f t="shared" si="3"/>
        <v>High</v>
      </c>
      <c r="K244" t="b">
        <v>0</v>
      </c>
      <c r="L244" t="b">
        <v>1</v>
      </c>
      <c r="M244" t="b">
        <v>1</v>
      </c>
    </row>
    <row r="245" spans="1:13" x14ac:dyDescent="0.3">
      <c r="A245">
        <v>37</v>
      </c>
      <c r="B245" t="s">
        <v>18</v>
      </c>
      <c r="C245" s="1">
        <v>1</v>
      </c>
      <c r="D245" t="s">
        <v>28</v>
      </c>
      <c r="E245" t="s">
        <v>20</v>
      </c>
      <c r="F245" t="s">
        <v>22</v>
      </c>
      <c r="G245" t="s">
        <v>29</v>
      </c>
      <c r="H245" t="s">
        <v>24</v>
      </c>
      <c r="I245" s="3">
        <v>12542</v>
      </c>
      <c r="J245" s="3" t="str">
        <f t="shared" si="3"/>
        <v>Medium</v>
      </c>
      <c r="K245" t="b">
        <v>0</v>
      </c>
      <c r="L245" t="b">
        <v>1</v>
      </c>
      <c r="M245" t="b">
        <v>1</v>
      </c>
    </row>
    <row r="246" spans="1:13" x14ac:dyDescent="0.3">
      <c r="A246">
        <v>49</v>
      </c>
      <c r="B246" t="s">
        <v>12</v>
      </c>
      <c r="C246" s="1">
        <v>6</v>
      </c>
      <c r="D246" t="s">
        <v>13</v>
      </c>
      <c r="E246" t="s">
        <v>20</v>
      </c>
      <c r="F246" t="s">
        <v>15</v>
      </c>
      <c r="G246" t="s">
        <v>29</v>
      </c>
      <c r="H246" t="s">
        <v>17</v>
      </c>
      <c r="I246" s="3">
        <v>11537</v>
      </c>
      <c r="J246" s="3" t="str">
        <f t="shared" si="3"/>
        <v>Low</v>
      </c>
      <c r="K246" t="b">
        <v>0</v>
      </c>
      <c r="L246" t="b">
        <v>1</v>
      </c>
      <c r="M246" t="b">
        <v>0</v>
      </c>
    </row>
    <row r="247" spans="1:13" x14ac:dyDescent="0.3">
      <c r="A247">
        <v>24</v>
      </c>
      <c r="B247" t="s">
        <v>18</v>
      </c>
      <c r="C247" s="1">
        <v>5</v>
      </c>
      <c r="D247" t="s">
        <v>28</v>
      </c>
      <c r="E247" t="s">
        <v>14</v>
      </c>
      <c r="F247" t="s">
        <v>22</v>
      </c>
      <c r="G247" t="s">
        <v>29</v>
      </c>
      <c r="H247" t="s">
        <v>21</v>
      </c>
      <c r="I247" s="3">
        <v>10754</v>
      </c>
      <c r="J247" s="3" t="str">
        <f t="shared" si="3"/>
        <v>Low</v>
      </c>
      <c r="K247" t="b">
        <v>0</v>
      </c>
      <c r="L247" t="b">
        <v>1</v>
      </c>
      <c r="M247" t="b">
        <v>1</v>
      </c>
    </row>
    <row r="248" spans="1:13" x14ac:dyDescent="0.3">
      <c r="A248">
        <v>58</v>
      </c>
      <c r="B248" t="s">
        <v>18</v>
      </c>
      <c r="C248" s="1">
        <v>3</v>
      </c>
      <c r="D248" t="s">
        <v>28</v>
      </c>
      <c r="E248" t="s">
        <v>26</v>
      </c>
      <c r="F248" t="s">
        <v>27</v>
      </c>
      <c r="G248" t="s">
        <v>23</v>
      </c>
      <c r="H248" t="s">
        <v>21</v>
      </c>
      <c r="I248" s="3">
        <v>17396</v>
      </c>
      <c r="J248" s="3" t="str">
        <f t="shared" si="3"/>
        <v>High</v>
      </c>
      <c r="K248" t="b">
        <v>0</v>
      </c>
      <c r="L248" t="b">
        <v>1</v>
      </c>
      <c r="M248" t="b">
        <v>0</v>
      </c>
    </row>
    <row r="249" spans="1:13" x14ac:dyDescent="0.3">
      <c r="A249">
        <v>50</v>
      </c>
      <c r="B249" t="s">
        <v>18</v>
      </c>
      <c r="C249" s="1">
        <v>7</v>
      </c>
      <c r="D249" t="s">
        <v>28</v>
      </c>
      <c r="E249" t="s">
        <v>20</v>
      </c>
      <c r="F249" t="s">
        <v>15</v>
      </c>
      <c r="G249" t="s">
        <v>23</v>
      </c>
      <c r="H249" t="s">
        <v>21</v>
      </c>
      <c r="I249" s="3">
        <v>17823</v>
      </c>
      <c r="J249" s="3" t="str">
        <f t="shared" si="3"/>
        <v>High</v>
      </c>
      <c r="K249" t="b">
        <v>0</v>
      </c>
      <c r="L249" t="b">
        <v>1</v>
      </c>
      <c r="M249" t="b">
        <v>1</v>
      </c>
    </row>
    <row r="250" spans="1:13" x14ac:dyDescent="0.3">
      <c r="A250">
        <v>57</v>
      </c>
      <c r="B250" t="s">
        <v>25</v>
      </c>
      <c r="C250" s="1">
        <v>9</v>
      </c>
      <c r="D250" t="s">
        <v>19</v>
      </c>
      <c r="E250" t="s">
        <v>20</v>
      </c>
      <c r="F250" t="s">
        <v>15</v>
      </c>
      <c r="G250" t="s">
        <v>16</v>
      </c>
      <c r="H250" t="s">
        <v>17</v>
      </c>
      <c r="I250" s="3">
        <v>15507</v>
      </c>
      <c r="J250" s="3" t="str">
        <f t="shared" si="3"/>
        <v>High</v>
      </c>
      <c r="K250" t="b">
        <v>1</v>
      </c>
      <c r="L250" t="b">
        <v>0</v>
      </c>
      <c r="M250" t="b">
        <v>0</v>
      </c>
    </row>
    <row r="251" spans="1:13" x14ac:dyDescent="0.3">
      <c r="A251">
        <v>56</v>
      </c>
      <c r="B251" t="s">
        <v>25</v>
      </c>
      <c r="C251" s="1">
        <v>9</v>
      </c>
      <c r="D251" t="s">
        <v>28</v>
      </c>
      <c r="E251" t="s">
        <v>20</v>
      </c>
      <c r="F251" t="s">
        <v>27</v>
      </c>
      <c r="G251" t="s">
        <v>23</v>
      </c>
      <c r="H251" t="s">
        <v>21</v>
      </c>
      <c r="I251" s="3">
        <v>14235</v>
      </c>
      <c r="J251" s="3" t="str">
        <f t="shared" si="3"/>
        <v>Medium</v>
      </c>
      <c r="K251" t="b">
        <v>1</v>
      </c>
      <c r="L251" t="b">
        <v>0</v>
      </c>
      <c r="M251" t="b">
        <v>1</v>
      </c>
    </row>
    <row r="252" spans="1:13" x14ac:dyDescent="0.3">
      <c r="A252">
        <v>35</v>
      </c>
      <c r="B252" t="s">
        <v>12</v>
      </c>
      <c r="C252" s="1">
        <v>9</v>
      </c>
      <c r="D252" t="s">
        <v>13</v>
      </c>
      <c r="E252" t="s">
        <v>20</v>
      </c>
      <c r="F252" t="s">
        <v>22</v>
      </c>
      <c r="G252" t="s">
        <v>16</v>
      </c>
      <c r="H252" t="s">
        <v>17</v>
      </c>
      <c r="I252" s="3">
        <v>10540</v>
      </c>
      <c r="J252" s="3" t="str">
        <f t="shared" si="3"/>
        <v>Low</v>
      </c>
      <c r="K252" t="b">
        <v>0</v>
      </c>
      <c r="L252" t="b">
        <v>0</v>
      </c>
      <c r="M252" t="b">
        <v>1</v>
      </c>
    </row>
    <row r="253" spans="1:13" x14ac:dyDescent="0.3">
      <c r="A253">
        <v>57</v>
      </c>
      <c r="B253" t="s">
        <v>12</v>
      </c>
      <c r="C253" s="1">
        <v>2</v>
      </c>
      <c r="D253" t="s">
        <v>19</v>
      </c>
      <c r="E253" t="s">
        <v>20</v>
      </c>
      <c r="F253" t="s">
        <v>15</v>
      </c>
      <c r="G253" t="s">
        <v>16</v>
      </c>
      <c r="H253" t="s">
        <v>24</v>
      </c>
      <c r="I253" s="3">
        <v>15510</v>
      </c>
      <c r="J253" s="3" t="str">
        <f t="shared" si="3"/>
        <v>High</v>
      </c>
      <c r="K253" t="b">
        <v>1</v>
      </c>
      <c r="L253" t="b">
        <v>0</v>
      </c>
      <c r="M253" t="b">
        <v>0</v>
      </c>
    </row>
    <row r="254" spans="1:13" x14ac:dyDescent="0.3">
      <c r="A254">
        <v>18</v>
      </c>
      <c r="B254" t="s">
        <v>25</v>
      </c>
      <c r="C254" s="1">
        <v>3</v>
      </c>
      <c r="D254" t="s">
        <v>13</v>
      </c>
      <c r="E254" t="s">
        <v>26</v>
      </c>
      <c r="F254" t="s">
        <v>15</v>
      </c>
      <c r="G254" t="s">
        <v>16</v>
      </c>
      <c r="H254" t="s">
        <v>24</v>
      </c>
      <c r="I254" s="3">
        <v>18461</v>
      </c>
      <c r="J254" s="3" t="str">
        <f t="shared" si="3"/>
        <v>High</v>
      </c>
      <c r="K254" t="b">
        <v>1</v>
      </c>
      <c r="L254" t="b">
        <v>1</v>
      </c>
      <c r="M254" t="b">
        <v>1</v>
      </c>
    </row>
    <row r="255" spans="1:13" x14ac:dyDescent="0.3">
      <c r="A255">
        <v>28</v>
      </c>
      <c r="B255" t="s">
        <v>25</v>
      </c>
      <c r="C255" s="1">
        <v>7</v>
      </c>
      <c r="D255" t="s">
        <v>28</v>
      </c>
      <c r="E255" t="s">
        <v>26</v>
      </c>
      <c r="F255" t="s">
        <v>22</v>
      </c>
      <c r="G255" t="s">
        <v>23</v>
      </c>
      <c r="H255" t="s">
        <v>21</v>
      </c>
      <c r="I255" s="3">
        <v>17926</v>
      </c>
      <c r="J255" s="3" t="str">
        <f t="shared" si="3"/>
        <v>High</v>
      </c>
      <c r="K255" t="b">
        <v>0</v>
      </c>
      <c r="L255" t="b">
        <v>0</v>
      </c>
      <c r="M255" t="b">
        <v>0</v>
      </c>
    </row>
    <row r="256" spans="1:13" x14ac:dyDescent="0.3">
      <c r="A256">
        <v>45</v>
      </c>
      <c r="B256" t="s">
        <v>25</v>
      </c>
      <c r="C256" s="1">
        <v>5</v>
      </c>
      <c r="D256" t="s">
        <v>19</v>
      </c>
      <c r="E256" t="s">
        <v>26</v>
      </c>
      <c r="F256" t="s">
        <v>27</v>
      </c>
      <c r="G256" t="s">
        <v>29</v>
      </c>
      <c r="H256" t="s">
        <v>17</v>
      </c>
      <c r="I256" s="3">
        <v>15131</v>
      </c>
      <c r="J256" s="3" t="str">
        <f t="shared" si="3"/>
        <v>High</v>
      </c>
      <c r="K256" t="b">
        <v>1</v>
      </c>
      <c r="L256" t="b">
        <v>1</v>
      </c>
      <c r="M256" t="b">
        <v>1</v>
      </c>
    </row>
    <row r="257" spans="1:13" x14ac:dyDescent="0.3">
      <c r="A257">
        <v>42</v>
      </c>
      <c r="B257" t="s">
        <v>18</v>
      </c>
      <c r="C257" s="1">
        <v>2</v>
      </c>
      <c r="D257" t="s">
        <v>13</v>
      </c>
      <c r="E257" t="s">
        <v>26</v>
      </c>
      <c r="F257" t="s">
        <v>22</v>
      </c>
      <c r="G257" t="s">
        <v>23</v>
      </c>
      <c r="H257" t="s">
        <v>24</v>
      </c>
      <c r="I257" s="3">
        <v>18697</v>
      </c>
      <c r="J257" s="3" t="str">
        <f t="shared" si="3"/>
        <v>High</v>
      </c>
      <c r="K257" t="b">
        <v>0</v>
      </c>
      <c r="L257" t="b">
        <v>1</v>
      </c>
      <c r="M257" t="b">
        <v>0</v>
      </c>
    </row>
    <row r="258" spans="1:13" x14ac:dyDescent="0.3">
      <c r="A258">
        <v>40</v>
      </c>
      <c r="B258" t="s">
        <v>18</v>
      </c>
      <c r="C258" s="1">
        <v>3</v>
      </c>
      <c r="D258" t="s">
        <v>28</v>
      </c>
      <c r="E258" t="s">
        <v>14</v>
      </c>
      <c r="F258" t="s">
        <v>22</v>
      </c>
      <c r="G258" t="s">
        <v>16</v>
      </c>
      <c r="H258" t="s">
        <v>17</v>
      </c>
      <c r="I258" s="3">
        <v>11129</v>
      </c>
      <c r="J258" s="3" t="str">
        <f t="shared" si="3"/>
        <v>Low</v>
      </c>
      <c r="K258" t="b">
        <v>1</v>
      </c>
      <c r="L258" t="b">
        <v>1</v>
      </c>
      <c r="M258" t="b">
        <v>1</v>
      </c>
    </row>
    <row r="259" spans="1:13" x14ac:dyDescent="0.3">
      <c r="A259">
        <v>48</v>
      </c>
      <c r="B259" t="s">
        <v>25</v>
      </c>
      <c r="C259" s="1">
        <v>6</v>
      </c>
      <c r="D259" t="s">
        <v>13</v>
      </c>
      <c r="E259" t="s">
        <v>26</v>
      </c>
      <c r="F259" t="s">
        <v>22</v>
      </c>
      <c r="G259" t="s">
        <v>16</v>
      </c>
      <c r="H259" t="s">
        <v>17</v>
      </c>
      <c r="I259" s="3">
        <v>13145</v>
      </c>
      <c r="J259" s="3" t="str">
        <f t="shared" ref="J259:J322" si="4">IF(I259&gt;16000, "High", IF(I259&gt;=12000, IF(I259&lt;=15000, "Medium", "High"), "Low"))</f>
        <v>Medium</v>
      </c>
      <c r="K259" t="b">
        <v>0</v>
      </c>
      <c r="L259" t="b">
        <v>0</v>
      </c>
      <c r="M259" t="b">
        <v>1</v>
      </c>
    </row>
    <row r="260" spans="1:13" x14ac:dyDescent="0.3">
      <c r="A260">
        <v>47</v>
      </c>
      <c r="B260" t="s">
        <v>18</v>
      </c>
      <c r="C260" s="1">
        <v>7</v>
      </c>
      <c r="D260" t="s">
        <v>13</v>
      </c>
      <c r="E260" t="s">
        <v>20</v>
      </c>
      <c r="F260" t="s">
        <v>15</v>
      </c>
      <c r="G260" t="s">
        <v>23</v>
      </c>
      <c r="H260" t="s">
        <v>24</v>
      </c>
      <c r="I260" s="3">
        <v>18553</v>
      </c>
      <c r="J260" s="3" t="str">
        <f t="shared" si="4"/>
        <v>High</v>
      </c>
      <c r="K260" t="b">
        <v>1</v>
      </c>
      <c r="L260" t="b">
        <v>1</v>
      </c>
      <c r="M260" t="b">
        <v>1</v>
      </c>
    </row>
    <row r="261" spans="1:13" x14ac:dyDescent="0.3">
      <c r="A261">
        <v>59</v>
      </c>
      <c r="B261" t="s">
        <v>18</v>
      </c>
      <c r="C261" s="1">
        <v>9</v>
      </c>
      <c r="D261" t="s">
        <v>13</v>
      </c>
      <c r="E261" t="s">
        <v>26</v>
      </c>
      <c r="F261" t="s">
        <v>27</v>
      </c>
      <c r="G261" t="s">
        <v>16</v>
      </c>
      <c r="H261" t="s">
        <v>17</v>
      </c>
      <c r="I261" s="3">
        <v>13720</v>
      </c>
      <c r="J261" s="3" t="str">
        <f t="shared" si="4"/>
        <v>Medium</v>
      </c>
      <c r="K261" t="b">
        <v>1</v>
      </c>
      <c r="L261" t="b">
        <v>0</v>
      </c>
      <c r="M261" t="b">
        <v>0</v>
      </c>
    </row>
    <row r="262" spans="1:13" x14ac:dyDescent="0.3">
      <c r="A262">
        <v>52</v>
      </c>
      <c r="B262" t="s">
        <v>12</v>
      </c>
      <c r="C262" s="1">
        <v>1</v>
      </c>
      <c r="D262" t="s">
        <v>28</v>
      </c>
      <c r="E262" t="s">
        <v>14</v>
      </c>
      <c r="F262" t="s">
        <v>27</v>
      </c>
      <c r="G262" t="s">
        <v>16</v>
      </c>
      <c r="H262" t="s">
        <v>24</v>
      </c>
      <c r="I262" s="3">
        <v>19648</v>
      </c>
      <c r="J262" s="3" t="str">
        <f t="shared" si="4"/>
        <v>High</v>
      </c>
      <c r="K262" t="b">
        <v>1</v>
      </c>
      <c r="L262" t="b">
        <v>0</v>
      </c>
      <c r="M262" t="b">
        <v>0</v>
      </c>
    </row>
    <row r="263" spans="1:13" x14ac:dyDescent="0.3">
      <c r="A263">
        <v>24</v>
      </c>
      <c r="B263" t="s">
        <v>25</v>
      </c>
      <c r="C263" s="1">
        <v>7</v>
      </c>
      <c r="D263" t="s">
        <v>28</v>
      </c>
      <c r="E263" t="s">
        <v>20</v>
      </c>
      <c r="F263" t="s">
        <v>22</v>
      </c>
      <c r="G263" t="s">
        <v>23</v>
      </c>
      <c r="H263" t="s">
        <v>24</v>
      </c>
      <c r="I263" s="3">
        <v>14067</v>
      </c>
      <c r="J263" s="3" t="str">
        <f t="shared" si="4"/>
        <v>Medium</v>
      </c>
      <c r="K263" t="b">
        <v>0</v>
      </c>
      <c r="L263" t="b">
        <v>0</v>
      </c>
      <c r="M263" t="b">
        <v>0</v>
      </c>
    </row>
    <row r="264" spans="1:13" x14ac:dyDescent="0.3">
      <c r="A264">
        <v>33</v>
      </c>
      <c r="B264" t="s">
        <v>25</v>
      </c>
      <c r="C264" s="1">
        <v>8</v>
      </c>
      <c r="D264" t="s">
        <v>13</v>
      </c>
      <c r="E264" t="s">
        <v>26</v>
      </c>
      <c r="F264" t="s">
        <v>15</v>
      </c>
      <c r="G264" t="s">
        <v>23</v>
      </c>
      <c r="H264" t="s">
        <v>24</v>
      </c>
      <c r="I264" s="3">
        <v>14195</v>
      </c>
      <c r="J264" s="3" t="str">
        <f t="shared" si="4"/>
        <v>Medium</v>
      </c>
      <c r="K264" t="b">
        <v>1</v>
      </c>
      <c r="L264" t="b">
        <v>0</v>
      </c>
      <c r="M264" t="b">
        <v>0</v>
      </c>
    </row>
    <row r="265" spans="1:13" x14ac:dyDescent="0.3">
      <c r="A265">
        <v>43</v>
      </c>
      <c r="B265" t="s">
        <v>18</v>
      </c>
      <c r="C265" s="1">
        <v>3</v>
      </c>
      <c r="D265" t="s">
        <v>19</v>
      </c>
      <c r="E265" t="s">
        <v>26</v>
      </c>
      <c r="F265" t="s">
        <v>22</v>
      </c>
      <c r="G265" t="s">
        <v>23</v>
      </c>
      <c r="H265" t="s">
        <v>17</v>
      </c>
      <c r="I265" s="3">
        <v>19873</v>
      </c>
      <c r="J265" s="3" t="str">
        <f t="shared" si="4"/>
        <v>High</v>
      </c>
      <c r="K265" t="b">
        <v>1</v>
      </c>
      <c r="L265" t="b">
        <v>0</v>
      </c>
      <c r="M265" t="b">
        <v>0</v>
      </c>
    </row>
    <row r="266" spans="1:13" x14ac:dyDescent="0.3">
      <c r="A266">
        <v>19</v>
      </c>
      <c r="B266" t="s">
        <v>25</v>
      </c>
      <c r="C266" s="1">
        <v>4</v>
      </c>
      <c r="D266" t="s">
        <v>19</v>
      </c>
      <c r="E266" t="s">
        <v>26</v>
      </c>
      <c r="F266" t="s">
        <v>15</v>
      </c>
      <c r="G266" t="s">
        <v>16</v>
      </c>
      <c r="H266" t="s">
        <v>24</v>
      </c>
      <c r="I266" s="3">
        <v>19244</v>
      </c>
      <c r="J266" s="3" t="str">
        <f t="shared" si="4"/>
        <v>High</v>
      </c>
      <c r="K266" t="b">
        <v>0</v>
      </c>
      <c r="L266" t="b">
        <v>1</v>
      </c>
      <c r="M266" t="b">
        <v>1</v>
      </c>
    </row>
    <row r="267" spans="1:13" x14ac:dyDescent="0.3">
      <c r="A267">
        <v>18</v>
      </c>
      <c r="B267" t="s">
        <v>12</v>
      </c>
      <c r="C267" s="1">
        <v>6</v>
      </c>
      <c r="D267" t="s">
        <v>28</v>
      </c>
      <c r="E267" t="s">
        <v>20</v>
      </c>
      <c r="F267" t="s">
        <v>15</v>
      </c>
      <c r="G267" t="s">
        <v>16</v>
      </c>
      <c r="H267" t="s">
        <v>17</v>
      </c>
      <c r="I267" s="3">
        <v>17281</v>
      </c>
      <c r="J267" s="3" t="str">
        <f t="shared" si="4"/>
        <v>High</v>
      </c>
      <c r="K267" t="b">
        <v>0</v>
      </c>
      <c r="L267" t="b">
        <v>1</v>
      </c>
      <c r="M267" t="b">
        <v>1</v>
      </c>
    </row>
    <row r="268" spans="1:13" x14ac:dyDescent="0.3">
      <c r="A268">
        <v>29</v>
      </c>
      <c r="B268" t="s">
        <v>12</v>
      </c>
      <c r="C268" s="1">
        <v>7</v>
      </c>
      <c r="D268" t="s">
        <v>28</v>
      </c>
      <c r="E268" t="s">
        <v>20</v>
      </c>
      <c r="F268" t="s">
        <v>15</v>
      </c>
      <c r="G268" t="s">
        <v>29</v>
      </c>
      <c r="H268" t="s">
        <v>24</v>
      </c>
      <c r="I268" s="3">
        <v>12509</v>
      </c>
      <c r="J268" s="3" t="str">
        <f t="shared" si="4"/>
        <v>Medium</v>
      </c>
      <c r="K268" t="b">
        <v>1</v>
      </c>
      <c r="L268" t="b">
        <v>0</v>
      </c>
      <c r="M268" t="b">
        <v>1</v>
      </c>
    </row>
    <row r="269" spans="1:13" x14ac:dyDescent="0.3">
      <c r="A269">
        <v>22</v>
      </c>
      <c r="B269" t="s">
        <v>12</v>
      </c>
      <c r="C269" s="1">
        <v>4</v>
      </c>
      <c r="D269" t="s">
        <v>28</v>
      </c>
      <c r="E269" t="s">
        <v>14</v>
      </c>
      <c r="F269" t="s">
        <v>15</v>
      </c>
      <c r="G269" t="s">
        <v>29</v>
      </c>
      <c r="H269" t="s">
        <v>24</v>
      </c>
      <c r="I269" s="3">
        <v>15016</v>
      </c>
      <c r="J269" s="3" t="str">
        <f t="shared" si="4"/>
        <v>High</v>
      </c>
      <c r="K269" t="b">
        <v>1</v>
      </c>
      <c r="L269" t="b">
        <v>1</v>
      </c>
      <c r="M269" t="b">
        <v>1</v>
      </c>
    </row>
    <row r="270" spans="1:13" x14ac:dyDescent="0.3">
      <c r="A270">
        <v>54</v>
      </c>
      <c r="B270" t="s">
        <v>25</v>
      </c>
      <c r="C270" s="1">
        <v>8</v>
      </c>
      <c r="D270" t="s">
        <v>28</v>
      </c>
      <c r="E270" t="s">
        <v>20</v>
      </c>
      <c r="F270" t="s">
        <v>27</v>
      </c>
      <c r="G270" t="s">
        <v>23</v>
      </c>
      <c r="H270" t="s">
        <v>21</v>
      </c>
      <c r="I270" s="3">
        <v>16533</v>
      </c>
      <c r="J270" s="3" t="str">
        <f t="shared" si="4"/>
        <v>High</v>
      </c>
      <c r="K270" t="b">
        <v>1</v>
      </c>
      <c r="L270" t="b">
        <v>0</v>
      </c>
      <c r="M270" t="b">
        <v>1</v>
      </c>
    </row>
    <row r="271" spans="1:13" x14ac:dyDescent="0.3">
      <c r="A271">
        <v>49</v>
      </c>
      <c r="B271" t="s">
        <v>25</v>
      </c>
      <c r="C271" s="1">
        <v>5</v>
      </c>
      <c r="D271" t="s">
        <v>28</v>
      </c>
      <c r="E271" t="s">
        <v>20</v>
      </c>
      <c r="F271" t="s">
        <v>15</v>
      </c>
      <c r="G271" t="s">
        <v>29</v>
      </c>
      <c r="H271" t="s">
        <v>21</v>
      </c>
      <c r="I271" s="3">
        <v>14727</v>
      </c>
      <c r="J271" s="3" t="str">
        <f t="shared" si="4"/>
        <v>Medium</v>
      </c>
      <c r="K271" t="b">
        <v>1</v>
      </c>
      <c r="L271" t="b">
        <v>1</v>
      </c>
      <c r="M271" t="b">
        <v>0</v>
      </c>
    </row>
    <row r="272" spans="1:13" x14ac:dyDescent="0.3">
      <c r="A272">
        <v>26</v>
      </c>
      <c r="B272" t="s">
        <v>25</v>
      </c>
      <c r="C272" s="1">
        <v>1</v>
      </c>
      <c r="D272" t="s">
        <v>19</v>
      </c>
      <c r="E272" t="s">
        <v>26</v>
      </c>
      <c r="F272" t="s">
        <v>15</v>
      </c>
      <c r="G272" t="s">
        <v>16</v>
      </c>
      <c r="H272" t="s">
        <v>21</v>
      </c>
      <c r="I272" s="3">
        <v>10681</v>
      </c>
      <c r="J272" s="3" t="str">
        <f t="shared" si="4"/>
        <v>Low</v>
      </c>
      <c r="K272" t="b">
        <v>0</v>
      </c>
      <c r="L272" t="b">
        <v>1</v>
      </c>
      <c r="M272" t="b">
        <v>1</v>
      </c>
    </row>
    <row r="273" spans="1:13" x14ac:dyDescent="0.3">
      <c r="A273">
        <v>58</v>
      </c>
      <c r="B273" t="s">
        <v>25</v>
      </c>
      <c r="C273" s="1">
        <v>4</v>
      </c>
      <c r="D273" t="s">
        <v>28</v>
      </c>
      <c r="E273" t="s">
        <v>20</v>
      </c>
      <c r="F273" t="s">
        <v>22</v>
      </c>
      <c r="G273" t="s">
        <v>29</v>
      </c>
      <c r="H273" t="s">
        <v>17</v>
      </c>
      <c r="I273" s="3">
        <v>13932</v>
      </c>
      <c r="J273" s="3" t="str">
        <f t="shared" si="4"/>
        <v>Medium</v>
      </c>
      <c r="K273" t="b">
        <v>1</v>
      </c>
      <c r="L273" t="b">
        <v>1</v>
      </c>
      <c r="M273" t="b">
        <v>0</v>
      </c>
    </row>
    <row r="274" spans="1:13" x14ac:dyDescent="0.3">
      <c r="A274">
        <v>52</v>
      </c>
      <c r="B274" t="s">
        <v>25</v>
      </c>
      <c r="C274" s="1">
        <v>3</v>
      </c>
      <c r="D274" t="s">
        <v>13</v>
      </c>
      <c r="E274" t="s">
        <v>26</v>
      </c>
      <c r="F274" t="s">
        <v>22</v>
      </c>
      <c r="G274" t="s">
        <v>16</v>
      </c>
      <c r="H274" t="s">
        <v>17</v>
      </c>
      <c r="I274" s="3">
        <v>15560</v>
      </c>
      <c r="J274" s="3" t="str">
        <f t="shared" si="4"/>
        <v>High</v>
      </c>
      <c r="K274" t="b">
        <v>1</v>
      </c>
      <c r="L274" t="b">
        <v>1</v>
      </c>
      <c r="M274" t="b">
        <v>1</v>
      </c>
    </row>
    <row r="275" spans="1:13" x14ac:dyDescent="0.3">
      <c r="A275">
        <v>36</v>
      </c>
      <c r="B275" t="s">
        <v>12</v>
      </c>
      <c r="C275" s="1">
        <v>9</v>
      </c>
      <c r="D275" t="s">
        <v>13</v>
      </c>
      <c r="E275" t="s">
        <v>26</v>
      </c>
      <c r="F275" t="s">
        <v>27</v>
      </c>
      <c r="G275" t="s">
        <v>23</v>
      </c>
      <c r="H275" t="s">
        <v>24</v>
      </c>
      <c r="I275" s="3">
        <v>14016</v>
      </c>
      <c r="J275" s="3" t="str">
        <f t="shared" si="4"/>
        <v>Medium</v>
      </c>
      <c r="K275" t="b">
        <v>0</v>
      </c>
      <c r="L275" t="b">
        <v>1</v>
      </c>
      <c r="M275" t="b">
        <v>0</v>
      </c>
    </row>
    <row r="276" spans="1:13" x14ac:dyDescent="0.3">
      <c r="A276">
        <v>33</v>
      </c>
      <c r="B276" t="s">
        <v>18</v>
      </c>
      <c r="C276" s="1">
        <v>8</v>
      </c>
      <c r="D276" t="s">
        <v>19</v>
      </c>
      <c r="E276" t="s">
        <v>20</v>
      </c>
      <c r="F276" t="s">
        <v>22</v>
      </c>
      <c r="G276" t="s">
        <v>23</v>
      </c>
      <c r="H276" t="s">
        <v>24</v>
      </c>
      <c r="I276" s="3">
        <v>17339</v>
      </c>
      <c r="J276" s="3" t="str">
        <f t="shared" si="4"/>
        <v>High</v>
      </c>
      <c r="K276" t="b">
        <v>1</v>
      </c>
      <c r="L276" t="b">
        <v>1</v>
      </c>
      <c r="M276" t="b">
        <v>0</v>
      </c>
    </row>
    <row r="277" spans="1:13" x14ac:dyDescent="0.3">
      <c r="A277">
        <v>20</v>
      </c>
      <c r="B277" t="s">
        <v>12</v>
      </c>
      <c r="C277" s="1">
        <v>1</v>
      </c>
      <c r="D277" t="s">
        <v>13</v>
      </c>
      <c r="E277" t="s">
        <v>14</v>
      </c>
      <c r="F277" t="s">
        <v>15</v>
      </c>
      <c r="G277" t="s">
        <v>16</v>
      </c>
      <c r="H277" t="s">
        <v>24</v>
      </c>
      <c r="I277" s="3">
        <v>10719</v>
      </c>
      <c r="J277" s="3" t="str">
        <f t="shared" si="4"/>
        <v>Low</v>
      </c>
      <c r="K277" t="b">
        <v>1</v>
      </c>
      <c r="L277" t="b">
        <v>1</v>
      </c>
      <c r="M277" t="b">
        <v>0</v>
      </c>
    </row>
    <row r="278" spans="1:13" x14ac:dyDescent="0.3">
      <c r="A278">
        <v>37</v>
      </c>
      <c r="B278" t="s">
        <v>25</v>
      </c>
      <c r="C278" s="1">
        <v>6</v>
      </c>
      <c r="D278" t="s">
        <v>19</v>
      </c>
      <c r="E278" t="s">
        <v>14</v>
      </c>
      <c r="F278" t="s">
        <v>22</v>
      </c>
      <c r="G278" t="s">
        <v>29</v>
      </c>
      <c r="H278" t="s">
        <v>24</v>
      </c>
      <c r="I278" s="3">
        <v>10074</v>
      </c>
      <c r="J278" s="3" t="str">
        <f t="shared" si="4"/>
        <v>Low</v>
      </c>
      <c r="K278" t="b">
        <v>1</v>
      </c>
      <c r="L278" t="b">
        <v>1</v>
      </c>
      <c r="M278" t="b">
        <v>1</v>
      </c>
    </row>
    <row r="279" spans="1:13" x14ac:dyDescent="0.3">
      <c r="A279">
        <v>41</v>
      </c>
      <c r="B279" t="s">
        <v>12</v>
      </c>
      <c r="C279" s="1">
        <v>9</v>
      </c>
      <c r="D279" t="s">
        <v>19</v>
      </c>
      <c r="E279" t="s">
        <v>20</v>
      </c>
      <c r="F279" t="s">
        <v>27</v>
      </c>
      <c r="G279" t="s">
        <v>23</v>
      </c>
      <c r="H279" t="s">
        <v>17</v>
      </c>
      <c r="I279" s="3">
        <v>19485</v>
      </c>
      <c r="J279" s="3" t="str">
        <f t="shared" si="4"/>
        <v>High</v>
      </c>
      <c r="K279" t="b">
        <v>0</v>
      </c>
      <c r="L279" t="b">
        <v>1</v>
      </c>
      <c r="M279" t="b">
        <v>1</v>
      </c>
    </row>
    <row r="280" spans="1:13" x14ac:dyDescent="0.3">
      <c r="A280">
        <v>50</v>
      </c>
      <c r="B280" t="s">
        <v>25</v>
      </c>
      <c r="C280" s="1">
        <v>7</v>
      </c>
      <c r="D280" t="s">
        <v>13</v>
      </c>
      <c r="E280" t="s">
        <v>14</v>
      </c>
      <c r="F280" t="s">
        <v>22</v>
      </c>
      <c r="G280" t="s">
        <v>23</v>
      </c>
      <c r="H280" t="s">
        <v>24</v>
      </c>
      <c r="I280" s="3">
        <v>14157</v>
      </c>
      <c r="J280" s="3" t="str">
        <f t="shared" si="4"/>
        <v>Medium</v>
      </c>
      <c r="K280" t="b">
        <v>0</v>
      </c>
      <c r="L280" t="b">
        <v>1</v>
      </c>
      <c r="M280" t="b">
        <v>1</v>
      </c>
    </row>
    <row r="281" spans="1:13" x14ac:dyDescent="0.3">
      <c r="A281">
        <v>41</v>
      </c>
      <c r="B281" t="s">
        <v>25</v>
      </c>
      <c r="C281" s="1">
        <v>4</v>
      </c>
      <c r="D281" t="s">
        <v>28</v>
      </c>
      <c r="E281" t="s">
        <v>26</v>
      </c>
      <c r="F281" t="s">
        <v>22</v>
      </c>
      <c r="G281" t="s">
        <v>29</v>
      </c>
      <c r="H281" t="s">
        <v>24</v>
      </c>
      <c r="I281" s="3">
        <v>18511</v>
      </c>
      <c r="J281" s="3" t="str">
        <f t="shared" si="4"/>
        <v>High</v>
      </c>
      <c r="K281" t="b">
        <v>1</v>
      </c>
      <c r="L281" t="b">
        <v>1</v>
      </c>
      <c r="M281" t="b">
        <v>1</v>
      </c>
    </row>
    <row r="282" spans="1:13" x14ac:dyDescent="0.3">
      <c r="A282">
        <v>28</v>
      </c>
      <c r="B282" t="s">
        <v>12</v>
      </c>
      <c r="C282" s="1">
        <v>1</v>
      </c>
      <c r="D282" t="s">
        <v>13</v>
      </c>
      <c r="E282" t="s">
        <v>26</v>
      </c>
      <c r="F282" t="s">
        <v>27</v>
      </c>
      <c r="G282" t="s">
        <v>29</v>
      </c>
      <c r="H282" t="s">
        <v>21</v>
      </c>
      <c r="I282" s="3">
        <v>12149</v>
      </c>
      <c r="J282" s="3" t="str">
        <f t="shared" si="4"/>
        <v>Medium</v>
      </c>
      <c r="K282" t="b">
        <v>1</v>
      </c>
      <c r="L282" t="b">
        <v>1</v>
      </c>
      <c r="M282" t="b">
        <v>0</v>
      </c>
    </row>
    <row r="283" spans="1:13" x14ac:dyDescent="0.3">
      <c r="A283">
        <v>25</v>
      </c>
      <c r="B283" t="s">
        <v>25</v>
      </c>
      <c r="C283" s="1">
        <v>2</v>
      </c>
      <c r="D283" t="s">
        <v>13</v>
      </c>
      <c r="E283" t="s">
        <v>20</v>
      </c>
      <c r="F283" t="s">
        <v>27</v>
      </c>
      <c r="G283" t="s">
        <v>16</v>
      </c>
      <c r="H283" t="s">
        <v>24</v>
      </c>
      <c r="I283" s="3">
        <v>19644</v>
      </c>
      <c r="J283" s="3" t="str">
        <f t="shared" si="4"/>
        <v>High</v>
      </c>
      <c r="K283" t="b">
        <v>0</v>
      </c>
      <c r="L283" t="b">
        <v>1</v>
      </c>
      <c r="M283" t="b">
        <v>0</v>
      </c>
    </row>
    <row r="284" spans="1:13" x14ac:dyDescent="0.3">
      <c r="A284">
        <v>53</v>
      </c>
      <c r="B284" t="s">
        <v>18</v>
      </c>
      <c r="C284" s="1">
        <v>5</v>
      </c>
      <c r="D284" t="s">
        <v>19</v>
      </c>
      <c r="E284" t="s">
        <v>14</v>
      </c>
      <c r="F284" t="s">
        <v>15</v>
      </c>
      <c r="G284" t="s">
        <v>29</v>
      </c>
      <c r="H284" t="s">
        <v>24</v>
      </c>
      <c r="I284" s="3">
        <v>19747</v>
      </c>
      <c r="J284" s="3" t="str">
        <f t="shared" si="4"/>
        <v>High</v>
      </c>
      <c r="K284" t="b">
        <v>1</v>
      </c>
      <c r="L284" t="b">
        <v>0</v>
      </c>
      <c r="M284" t="b">
        <v>0</v>
      </c>
    </row>
    <row r="285" spans="1:13" x14ac:dyDescent="0.3">
      <c r="A285">
        <v>55</v>
      </c>
      <c r="B285" t="s">
        <v>25</v>
      </c>
      <c r="C285" s="1">
        <v>5</v>
      </c>
      <c r="D285" t="s">
        <v>13</v>
      </c>
      <c r="E285" t="s">
        <v>14</v>
      </c>
      <c r="F285" t="s">
        <v>22</v>
      </c>
      <c r="G285" t="s">
        <v>29</v>
      </c>
      <c r="H285" t="s">
        <v>24</v>
      </c>
      <c r="I285" s="3">
        <v>16713</v>
      </c>
      <c r="J285" s="3" t="str">
        <f t="shared" si="4"/>
        <v>High</v>
      </c>
      <c r="K285" t="b">
        <v>1</v>
      </c>
      <c r="L285" t="b">
        <v>1</v>
      </c>
      <c r="M285" t="b">
        <v>0</v>
      </c>
    </row>
    <row r="286" spans="1:13" x14ac:dyDescent="0.3">
      <c r="A286">
        <v>57</v>
      </c>
      <c r="B286" t="s">
        <v>18</v>
      </c>
      <c r="C286" s="1">
        <v>8</v>
      </c>
      <c r="D286" t="s">
        <v>19</v>
      </c>
      <c r="E286" t="s">
        <v>26</v>
      </c>
      <c r="F286" t="s">
        <v>15</v>
      </c>
      <c r="G286" t="s">
        <v>29</v>
      </c>
      <c r="H286" t="s">
        <v>17</v>
      </c>
      <c r="I286" s="3">
        <v>14207</v>
      </c>
      <c r="J286" s="3" t="str">
        <f t="shared" si="4"/>
        <v>Medium</v>
      </c>
      <c r="K286" t="b">
        <v>0</v>
      </c>
      <c r="L286" t="b">
        <v>1</v>
      </c>
      <c r="M286" t="b">
        <v>1</v>
      </c>
    </row>
    <row r="287" spans="1:13" x14ac:dyDescent="0.3">
      <c r="A287">
        <v>37</v>
      </c>
      <c r="B287" t="s">
        <v>18</v>
      </c>
      <c r="C287" s="1">
        <v>6</v>
      </c>
      <c r="D287" t="s">
        <v>28</v>
      </c>
      <c r="E287" t="s">
        <v>20</v>
      </c>
      <c r="F287" t="s">
        <v>22</v>
      </c>
      <c r="G287" t="s">
        <v>16</v>
      </c>
      <c r="H287" t="s">
        <v>21</v>
      </c>
      <c r="I287" s="3">
        <v>17141</v>
      </c>
      <c r="J287" s="3" t="str">
        <f t="shared" si="4"/>
        <v>High</v>
      </c>
      <c r="K287" t="b">
        <v>0</v>
      </c>
      <c r="L287" t="b">
        <v>1</v>
      </c>
      <c r="M287" t="b">
        <v>0</v>
      </c>
    </row>
    <row r="288" spans="1:13" x14ac:dyDescent="0.3">
      <c r="A288">
        <v>52</v>
      </c>
      <c r="B288" t="s">
        <v>25</v>
      </c>
      <c r="C288" s="1">
        <v>8</v>
      </c>
      <c r="D288" t="s">
        <v>28</v>
      </c>
      <c r="E288" t="s">
        <v>14</v>
      </c>
      <c r="F288" t="s">
        <v>22</v>
      </c>
      <c r="G288" t="s">
        <v>16</v>
      </c>
      <c r="H288" t="s">
        <v>24</v>
      </c>
      <c r="I288" s="3">
        <v>18652</v>
      </c>
      <c r="J288" s="3" t="str">
        <f t="shared" si="4"/>
        <v>High</v>
      </c>
      <c r="K288" t="b">
        <v>0</v>
      </c>
      <c r="L288" t="b">
        <v>1</v>
      </c>
      <c r="M288" t="b">
        <v>1</v>
      </c>
    </row>
    <row r="289" spans="1:13" x14ac:dyDescent="0.3">
      <c r="A289">
        <v>42</v>
      </c>
      <c r="B289" t="s">
        <v>12</v>
      </c>
      <c r="C289" s="1">
        <v>2</v>
      </c>
      <c r="D289" t="s">
        <v>28</v>
      </c>
      <c r="E289" t="s">
        <v>20</v>
      </c>
      <c r="F289" t="s">
        <v>15</v>
      </c>
      <c r="G289" t="s">
        <v>23</v>
      </c>
      <c r="H289" t="s">
        <v>24</v>
      </c>
      <c r="I289" s="3">
        <v>19078</v>
      </c>
      <c r="J289" s="3" t="str">
        <f t="shared" si="4"/>
        <v>High</v>
      </c>
      <c r="K289" t="b">
        <v>1</v>
      </c>
      <c r="L289" t="b">
        <v>1</v>
      </c>
      <c r="M289" t="b">
        <v>0</v>
      </c>
    </row>
    <row r="290" spans="1:13" x14ac:dyDescent="0.3">
      <c r="A290">
        <v>52</v>
      </c>
      <c r="B290" t="s">
        <v>18</v>
      </c>
      <c r="C290" s="1">
        <v>3</v>
      </c>
      <c r="D290" t="s">
        <v>13</v>
      </c>
      <c r="E290" t="s">
        <v>14</v>
      </c>
      <c r="F290" t="s">
        <v>22</v>
      </c>
      <c r="G290" t="s">
        <v>16</v>
      </c>
      <c r="H290" t="s">
        <v>21</v>
      </c>
      <c r="I290" s="3">
        <v>13936</v>
      </c>
      <c r="J290" s="3" t="str">
        <f t="shared" si="4"/>
        <v>Medium</v>
      </c>
      <c r="K290" t="b">
        <v>1</v>
      </c>
      <c r="L290" t="b">
        <v>1</v>
      </c>
      <c r="M290" t="b">
        <v>0</v>
      </c>
    </row>
    <row r="291" spans="1:13" x14ac:dyDescent="0.3">
      <c r="A291">
        <v>42</v>
      </c>
      <c r="B291" t="s">
        <v>12</v>
      </c>
      <c r="C291" s="1">
        <v>6</v>
      </c>
      <c r="D291" t="s">
        <v>19</v>
      </c>
      <c r="E291" t="s">
        <v>26</v>
      </c>
      <c r="F291" t="s">
        <v>22</v>
      </c>
      <c r="G291" t="s">
        <v>23</v>
      </c>
      <c r="H291" t="s">
        <v>24</v>
      </c>
      <c r="I291" s="3">
        <v>19307</v>
      </c>
      <c r="J291" s="3" t="str">
        <f t="shared" si="4"/>
        <v>High</v>
      </c>
      <c r="K291" t="b">
        <v>1</v>
      </c>
      <c r="L291" t="b">
        <v>0</v>
      </c>
      <c r="M291" t="b">
        <v>0</v>
      </c>
    </row>
    <row r="292" spans="1:13" x14ac:dyDescent="0.3">
      <c r="A292">
        <v>46</v>
      </c>
      <c r="B292" t="s">
        <v>18</v>
      </c>
      <c r="C292" s="1">
        <v>3</v>
      </c>
      <c r="D292" t="s">
        <v>28</v>
      </c>
      <c r="E292" t="s">
        <v>26</v>
      </c>
      <c r="F292" t="s">
        <v>22</v>
      </c>
      <c r="G292" t="s">
        <v>29</v>
      </c>
      <c r="H292" t="s">
        <v>17</v>
      </c>
      <c r="I292" s="3">
        <v>11075</v>
      </c>
      <c r="J292" s="3" t="str">
        <f t="shared" si="4"/>
        <v>Low</v>
      </c>
      <c r="K292" t="b">
        <v>1</v>
      </c>
      <c r="L292" t="b">
        <v>0</v>
      </c>
      <c r="M292" t="b">
        <v>1</v>
      </c>
    </row>
    <row r="293" spans="1:13" x14ac:dyDescent="0.3">
      <c r="A293">
        <v>35</v>
      </c>
      <c r="B293" t="s">
        <v>25</v>
      </c>
      <c r="C293" s="1">
        <v>6</v>
      </c>
      <c r="D293" t="s">
        <v>19</v>
      </c>
      <c r="E293" t="s">
        <v>20</v>
      </c>
      <c r="F293" t="s">
        <v>27</v>
      </c>
      <c r="G293" t="s">
        <v>23</v>
      </c>
      <c r="H293" t="s">
        <v>24</v>
      </c>
      <c r="I293" s="3">
        <v>13876</v>
      </c>
      <c r="J293" s="3" t="str">
        <f t="shared" si="4"/>
        <v>Medium</v>
      </c>
      <c r="K293" t="b">
        <v>0</v>
      </c>
      <c r="L293" t="b">
        <v>0</v>
      </c>
      <c r="M293" t="b">
        <v>1</v>
      </c>
    </row>
    <row r="294" spans="1:13" x14ac:dyDescent="0.3">
      <c r="A294">
        <v>63</v>
      </c>
      <c r="B294" t="s">
        <v>25</v>
      </c>
      <c r="C294" s="1">
        <v>6</v>
      </c>
      <c r="D294" t="s">
        <v>19</v>
      </c>
      <c r="E294" t="s">
        <v>26</v>
      </c>
      <c r="F294" t="s">
        <v>15</v>
      </c>
      <c r="G294" t="s">
        <v>23</v>
      </c>
      <c r="H294" t="s">
        <v>17</v>
      </c>
      <c r="I294" s="3">
        <v>14615</v>
      </c>
      <c r="J294" s="3" t="str">
        <f t="shared" si="4"/>
        <v>Medium</v>
      </c>
      <c r="K294" t="b">
        <v>1</v>
      </c>
      <c r="L294" t="b">
        <v>1</v>
      </c>
      <c r="M294" t="b">
        <v>0</v>
      </c>
    </row>
    <row r="295" spans="1:13" x14ac:dyDescent="0.3">
      <c r="A295">
        <v>35</v>
      </c>
      <c r="B295" t="s">
        <v>18</v>
      </c>
      <c r="C295" s="1">
        <v>2</v>
      </c>
      <c r="D295" t="s">
        <v>28</v>
      </c>
      <c r="E295" t="s">
        <v>14</v>
      </c>
      <c r="F295" t="s">
        <v>27</v>
      </c>
      <c r="G295" t="s">
        <v>29</v>
      </c>
      <c r="H295" t="s">
        <v>17</v>
      </c>
      <c r="I295" s="3">
        <v>17265</v>
      </c>
      <c r="J295" s="3" t="str">
        <f t="shared" si="4"/>
        <v>High</v>
      </c>
      <c r="K295" t="b">
        <v>1</v>
      </c>
      <c r="L295" t="b">
        <v>1</v>
      </c>
      <c r="M295" t="b">
        <v>0</v>
      </c>
    </row>
    <row r="296" spans="1:13" x14ac:dyDescent="0.3">
      <c r="A296">
        <v>19</v>
      </c>
      <c r="B296" t="s">
        <v>25</v>
      </c>
      <c r="C296" s="1">
        <v>7</v>
      </c>
      <c r="D296" t="s">
        <v>28</v>
      </c>
      <c r="E296" t="s">
        <v>26</v>
      </c>
      <c r="F296" t="s">
        <v>15</v>
      </c>
      <c r="G296" t="s">
        <v>23</v>
      </c>
      <c r="H296" t="s">
        <v>24</v>
      </c>
      <c r="I296" s="3">
        <v>16379</v>
      </c>
      <c r="J296" s="3" t="str">
        <f t="shared" si="4"/>
        <v>High</v>
      </c>
      <c r="K296" t="b">
        <v>0</v>
      </c>
      <c r="L296" t="b">
        <v>1</v>
      </c>
      <c r="M296" t="b">
        <v>0</v>
      </c>
    </row>
    <row r="297" spans="1:13" x14ac:dyDescent="0.3">
      <c r="A297">
        <v>52</v>
      </c>
      <c r="B297" t="s">
        <v>18</v>
      </c>
      <c r="C297" s="1">
        <v>2</v>
      </c>
      <c r="D297" t="s">
        <v>19</v>
      </c>
      <c r="E297" t="s">
        <v>20</v>
      </c>
      <c r="F297" t="s">
        <v>15</v>
      </c>
      <c r="G297" t="s">
        <v>16</v>
      </c>
      <c r="H297" t="s">
        <v>21</v>
      </c>
      <c r="I297" s="3">
        <v>19118</v>
      </c>
      <c r="J297" s="3" t="str">
        <f t="shared" si="4"/>
        <v>High</v>
      </c>
      <c r="K297" t="b">
        <v>0</v>
      </c>
      <c r="L297" t="b">
        <v>0</v>
      </c>
      <c r="M297" t="b">
        <v>1</v>
      </c>
    </row>
    <row r="298" spans="1:13" x14ac:dyDescent="0.3">
      <c r="A298">
        <v>33</v>
      </c>
      <c r="B298" t="s">
        <v>25</v>
      </c>
      <c r="C298" s="1">
        <v>6</v>
      </c>
      <c r="D298" t="s">
        <v>28</v>
      </c>
      <c r="E298" t="s">
        <v>20</v>
      </c>
      <c r="F298" t="s">
        <v>22</v>
      </c>
      <c r="G298" t="s">
        <v>16</v>
      </c>
      <c r="H298" t="s">
        <v>17</v>
      </c>
      <c r="I298" s="3">
        <v>14652</v>
      </c>
      <c r="J298" s="3" t="str">
        <f t="shared" si="4"/>
        <v>Medium</v>
      </c>
      <c r="K298" t="b">
        <v>1</v>
      </c>
      <c r="L298" t="b">
        <v>1</v>
      </c>
      <c r="M298" t="b">
        <v>1</v>
      </c>
    </row>
    <row r="299" spans="1:13" x14ac:dyDescent="0.3">
      <c r="A299">
        <v>58</v>
      </c>
      <c r="B299" t="s">
        <v>12</v>
      </c>
      <c r="C299" s="1">
        <v>1</v>
      </c>
      <c r="D299" t="s">
        <v>19</v>
      </c>
      <c r="E299" t="s">
        <v>20</v>
      </c>
      <c r="F299" t="s">
        <v>15</v>
      </c>
      <c r="G299" t="s">
        <v>16</v>
      </c>
      <c r="H299" t="s">
        <v>21</v>
      </c>
      <c r="I299" s="3">
        <v>16792</v>
      </c>
      <c r="J299" s="3" t="str">
        <f t="shared" si="4"/>
        <v>High</v>
      </c>
      <c r="K299" t="b">
        <v>0</v>
      </c>
      <c r="L299" t="b">
        <v>1</v>
      </c>
      <c r="M299" t="b">
        <v>1</v>
      </c>
    </row>
    <row r="300" spans="1:13" x14ac:dyDescent="0.3">
      <c r="A300">
        <v>53</v>
      </c>
      <c r="B300" t="s">
        <v>25</v>
      </c>
      <c r="C300" s="1">
        <v>3</v>
      </c>
      <c r="D300" t="s">
        <v>19</v>
      </c>
      <c r="E300" t="s">
        <v>14</v>
      </c>
      <c r="F300" t="s">
        <v>27</v>
      </c>
      <c r="G300" t="s">
        <v>16</v>
      </c>
      <c r="H300" t="s">
        <v>24</v>
      </c>
      <c r="I300" s="3">
        <v>19247</v>
      </c>
      <c r="J300" s="3" t="str">
        <f t="shared" si="4"/>
        <v>High</v>
      </c>
      <c r="K300" t="b">
        <v>0</v>
      </c>
      <c r="L300" t="b">
        <v>0</v>
      </c>
      <c r="M300" t="b">
        <v>0</v>
      </c>
    </row>
    <row r="301" spans="1:13" x14ac:dyDescent="0.3">
      <c r="A301">
        <v>50</v>
      </c>
      <c r="B301" t="s">
        <v>12</v>
      </c>
      <c r="C301" s="1">
        <v>2</v>
      </c>
      <c r="D301" t="s">
        <v>28</v>
      </c>
      <c r="E301" t="s">
        <v>14</v>
      </c>
      <c r="F301" t="s">
        <v>27</v>
      </c>
      <c r="G301" t="s">
        <v>23</v>
      </c>
      <c r="H301" t="s">
        <v>17</v>
      </c>
      <c r="I301" s="3">
        <v>17456</v>
      </c>
      <c r="J301" s="3" t="str">
        <f t="shared" si="4"/>
        <v>High</v>
      </c>
      <c r="K301" t="b">
        <v>1</v>
      </c>
      <c r="L301" t="b">
        <v>0</v>
      </c>
      <c r="M301" t="b">
        <v>1</v>
      </c>
    </row>
    <row r="302" spans="1:13" x14ac:dyDescent="0.3">
      <c r="A302">
        <v>21</v>
      </c>
      <c r="B302" t="s">
        <v>25</v>
      </c>
      <c r="C302" s="1">
        <v>7</v>
      </c>
      <c r="D302" t="s">
        <v>13</v>
      </c>
      <c r="E302" t="s">
        <v>14</v>
      </c>
      <c r="F302" t="s">
        <v>27</v>
      </c>
      <c r="G302" t="s">
        <v>23</v>
      </c>
      <c r="H302" t="s">
        <v>24</v>
      </c>
      <c r="I302" s="3">
        <v>14674</v>
      </c>
      <c r="J302" s="3" t="str">
        <f t="shared" si="4"/>
        <v>Medium</v>
      </c>
      <c r="K302" t="b">
        <v>1</v>
      </c>
      <c r="L302" t="b">
        <v>1</v>
      </c>
      <c r="M302" t="b">
        <v>0</v>
      </c>
    </row>
    <row r="303" spans="1:13" x14ac:dyDescent="0.3">
      <c r="A303">
        <v>50</v>
      </c>
      <c r="B303" t="s">
        <v>12</v>
      </c>
      <c r="C303" s="1">
        <v>4</v>
      </c>
      <c r="D303" t="s">
        <v>28</v>
      </c>
      <c r="E303" t="s">
        <v>14</v>
      </c>
      <c r="F303" t="s">
        <v>15</v>
      </c>
      <c r="G303" t="s">
        <v>29</v>
      </c>
      <c r="H303" t="s">
        <v>21</v>
      </c>
      <c r="I303" s="3">
        <v>10541</v>
      </c>
      <c r="J303" s="3" t="str">
        <f t="shared" si="4"/>
        <v>Low</v>
      </c>
      <c r="K303" t="b">
        <v>1</v>
      </c>
      <c r="L303" t="b">
        <v>1</v>
      </c>
      <c r="M303" t="b">
        <v>1</v>
      </c>
    </row>
    <row r="304" spans="1:13" x14ac:dyDescent="0.3">
      <c r="A304">
        <v>31</v>
      </c>
      <c r="B304" t="s">
        <v>25</v>
      </c>
      <c r="C304" s="1">
        <v>8</v>
      </c>
      <c r="D304" t="s">
        <v>13</v>
      </c>
      <c r="E304" t="s">
        <v>14</v>
      </c>
      <c r="F304" t="s">
        <v>27</v>
      </c>
      <c r="G304" t="s">
        <v>23</v>
      </c>
      <c r="H304" t="s">
        <v>24</v>
      </c>
      <c r="I304" s="3">
        <v>12161</v>
      </c>
      <c r="J304" s="3" t="str">
        <f t="shared" si="4"/>
        <v>Medium</v>
      </c>
      <c r="K304" t="b">
        <v>1</v>
      </c>
      <c r="L304" t="b">
        <v>1</v>
      </c>
      <c r="M304" t="b">
        <v>0</v>
      </c>
    </row>
    <row r="305" spans="1:13" x14ac:dyDescent="0.3">
      <c r="A305">
        <v>38</v>
      </c>
      <c r="B305" t="s">
        <v>12</v>
      </c>
      <c r="C305" s="1">
        <v>6</v>
      </c>
      <c r="D305" t="s">
        <v>19</v>
      </c>
      <c r="E305" t="s">
        <v>26</v>
      </c>
      <c r="F305" t="s">
        <v>15</v>
      </c>
      <c r="G305" t="s">
        <v>23</v>
      </c>
      <c r="H305" t="s">
        <v>24</v>
      </c>
      <c r="I305" s="3">
        <v>12251</v>
      </c>
      <c r="J305" s="3" t="str">
        <f t="shared" si="4"/>
        <v>Medium</v>
      </c>
      <c r="K305" t="b">
        <v>0</v>
      </c>
      <c r="L305" t="b">
        <v>1</v>
      </c>
      <c r="M305" t="b">
        <v>0</v>
      </c>
    </row>
    <row r="306" spans="1:13" x14ac:dyDescent="0.3">
      <c r="A306">
        <v>37</v>
      </c>
      <c r="B306" t="s">
        <v>18</v>
      </c>
      <c r="C306" s="1">
        <v>4</v>
      </c>
      <c r="D306" t="s">
        <v>19</v>
      </c>
      <c r="E306" t="s">
        <v>14</v>
      </c>
      <c r="F306" t="s">
        <v>27</v>
      </c>
      <c r="G306" t="s">
        <v>23</v>
      </c>
      <c r="H306" t="s">
        <v>17</v>
      </c>
      <c r="I306" s="3">
        <v>19244</v>
      </c>
      <c r="J306" s="3" t="str">
        <f t="shared" si="4"/>
        <v>High</v>
      </c>
      <c r="K306" t="b">
        <v>0</v>
      </c>
      <c r="L306" t="b">
        <v>0</v>
      </c>
      <c r="M306" t="b">
        <v>1</v>
      </c>
    </row>
    <row r="307" spans="1:13" x14ac:dyDescent="0.3">
      <c r="A307">
        <v>25</v>
      </c>
      <c r="B307" t="s">
        <v>18</v>
      </c>
      <c r="C307" s="1">
        <v>5</v>
      </c>
      <c r="D307" t="s">
        <v>13</v>
      </c>
      <c r="E307" t="s">
        <v>14</v>
      </c>
      <c r="F307" t="s">
        <v>27</v>
      </c>
      <c r="G307" t="s">
        <v>29</v>
      </c>
      <c r="H307" t="s">
        <v>24</v>
      </c>
      <c r="I307" s="3">
        <v>14569</v>
      </c>
      <c r="J307" s="3" t="str">
        <f t="shared" si="4"/>
        <v>Medium</v>
      </c>
      <c r="K307" t="b">
        <v>1</v>
      </c>
      <c r="L307" t="b">
        <v>1</v>
      </c>
      <c r="M307" t="b">
        <v>0</v>
      </c>
    </row>
    <row r="308" spans="1:13" x14ac:dyDescent="0.3">
      <c r="A308">
        <v>24</v>
      </c>
      <c r="B308" t="s">
        <v>12</v>
      </c>
      <c r="C308" s="1">
        <v>9</v>
      </c>
      <c r="D308" t="s">
        <v>19</v>
      </c>
      <c r="E308" t="s">
        <v>26</v>
      </c>
      <c r="F308" t="s">
        <v>15</v>
      </c>
      <c r="G308" t="s">
        <v>16</v>
      </c>
      <c r="H308" t="s">
        <v>24</v>
      </c>
      <c r="I308" s="3">
        <v>12744</v>
      </c>
      <c r="J308" s="3" t="str">
        <f t="shared" si="4"/>
        <v>Medium</v>
      </c>
      <c r="K308" t="b">
        <v>1</v>
      </c>
      <c r="L308" t="b">
        <v>1</v>
      </c>
      <c r="M308" t="b">
        <v>0</v>
      </c>
    </row>
    <row r="309" spans="1:13" x14ac:dyDescent="0.3">
      <c r="A309">
        <v>20</v>
      </c>
      <c r="B309" t="s">
        <v>25</v>
      </c>
      <c r="C309" s="1">
        <v>7</v>
      </c>
      <c r="D309" t="s">
        <v>13</v>
      </c>
      <c r="E309" t="s">
        <v>14</v>
      </c>
      <c r="F309" t="s">
        <v>27</v>
      </c>
      <c r="G309" t="s">
        <v>23</v>
      </c>
      <c r="H309" t="s">
        <v>24</v>
      </c>
      <c r="I309" s="3">
        <v>16041</v>
      </c>
      <c r="J309" s="3" t="str">
        <f t="shared" si="4"/>
        <v>High</v>
      </c>
      <c r="K309" t="b">
        <v>0</v>
      </c>
      <c r="L309" t="b">
        <v>0</v>
      </c>
      <c r="M309" t="b">
        <v>0</v>
      </c>
    </row>
    <row r="310" spans="1:13" x14ac:dyDescent="0.3">
      <c r="A310">
        <v>34</v>
      </c>
      <c r="B310" t="s">
        <v>12</v>
      </c>
      <c r="C310" s="1">
        <v>9</v>
      </c>
      <c r="D310" t="s">
        <v>13</v>
      </c>
      <c r="E310" t="s">
        <v>20</v>
      </c>
      <c r="F310" t="s">
        <v>22</v>
      </c>
      <c r="G310" t="s">
        <v>29</v>
      </c>
      <c r="H310" t="s">
        <v>17</v>
      </c>
      <c r="I310" s="3">
        <v>14675</v>
      </c>
      <c r="J310" s="3" t="str">
        <f t="shared" si="4"/>
        <v>Medium</v>
      </c>
      <c r="K310" t="b">
        <v>1</v>
      </c>
      <c r="L310" t="b">
        <v>1</v>
      </c>
      <c r="M310" t="b">
        <v>1</v>
      </c>
    </row>
    <row r="311" spans="1:13" x14ac:dyDescent="0.3">
      <c r="A311">
        <v>50</v>
      </c>
      <c r="B311" t="s">
        <v>25</v>
      </c>
      <c r="C311" s="1">
        <v>7</v>
      </c>
      <c r="D311" t="s">
        <v>19</v>
      </c>
      <c r="E311" t="s">
        <v>14</v>
      </c>
      <c r="F311" t="s">
        <v>15</v>
      </c>
      <c r="G311" t="s">
        <v>29</v>
      </c>
      <c r="H311" t="s">
        <v>21</v>
      </c>
      <c r="I311" s="3">
        <v>11560</v>
      </c>
      <c r="J311" s="3" t="str">
        <f t="shared" si="4"/>
        <v>Low</v>
      </c>
      <c r="K311" t="b">
        <v>1</v>
      </c>
      <c r="L311" t="b">
        <v>1</v>
      </c>
      <c r="M311" t="b">
        <v>0</v>
      </c>
    </row>
    <row r="312" spans="1:13" x14ac:dyDescent="0.3">
      <c r="A312">
        <v>29</v>
      </c>
      <c r="B312" t="s">
        <v>18</v>
      </c>
      <c r="C312" s="1">
        <v>1</v>
      </c>
      <c r="D312" t="s">
        <v>13</v>
      </c>
      <c r="E312" t="s">
        <v>14</v>
      </c>
      <c r="F312" t="s">
        <v>15</v>
      </c>
      <c r="G312" t="s">
        <v>29</v>
      </c>
      <c r="H312" t="s">
        <v>21</v>
      </c>
      <c r="I312" s="3">
        <v>11164</v>
      </c>
      <c r="J312" s="3" t="str">
        <f t="shared" si="4"/>
        <v>Low</v>
      </c>
      <c r="K312" t="b">
        <v>1</v>
      </c>
      <c r="L312" t="b">
        <v>0</v>
      </c>
      <c r="M312" t="b">
        <v>1</v>
      </c>
    </row>
    <row r="313" spans="1:13" x14ac:dyDescent="0.3">
      <c r="A313">
        <v>39</v>
      </c>
      <c r="B313" t="s">
        <v>25</v>
      </c>
      <c r="C313" s="1">
        <v>8</v>
      </c>
      <c r="D313" t="s">
        <v>28</v>
      </c>
      <c r="E313" t="s">
        <v>20</v>
      </c>
      <c r="F313" t="s">
        <v>15</v>
      </c>
      <c r="G313" t="s">
        <v>16</v>
      </c>
      <c r="H313" t="s">
        <v>24</v>
      </c>
      <c r="I313" s="3">
        <v>15419</v>
      </c>
      <c r="J313" s="3" t="str">
        <f t="shared" si="4"/>
        <v>High</v>
      </c>
      <c r="K313" t="b">
        <v>1</v>
      </c>
      <c r="L313" t="b">
        <v>0</v>
      </c>
      <c r="M313" t="b">
        <v>1</v>
      </c>
    </row>
    <row r="314" spans="1:13" x14ac:dyDescent="0.3">
      <c r="A314">
        <v>39</v>
      </c>
      <c r="B314" t="s">
        <v>18</v>
      </c>
      <c r="C314" s="1">
        <v>4</v>
      </c>
      <c r="D314" t="s">
        <v>28</v>
      </c>
      <c r="E314" t="s">
        <v>20</v>
      </c>
      <c r="F314" t="s">
        <v>22</v>
      </c>
      <c r="G314" t="s">
        <v>23</v>
      </c>
      <c r="H314" t="s">
        <v>17</v>
      </c>
      <c r="I314" s="3">
        <v>12722</v>
      </c>
      <c r="J314" s="3" t="str">
        <f t="shared" si="4"/>
        <v>Medium</v>
      </c>
      <c r="K314" t="b">
        <v>0</v>
      </c>
      <c r="L314" t="b">
        <v>1</v>
      </c>
      <c r="M314" t="b">
        <v>0</v>
      </c>
    </row>
    <row r="315" spans="1:13" x14ac:dyDescent="0.3">
      <c r="A315">
        <v>63</v>
      </c>
      <c r="B315" t="s">
        <v>25</v>
      </c>
      <c r="C315" s="1">
        <v>3</v>
      </c>
      <c r="D315" t="s">
        <v>19</v>
      </c>
      <c r="E315" t="s">
        <v>20</v>
      </c>
      <c r="F315" t="s">
        <v>15</v>
      </c>
      <c r="G315" t="s">
        <v>29</v>
      </c>
      <c r="H315" t="s">
        <v>24</v>
      </c>
      <c r="I315" s="3">
        <v>10470</v>
      </c>
      <c r="J315" s="3" t="str">
        <f t="shared" si="4"/>
        <v>Low</v>
      </c>
      <c r="K315" t="b">
        <v>1</v>
      </c>
      <c r="L315" t="b">
        <v>0</v>
      </c>
      <c r="M315" t="b">
        <v>1</v>
      </c>
    </row>
    <row r="316" spans="1:13" x14ac:dyDescent="0.3">
      <c r="A316">
        <v>47</v>
      </c>
      <c r="B316" t="s">
        <v>25</v>
      </c>
      <c r="C316" s="1">
        <v>7</v>
      </c>
      <c r="D316" t="s">
        <v>19</v>
      </c>
      <c r="E316" t="s">
        <v>20</v>
      </c>
      <c r="F316" t="s">
        <v>27</v>
      </c>
      <c r="G316" t="s">
        <v>16</v>
      </c>
      <c r="H316" t="s">
        <v>21</v>
      </c>
      <c r="I316" s="3">
        <v>19608</v>
      </c>
      <c r="J316" s="3" t="str">
        <f t="shared" si="4"/>
        <v>High</v>
      </c>
      <c r="K316" t="b">
        <v>0</v>
      </c>
      <c r="L316" t="b">
        <v>0</v>
      </c>
      <c r="M316" t="b">
        <v>0</v>
      </c>
    </row>
    <row r="317" spans="1:13" x14ac:dyDescent="0.3">
      <c r="A317">
        <v>55</v>
      </c>
      <c r="B317" t="s">
        <v>25</v>
      </c>
      <c r="C317" s="1">
        <v>3</v>
      </c>
      <c r="D317" t="s">
        <v>13</v>
      </c>
      <c r="E317" t="s">
        <v>14</v>
      </c>
      <c r="F317" t="s">
        <v>27</v>
      </c>
      <c r="G317" t="s">
        <v>29</v>
      </c>
      <c r="H317" t="s">
        <v>17</v>
      </c>
      <c r="I317" s="3">
        <v>11468</v>
      </c>
      <c r="J317" s="3" t="str">
        <f t="shared" si="4"/>
        <v>Low</v>
      </c>
      <c r="K317" t="b">
        <v>1</v>
      </c>
      <c r="L317" t="b">
        <v>1</v>
      </c>
      <c r="M317" t="b">
        <v>1</v>
      </c>
    </row>
    <row r="318" spans="1:13" x14ac:dyDescent="0.3">
      <c r="A318">
        <v>55</v>
      </c>
      <c r="B318" t="s">
        <v>12</v>
      </c>
      <c r="C318" s="1">
        <v>8</v>
      </c>
      <c r="D318" t="s">
        <v>13</v>
      </c>
      <c r="E318" t="s">
        <v>20</v>
      </c>
      <c r="F318" t="s">
        <v>27</v>
      </c>
      <c r="G318" t="s">
        <v>29</v>
      </c>
      <c r="H318" t="s">
        <v>21</v>
      </c>
      <c r="I318" s="3">
        <v>17925</v>
      </c>
      <c r="J318" s="3" t="str">
        <f t="shared" si="4"/>
        <v>High</v>
      </c>
      <c r="K318" t="b">
        <v>1</v>
      </c>
      <c r="L318" t="b">
        <v>0</v>
      </c>
      <c r="M318" t="b">
        <v>0</v>
      </c>
    </row>
    <row r="319" spans="1:13" x14ac:dyDescent="0.3">
      <c r="A319">
        <v>62</v>
      </c>
      <c r="B319" t="s">
        <v>12</v>
      </c>
      <c r="C319" s="1">
        <v>6</v>
      </c>
      <c r="D319" t="s">
        <v>13</v>
      </c>
      <c r="E319" t="s">
        <v>20</v>
      </c>
      <c r="F319" t="s">
        <v>15</v>
      </c>
      <c r="G319" t="s">
        <v>29</v>
      </c>
      <c r="H319" t="s">
        <v>21</v>
      </c>
      <c r="I319" s="3">
        <v>10808</v>
      </c>
      <c r="J319" s="3" t="str">
        <f t="shared" si="4"/>
        <v>Low</v>
      </c>
      <c r="K319" t="b">
        <v>0</v>
      </c>
      <c r="L319" t="b">
        <v>1</v>
      </c>
      <c r="M319" t="b">
        <v>1</v>
      </c>
    </row>
    <row r="320" spans="1:13" x14ac:dyDescent="0.3">
      <c r="A320">
        <v>25</v>
      </c>
      <c r="B320" t="s">
        <v>18</v>
      </c>
      <c r="C320" s="1">
        <v>5</v>
      </c>
      <c r="D320" t="s">
        <v>13</v>
      </c>
      <c r="E320" t="s">
        <v>26</v>
      </c>
      <c r="F320" t="s">
        <v>27</v>
      </c>
      <c r="G320" t="s">
        <v>29</v>
      </c>
      <c r="H320" t="s">
        <v>17</v>
      </c>
      <c r="I320" s="3">
        <v>18363</v>
      </c>
      <c r="J320" s="3" t="str">
        <f t="shared" si="4"/>
        <v>High</v>
      </c>
      <c r="K320" t="b">
        <v>1</v>
      </c>
      <c r="L320" t="b">
        <v>1</v>
      </c>
      <c r="M320" t="b">
        <v>0</v>
      </c>
    </row>
    <row r="321" spans="1:13" x14ac:dyDescent="0.3">
      <c r="A321">
        <v>44</v>
      </c>
      <c r="B321" t="s">
        <v>18</v>
      </c>
      <c r="C321" s="1">
        <v>4</v>
      </c>
      <c r="D321" t="s">
        <v>28</v>
      </c>
      <c r="E321" t="s">
        <v>20</v>
      </c>
      <c r="F321" t="s">
        <v>15</v>
      </c>
      <c r="G321" t="s">
        <v>29</v>
      </c>
      <c r="H321" t="s">
        <v>17</v>
      </c>
      <c r="I321" s="3">
        <v>16719</v>
      </c>
      <c r="J321" s="3" t="str">
        <f t="shared" si="4"/>
        <v>High</v>
      </c>
      <c r="K321" t="b">
        <v>0</v>
      </c>
      <c r="L321" t="b">
        <v>1</v>
      </c>
      <c r="M321" t="b">
        <v>0</v>
      </c>
    </row>
    <row r="322" spans="1:13" x14ac:dyDescent="0.3">
      <c r="A322">
        <v>44</v>
      </c>
      <c r="B322" t="s">
        <v>12</v>
      </c>
      <c r="C322" s="1">
        <v>8</v>
      </c>
      <c r="D322" t="s">
        <v>28</v>
      </c>
      <c r="E322" t="s">
        <v>20</v>
      </c>
      <c r="F322" t="s">
        <v>27</v>
      </c>
      <c r="G322" t="s">
        <v>16</v>
      </c>
      <c r="H322" t="s">
        <v>24</v>
      </c>
      <c r="I322" s="3">
        <v>15073</v>
      </c>
      <c r="J322" s="3" t="str">
        <f t="shared" si="4"/>
        <v>High</v>
      </c>
      <c r="K322" t="b">
        <v>1</v>
      </c>
      <c r="L322" t="b">
        <v>1</v>
      </c>
      <c r="M322" t="b">
        <v>0</v>
      </c>
    </row>
    <row r="323" spans="1:13" x14ac:dyDescent="0.3">
      <c r="A323">
        <v>51</v>
      </c>
      <c r="B323" t="s">
        <v>18</v>
      </c>
      <c r="C323" s="1">
        <v>8</v>
      </c>
      <c r="D323" t="s">
        <v>19</v>
      </c>
      <c r="E323" t="s">
        <v>26</v>
      </c>
      <c r="F323" t="s">
        <v>22</v>
      </c>
      <c r="G323" t="s">
        <v>23</v>
      </c>
      <c r="H323" t="s">
        <v>24</v>
      </c>
      <c r="I323" s="3">
        <v>18012</v>
      </c>
      <c r="J323" s="3" t="str">
        <f t="shared" ref="J323:J386" si="5">IF(I323&gt;16000, "High", IF(I323&gt;=12000, IF(I323&lt;=15000, "Medium", "High"), "Low"))</f>
        <v>High</v>
      </c>
      <c r="K323" t="b">
        <v>1</v>
      </c>
      <c r="L323" t="b">
        <v>0</v>
      </c>
      <c r="M323" t="b">
        <v>0</v>
      </c>
    </row>
    <row r="324" spans="1:13" x14ac:dyDescent="0.3">
      <c r="A324">
        <v>38</v>
      </c>
      <c r="B324" t="s">
        <v>12</v>
      </c>
      <c r="C324" s="1">
        <v>1</v>
      </c>
      <c r="D324" t="s">
        <v>13</v>
      </c>
      <c r="E324" t="s">
        <v>26</v>
      </c>
      <c r="F324" t="s">
        <v>22</v>
      </c>
      <c r="G324" t="s">
        <v>23</v>
      </c>
      <c r="H324" t="s">
        <v>21</v>
      </c>
      <c r="I324" s="3">
        <v>11645</v>
      </c>
      <c r="J324" s="3" t="str">
        <f t="shared" si="5"/>
        <v>Low</v>
      </c>
      <c r="K324" t="b">
        <v>1</v>
      </c>
      <c r="L324" t="b">
        <v>1</v>
      </c>
      <c r="M324" t="b">
        <v>1</v>
      </c>
    </row>
    <row r="325" spans="1:13" x14ac:dyDescent="0.3">
      <c r="A325">
        <v>47</v>
      </c>
      <c r="B325" t="s">
        <v>25</v>
      </c>
      <c r="C325" s="1">
        <v>9</v>
      </c>
      <c r="D325" t="s">
        <v>13</v>
      </c>
      <c r="E325" t="s">
        <v>14</v>
      </c>
      <c r="F325" t="s">
        <v>22</v>
      </c>
      <c r="G325" t="s">
        <v>23</v>
      </c>
      <c r="H325" t="s">
        <v>17</v>
      </c>
      <c r="I325" s="3">
        <v>18249</v>
      </c>
      <c r="J325" s="3" t="str">
        <f t="shared" si="5"/>
        <v>High</v>
      </c>
      <c r="K325" t="b">
        <v>1</v>
      </c>
      <c r="L325" t="b">
        <v>1</v>
      </c>
      <c r="M325" t="b">
        <v>1</v>
      </c>
    </row>
    <row r="326" spans="1:13" x14ac:dyDescent="0.3">
      <c r="A326">
        <v>50</v>
      </c>
      <c r="B326" t="s">
        <v>18</v>
      </c>
      <c r="C326" s="1">
        <v>5</v>
      </c>
      <c r="D326" t="s">
        <v>19</v>
      </c>
      <c r="E326" t="s">
        <v>26</v>
      </c>
      <c r="F326" t="s">
        <v>22</v>
      </c>
      <c r="G326" t="s">
        <v>23</v>
      </c>
      <c r="H326" t="s">
        <v>17</v>
      </c>
      <c r="I326" s="3">
        <v>11129</v>
      </c>
      <c r="J326" s="3" t="str">
        <f t="shared" si="5"/>
        <v>Low</v>
      </c>
      <c r="K326" t="b">
        <v>1</v>
      </c>
      <c r="L326" t="b">
        <v>1</v>
      </c>
      <c r="M326" t="b">
        <v>0</v>
      </c>
    </row>
    <row r="327" spans="1:13" x14ac:dyDescent="0.3">
      <c r="A327">
        <v>45</v>
      </c>
      <c r="B327" t="s">
        <v>18</v>
      </c>
      <c r="C327" s="1">
        <v>4</v>
      </c>
      <c r="D327" t="s">
        <v>13</v>
      </c>
      <c r="E327" t="s">
        <v>14</v>
      </c>
      <c r="F327" t="s">
        <v>15</v>
      </c>
      <c r="G327" t="s">
        <v>16</v>
      </c>
      <c r="H327" t="s">
        <v>24</v>
      </c>
      <c r="I327" s="3">
        <v>11353</v>
      </c>
      <c r="J327" s="3" t="str">
        <f t="shared" si="5"/>
        <v>Low</v>
      </c>
      <c r="K327" t="b">
        <v>0</v>
      </c>
      <c r="L327" t="b">
        <v>1</v>
      </c>
      <c r="M327" t="b">
        <v>1</v>
      </c>
    </row>
    <row r="328" spans="1:13" x14ac:dyDescent="0.3">
      <c r="A328">
        <v>64</v>
      </c>
      <c r="B328" t="s">
        <v>12</v>
      </c>
      <c r="C328" s="1">
        <v>6</v>
      </c>
      <c r="D328" t="s">
        <v>13</v>
      </c>
      <c r="E328" t="s">
        <v>26</v>
      </c>
      <c r="F328" t="s">
        <v>27</v>
      </c>
      <c r="G328" t="s">
        <v>16</v>
      </c>
      <c r="H328" t="s">
        <v>21</v>
      </c>
      <c r="I328" s="3">
        <v>10767</v>
      </c>
      <c r="J328" s="3" t="str">
        <f t="shared" si="5"/>
        <v>Low</v>
      </c>
      <c r="K328" t="b">
        <v>0</v>
      </c>
      <c r="L328" t="b">
        <v>0</v>
      </c>
      <c r="M328" t="b">
        <v>0</v>
      </c>
    </row>
    <row r="329" spans="1:13" x14ac:dyDescent="0.3">
      <c r="A329">
        <v>50</v>
      </c>
      <c r="B329" t="s">
        <v>18</v>
      </c>
      <c r="C329" s="1">
        <v>6</v>
      </c>
      <c r="D329" t="s">
        <v>13</v>
      </c>
      <c r="E329" t="s">
        <v>26</v>
      </c>
      <c r="F329" t="s">
        <v>22</v>
      </c>
      <c r="G329" t="s">
        <v>16</v>
      </c>
      <c r="H329" t="s">
        <v>21</v>
      </c>
      <c r="I329" s="3">
        <v>13895</v>
      </c>
      <c r="J329" s="3" t="str">
        <f t="shared" si="5"/>
        <v>Medium</v>
      </c>
      <c r="K329" t="b">
        <v>1</v>
      </c>
      <c r="L329" t="b">
        <v>0</v>
      </c>
      <c r="M329" t="b">
        <v>0</v>
      </c>
    </row>
    <row r="330" spans="1:13" x14ac:dyDescent="0.3">
      <c r="A330">
        <v>22</v>
      </c>
      <c r="B330" t="s">
        <v>18</v>
      </c>
      <c r="C330" s="1">
        <v>2</v>
      </c>
      <c r="D330" t="s">
        <v>13</v>
      </c>
      <c r="E330" t="s">
        <v>14</v>
      </c>
      <c r="F330" t="s">
        <v>15</v>
      </c>
      <c r="G330" t="s">
        <v>29</v>
      </c>
      <c r="H330" t="s">
        <v>24</v>
      </c>
      <c r="I330" s="3">
        <v>18874</v>
      </c>
      <c r="J330" s="3" t="str">
        <f t="shared" si="5"/>
        <v>High</v>
      </c>
      <c r="K330" t="b">
        <v>1</v>
      </c>
      <c r="L330" t="b">
        <v>0</v>
      </c>
      <c r="M330" t="b">
        <v>1</v>
      </c>
    </row>
    <row r="331" spans="1:13" x14ac:dyDescent="0.3">
      <c r="A331">
        <v>36</v>
      </c>
      <c r="B331" t="s">
        <v>25</v>
      </c>
      <c r="C331" s="1">
        <v>8</v>
      </c>
      <c r="D331" t="s">
        <v>13</v>
      </c>
      <c r="E331" t="s">
        <v>26</v>
      </c>
      <c r="F331" t="s">
        <v>22</v>
      </c>
      <c r="G331" t="s">
        <v>29</v>
      </c>
      <c r="H331" t="s">
        <v>17</v>
      </c>
      <c r="I331" s="3">
        <v>13454</v>
      </c>
      <c r="J331" s="3" t="str">
        <f t="shared" si="5"/>
        <v>Medium</v>
      </c>
      <c r="K331" t="b">
        <v>0</v>
      </c>
      <c r="L331" t="b">
        <v>1</v>
      </c>
      <c r="M331" t="b">
        <v>1</v>
      </c>
    </row>
    <row r="332" spans="1:13" x14ac:dyDescent="0.3">
      <c r="A332">
        <v>21</v>
      </c>
      <c r="B332" t="s">
        <v>18</v>
      </c>
      <c r="C332" s="1">
        <v>7</v>
      </c>
      <c r="D332" t="s">
        <v>19</v>
      </c>
      <c r="E332" t="s">
        <v>14</v>
      </c>
      <c r="F332" t="s">
        <v>22</v>
      </c>
      <c r="G332" t="s">
        <v>29</v>
      </c>
      <c r="H332" t="s">
        <v>24</v>
      </c>
      <c r="I332" s="3">
        <v>17329</v>
      </c>
      <c r="J332" s="3" t="str">
        <f t="shared" si="5"/>
        <v>High</v>
      </c>
      <c r="K332" t="b">
        <v>0</v>
      </c>
      <c r="L332" t="b">
        <v>0</v>
      </c>
      <c r="M332" t="b">
        <v>0</v>
      </c>
    </row>
    <row r="333" spans="1:13" x14ac:dyDescent="0.3">
      <c r="A333">
        <v>52</v>
      </c>
      <c r="B333" t="s">
        <v>25</v>
      </c>
      <c r="C333" s="1">
        <v>1</v>
      </c>
      <c r="D333" t="s">
        <v>13</v>
      </c>
      <c r="E333" t="s">
        <v>26</v>
      </c>
      <c r="F333" t="s">
        <v>15</v>
      </c>
      <c r="G333" t="s">
        <v>23</v>
      </c>
      <c r="H333" t="s">
        <v>24</v>
      </c>
      <c r="I333" s="3">
        <v>11790</v>
      </c>
      <c r="J333" s="3" t="str">
        <f t="shared" si="5"/>
        <v>Low</v>
      </c>
      <c r="K333" t="b">
        <v>1</v>
      </c>
      <c r="L333" t="b">
        <v>0</v>
      </c>
      <c r="M333" t="b">
        <v>1</v>
      </c>
    </row>
    <row r="334" spans="1:13" x14ac:dyDescent="0.3">
      <c r="A334">
        <v>34</v>
      </c>
      <c r="B334" t="s">
        <v>12</v>
      </c>
      <c r="C334" s="1">
        <v>5</v>
      </c>
      <c r="D334" t="s">
        <v>19</v>
      </c>
      <c r="E334" t="s">
        <v>20</v>
      </c>
      <c r="F334" t="s">
        <v>15</v>
      </c>
      <c r="G334" t="s">
        <v>29</v>
      </c>
      <c r="H334" t="s">
        <v>24</v>
      </c>
      <c r="I334" s="3">
        <v>19669</v>
      </c>
      <c r="J334" s="3" t="str">
        <f t="shared" si="5"/>
        <v>High</v>
      </c>
      <c r="K334" t="b">
        <v>1</v>
      </c>
      <c r="L334" t="b">
        <v>1</v>
      </c>
      <c r="M334" t="b">
        <v>0</v>
      </c>
    </row>
    <row r="335" spans="1:13" x14ac:dyDescent="0.3">
      <c r="A335">
        <v>61</v>
      </c>
      <c r="B335" t="s">
        <v>18</v>
      </c>
      <c r="C335" s="1">
        <v>6</v>
      </c>
      <c r="D335" t="s">
        <v>13</v>
      </c>
      <c r="E335" t="s">
        <v>26</v>
      </c>
      <c r="F335" t="s">
        <v>27</v>
      </c>
      <c r="G335" t="s">
        <v>23</v>
      </c>
      <c r="H335" t="s">
        <v>24</v>
      </c>
      <c r="I335" s="3">
        <v>10885</v>
      </c>
      <c r="J335" s="3" t="str">
        <f t="shared" si="5"/>
        <v>Low</v>
      </c>
      <c r="K335" t="b">
        <v>0</v>
      </c>
      <c r="L335" t="b">
        <v>0</v>
      </c>
      <c r="M335" t="b">
        <v>1</v>
      </c>
    </row>
    <row r="336" spans="1:13" x14ac:dyDescent="0.3">
      <c r="A336">
        <v>45</v>
      </c>
      <c r="B336" t="s">
        <v>25</v>
      </c>
      <c r="C336" s="1">
        <v>4</v>
      </c>
      <c r="D336" t="s">
        <v>28</v>
      </c>
      <c r="E336" t="s">
        <v>14</v>
      </c>
      <c r="F336" t="s">
        <v>27</v>
      </c>
      <c r="G336" t="s">
        <v>29</v>
      </c>
      <c r="H336" t="s">
        <v>17</v>
      </c>
      <c r="I336" s="3">
        <v>17734</v>
      </c>
      <c r="J336" s="3" t="str">
        <f t="shared" si="5"/>
        <v>High</v>
      </c>
      <c r="K336" t="b">
        <v>1</v>
      </c>
      <c r="L336" t="b">
        <v>1</v>
      </c>
      <c r="M336" t="b">
        <v>1</v>
      </c>
    </row>
    <row r="337" spans="1:13" x14ac:dyDescent="0.3">
      <c r="A337">
        <v>47</v>
      </c>
      <c r="B337" t="s">
        <v>12</v>
      </c>
      <c r="C337" s="1">
        <v>2</v>
      </c>
      <c r="D337" t="s">
        <v>28</v>
      </c>
      <c r="E337" t="s">
        <v>26</v>
      </c>
      <c r="F337" t="s">
        <v>22</v>
      </c>
      <c r="G337" t="s">
        <v>23</v>
      </c>
      <c r="H337" t="s">
        <v>24</v>
      </c>
      <c r="I337" s="3">
        <v>13906</v>
      </c>
      <c r="J337" s="3" t="str">
        <f t="shared" si="5"/>
        <v>Medium</v>
      </c>
      <c r="K337" t="b">
        <v>0</v>
      </c>
      <c r="L337" t="b">
        <v>0</v>
      </c>
      <c r="M337" t="b">
        <v>1</v>
      </c>
    </row>
    <row r="338" spans="1:13" x14ac:dyDescent="0.3">
      <c r="A338">
        <v>46</v>
      </c>
      <c r="B338" t="s">
        <v>18</v>
      </c>
      <c r="C338" s="1">
        <v>4</v>
      </c>
      <c r="D338" t="s">
        <v>28</v>
      </c>
      <c r="E338" t="s">
        <v>14</v>
      </c>
      <c r="F338" t="s">
        <v>22</v>
      </c>
      <c r="G338" t="s">
        <v>29</v>
      </c>
      <c r="H338" t="s">
        <v>17</v>
      </c>
      <c r="I338" s="3">
        <v>14492</v>
      </c>
      <c r="J338" s="3" t="str">
        <f t="shared" si="5"/>
        <v>Medium</v>
      </c>
      <c r="K338" t="b">
        <v>1</v>
      </c>
      <c r="L338" t="b">
        <v>0</v>
      </c>
      <c r="M338" t="b">
        <v>1</v>
      </c>
    </row>
    <row r="339" spans="1:13" x14ac:dyDescent="0.3">
      <c r="A339">
        <v>63</v>
      </c>
      <c r="B339" t="s">
        <v>12</v>
      </c>
      <c r="C339" s="1">
        <v>1</v>
      </c>
      <c r="D339" t="s">
        <v>28</v>
      </c>
      <c r="E339" t="s">
        <v>14</v>
      </c>
      <c r="F339" t="s">
        <v>27</v>
      </c>
      <c r="G339" t="s">
        <v>29</v>
      </c>
      <c r="H339" t="s">
        <v>24</v>
      </c>
      <c r="I339" s="3">
        <v>19730</v>
      </c>
      <c r="J339" s="3" t="str">
        <f t="shared" si="5"/>
        <v>High</v>
      </c>
      <c r="K339" t="b">
        <v>0</v>
      </c>
      <c r="L339" t="b">
        <v>0</v>
      </c>
      <c r="M339" t="b">
        <v>1</v>
      </c>
    </row>
    <row r="340" spans="1:13" x14ac:dyDescent="0.3">
      <c r="A340">
        <v>23</v>
      </c>
      <c r="B340" t="s">
        <v>18</v>
      </c>
      <c r="C340" s="1">
        <v>7</v>
      </c>
      <c r="D340" t="s">
        <v>19</v>
      </c>
      <c r="E340" t="s">
        <v>20</v>
      </c>
      <c r="F340" t="s">
        <v>27</v>
      </c>
      <c r="G340" t="s">
        <v>16</v>
      </c>
      <c r="H340" t="s">
        <v>21</v>
      </c>
      <c r="I340" s="3">
        <v>12073</v>
      </c>
      <c r="J340" s="3" t="str">
        <f t="shared" si="5"/>
        <v>Medium</v>
      </c>
      <c r="K340" t="b">
        <v>0</v>
      </c>
      <c r="L340" t="b">
        <v>0</v>
      </c>
      <c r="M340" t="b">
        <v>0</v>
      </c>
    </row>
    <row r="341" spans="1:13" x14ac:dyDescent="0.3">
      <c r="A341">
        <v>52</v>
      </c>
      <c r="B341" t="s">
        <v>12</v>
      </c>
      <c r="C341" s="1">
        <v>2</v>
      </c>
      <c r="D341" t="s">
        <v>19</v>
      </c>
      <c r="E341" t="s">
        <v>20</v>
      </c>
      <c r="F341" t="s">
        <v>15</v>
      </c>
      <c r="G341" t="s">
        <v>29</v>
      </c>
      <c r="H341" t="s">
        <v>17</v>
      </c>
      <c r="I341" s="3">
        <v>10312</v>
      </c>
      <c r="J341" s="3" t="str">
        <f t="shared" si="5"/>
        <v>Low</v>
      </c>
      <c r="K341" t="b">
        <v>1</v>
      </c>
      <c r="L341" t="b">
        <v>1</v>
      </c>
      <c r="M341" t="b">
        <v>1</v>
      </c>
    </row>
    <row r="342" spans="1:13" x14ac:dyDescent="0.3">
      <c r="A342">
        <v>58</v>
      </c>
      <c r="B342" t="s">
        <v>12</v>
      </c>
      <c r="C342" s="1">
        <v>2</v>
      </c>
      <c r="D342" t="s">
        <v>13</v>
      </c>
      <c r="E342" t="s">
        <v>14</v>
      </c>
      <c r="F342" t="s">
        <v>27</v>
      </c>
      <c r="G342" t="s">
        <v>29</v>
      </c>
      <c r="H342" t="s">
        <v>21</v>
      </c>
      <c r="I342" s="3">
        <v>16269</v>
      </c>
      <c r="J342" s="3" t="str">
        <f t="shared" si="5"/>
        <v>High</v>
      </c>
      <c r="K342" t="b">
        <v>0</v>
      </c>
      <c r="L342" t="b">
        <v>1</v>
      </c>
      <c r="M342" t="b">
        <v>1</v>
      </c>
    </row>
    <row r="343" spans="1:13" x14ac:dyDescent="0.3">
      <c r="A343">
        <v>54</v>
      </c>
      <c r="B343" t="s">
        <v>25</v>
      </c>
      <c r="C343" s="1">
        <v>9</v>
      </c>
      <c r="D343" t="s">
        <v>28</v>
      </c>
      <c r="E343" t="s">
        <v>26</v>
      </c>
      <c r="F343" t="s">
        <v>27</v>
      </c>
      <c r="G343" t="s">
        <v>16</v>
      </c>
      <c r="H343" t="s">
        <v>24</v>
      </c>
      <c r="I343" s="3">
        <v>15317</v>
      </c>
      <c r="J343" s="3" t="str">
        <f t="shared" si="5"/>
        <v>High</v>
      </c>
      <c r="K343" t="b">
        <v>1</v>
      </c>
      <c r="L343" t="b">
        <v>0</v>
      </c>
      <c r="M343" t="b">
        <v>0</v>
      </c>
    </row>
    <row r="344" spans="1:13" x14ac:dyDescent="0.3">
      <c r="A344">
        <v>41</v>
      </c>
      <c r="B344" t="s">
        <v>12</v>
      </c>
      <c r="C344" s="1">
        <v>5</v>
      </c>
      <c r="D344" t="s">
        <v>19</v>
      </c>
      <c r="E344" t="s">
        <v>14</v>
      </c>
      <c r="F344" t="s">
        <v>22</v>
      </c>
      <c r="G344" t="s">
        <v>23</v>
      </c>
      <c r="H344" t="s">
        <v>24</v>
      </c>
      <c r="I344" s="3">
        <v>10810</v>
      </c>
      <c r="J344" s="3" t="str">
        <f t="shared" si="5"/>
        <v>Low</v>
      </c>
      <c r="K344" t="b">
        <v>1</v>
      </c>
      <c r="L344" t="b">
        <v>1</v>
      </c>
      <c r="M344" t="b">
        <v>0</v>
      </c>
    </row>
    <row r="345" spans="1:13" x14ac:dyDescent="0.3">
      <c r="A345">
        <v>46</v>
      </c>
      <c r="B345" t="s">
        <v>18</v>
      </c>
      <c r="C345" s="1">
        <v>2</v>
      </c>
      <c r="D345" t="s">
        <v>13</v>
      </c>
      <c r="E345" t="s">
        <v>14</v>
      </c>
      <c r="F345" t="s">
        <v>27</v>
      </c>
      <c r="G345" t="s">
        <v>16</v>
      </c>
      <c r="H345" t="s">
        <v>24</v>
      </c>
      <c r="I345" s="3">
        <v>16841</v>
      </c>
      <c r="J345" s="3" t="str">
        <f t="shared" si="5"/>
        <v>High</v>
      </c>
      <c r="K345" t="b">
        <v>1</v>
      </c>
      <c r="L345" t="b">
        <v>0</v>
      </c>
      <c r="M345" t="b">
        <v>0</v>
      </c>
    </row>
    <row r="346" spans="1:13" x14ac:dyDescent="0.3">
      <c r="A346">
        <v>63</v>
      </c>
      <c r="B346" t="s">
        <v>18</v>
      </c>
      <c r="C346" s="1">
        <v>9</v>
      </c>
      <c r="D346" t="s">
        <v>13</v>
      </c>
      <c r="E346" t="s">
        <v>26</v>
      </c>
      <c r="F346" t="s">
        <v>22</v>
      </c>
      <c r="G346" t="s">
        <v>16</v>
      </c>
      <c r="H346" t="s">
        <v>17</v>
      </c>
      <c r="I346" s="3">
        <v>12032</v>
      </c>
      <c r="J346" s="3" t="str">
        <f t="shared" si="5"/>
        <v>Medium</v>
      </c>
      <c r="K346" t="b">
        <v>1</v>
      </c>
      <c r="L346" t="b">
        <v>0</v>
      </c>
      <c r="M346" t="b">
        <v>1</v>
      </c>
    </row>
    <row r="347" spans="1:13" x14ac:dyDescent="0.3">
      <c r="A347">
        <v>48</v>
      </c>
      <c r="B347" t="s">
        <v>25</v>
      </c>
      <c r="C347" s="1">
        <v>9</v>
      </c>
      <c r="D347" t="s">
        <v>19</v>
      </c>
      <c r="E347" t="s">
        <v>26</v>
      </c>
      <c r="F347" t="s">
        <v>27</v>
      </c>
      <c r="G347" t="s">
        <v>23</v>
      </c>
      <c r="H347" t="s">
        <v>21</v>
      </c>
      <c r="I347" s="3">
        <v>19699</v>
      </c>
      <c r="J347" s="3" t="str">
        <f t="shared" si="5"/>
        <v>High</v>
      </c>
      <c r="K347" t="b">
        <v>0</v>
      </c>
      <c r="L347" t="b">
        <v>0</v>
      </c>
      <c r="M347" t="b">
        <v>1</v>
      </c>
    </row>
    <row r="348" spans="1:13" x14ac:dyDescent="0.3">
      <c r="A348">
        <v>52</v>
      </c>
      <c r="B348" t="s">
        <v>18</v>
      </c>
      <c r="C348" s="1">
        <v>1</v>
      </c>
      <c r="D348" t="s">
        <v>28</v>
      </c>
      <c r="E348" t="s">
        <v>26</v>
      </c>
      <c r="F348" t="s">
        <v>15</v>
      </c>
      <c r="G348" t="s">
        <v>29</v>
      </c>
      <c r="H348" t="s">
        <v>17</v>
      </c>
      <c r="I348" s="3">
        <v>17129</v>
      </c>
      <c r="J348" s="3" t="str">
        <f t="shared" si="5"/>
        <v>High</v>
      </c>
      <c r="K348" t="b">
        <v>1</v>
      </c>
      <c r="L348" t="b">
        <v>0</v>
      </c>
      <c r="M348" t="b">
        <v>0</v>
      </c>
    </row>
    <row r="349" spans="1:13" x14ac:dyDescent="0.3">
      <c r="A349">
        <v>50</v>
      </c>
      <c r="B349" t="s">
        <v>18</v>
      </c>
      <c r="C349" s="1">
        <v>3</v>
      </c>
      <c r="D349" t="s">
        <v>13</v>
      </c>
      <c r="E349" t="s">
        <v>26</v>
      </c>
      <c r="F349" t="s">
        <v>27</v>
      </c>
      <c r="G349" t="s">
        <v>23</v>
      </c>
      <c r="H349" t="s">
        <v>17</v>
      </c>
      <c r="I349" s="3">
        <v>12705</v>
      </c>
      <c r="J349" s="3" t="str">
        <f t="shared" si="5"/>
        <v>Medium</v>
      </c>
      <c r="K349" t="b">
        <v>1</v>
      </c>
      <c r="L349" t="b">
        <v>0</v>
      </c>
      <c r="M349" t="b">
        <v>0</v>
      </c>
    </row>
    <row r="350" spans="1:13" x14ac:dyDescent="0.3">
      <c r="A350">
        <v>38</v>
      </c>
      <c r="B350" t="s">
        <v>18</v>
      </c>
      <c r="C350" s="1">
        <v>4</v>
      </c>
      <c r="D350" t="s">
        <v>28</v>
      </c>
      <c r="E350" t="s">
        <v>14</v>
      </c>
      <c r="F350" t="s">
        <v>27</v>
      </c>
      <c r="G350" t="s">
        <v>29</v>
      </c>
      <c r="H350" t="s">
        <v>24</v>
      </c>
      <c r="I350" s="3">
        <v>18788</v>
      </c>
      <c r="J350" s="3" t="str">
        <f t="shared" si="5"/>
        <v>High</v>
      </c>
      <c r="K350" t="b">
        <v>1</v>
      </c>
      <c r="L350" t="b">
        <v>0</v>
      </c>
      <c r="M350" t="b">
        <v>0</v>
      </c>
    </row>
    <row r="351" spans="1:13" x14ac:dyDescent="0.3">
      <c r="A351">
        <v>49</v>
      </c>
      <c r="B351" t="s">
        <v>12</v>
      </c>
      <c r="C351" s="1">
        <v>7</v>
      </c>
      <c r="D351" t="s">
        <v>28</v>
      </c>
      <c r="E351" t="s">
        <v>14</v>
      </c>
      <c r="F351" t="s">
        <v>27</v>
      </c>
      <c r="G351" t="s">
        <v>29</v>
      </c>
      <c r="H351" t="s">
        <v>21</v>
      </c>
      <c r="I351" s="3">
        <v>12147</v>
      </c>
      <c r="J351" s="3" t="str">
        <f t="shared" si="5"/>
        <v>Medium</v>
      </c>
      <c r="K351" t="b">
        <v>1</v>
      </c>
      <c r="L351" t="b">
        <v>1</v>
      </c>
      <c r="M351" t="b">
        <v>0</v>
      </c>
    </row>
    <row r="352" spans="1:13" x14ac:dyDescent="0.3">
      <c r="A352">
        <v>40</v>
      </c>
      <c r="B352" t="s">
        <v>12</v>
      </c>
      <c r="C352" s="1">
        <v>4</v>
      </c>
      <c r="D352" t="s">
        <v>28</v>
      </c>
      <c r="E352" t="s">
        <v>20</v>
      </c>
      <c r="F352" t="s">
        <v>22</v>
      </c>
      <c r="G352" t="s">
        <v>23</v>
      </c>
      <c r="H352" t="s">
        <v>24</v>
      </c>
      <c r="I352" s="3">
        <v>10615</v>
      </c>
      <c r="J352" s="3" t="str">
        <f t="shared" si="5"/>
        <v>Low</v>
      </c>
      <c r="K352" t="b">
        <v>0</v>
      </c>
      <c r="L352" t="b">
        <v>1</v>
      </c>
      <c r="M352" t="b">
        <v>1</v>
      </c>
    </row>
    <row r="353" spans="1:13" x14ac:dyDescent="0.3">
      <c r="A353">
        <v>50</v>
      </c>
      <c r="B353" t="s">
        <v>18</v>
      </c>
      <c r="C353" s="1">
        <v>2</v>
      </c>
      <c r="D353" t="s">
        <v>13</v>
      </c>
      <c r="E353" t="s">
        <v>14</v>
      </c>
      <c r="F353" t="s">
        <v>15</v>
      </c>
      <c r="G353" t="s">
        <v>16</v>
      </c>
      <c r="H353" t="s">
        <v>17</v>
      </c>
      <c r="I353" s="3">
        <v>10947</v>
      </c>
      <c r="J353" s="3" t="str">
        <f t="shared" si="5"/>
        <v>Low</v>
      </c>
      <c r="K353" t="b">
        <v>1</v>
      </c>
      <c r="L353" t="b">
        <v>0</v>
      </c>
      <c r="M353" t="b">
        <v>1</v>
      </c>
    </row>
    <row r="354" spans="1:13" x14ac:dyDescent="0.3">
      <c r="A354">
        <v>20</v>
      </c>
      <c r="B354" t="s">
        <v>25</v>
      </c>
      <c r="C354" s="1">
        <v>7</v>
      </c>
      <c r="D354" t="s">
        <v>28</v>
      </c>
      <c r="E354" t="s">
        <v>26</v>
      </c>
      <c r="F354" t="s">
        <v>27</v>
      </c>
      <c r="G354" t="s">
        <v>23</v>
      </c>
      <c r="H354" t="s">
        <v>24</v>
      </c>
      <c r="I354" s="3">
        <v>15677</v>
      </c>
      <c r="J354" s="3" t="str">
        <f t="shared" si="5"/>
        <v>High</v>
      </c>
      <c r="K354" t="b">
        <v>0</v>
      </c>
      <c r="L354" t="b">
        <v>1</v>
      </c>
      <c r="M354" t="b">
        <v>1</v>
      </c>
    </row>
    <row r="355" spans="1:13" x14ac:dyDescent="0.3">
      <c r="A355">
        <v>35</v>
      </c>
      <c r="B355" t="s">
        <v>12</v>
      </c>
      <c r="C355" s="1">
        <v>6</v>
      </c>
      <c r="D355" t="s">
        <v>13</v>
      </c>
      <c r="E355" t="s">
        <v>20</v>
      </c>
      <c r="F355" t="s">
        <v>22</v>
      </c>
      <c r="G355" t="s">
        <v>29</v>
      </c>
      <c r="H355" t="s">
        <v>21</v>
      </c>
      <c r="I355" s="3">
        <v>14651</v>
      </c>
      <c r="J355" s="3" t="str">
        <f t="shared" si="5"/>
        <v>Medium</v>
      </c>
      <c r="K355" t="b">
        <v>0</v>
      </c>
      <c r="L355" t="b">
        <v>0</v>
      </c>
      <c r="M355" t="b">
        <v>1</v>
      </c>
    </row>
    <row r="356" spans="1:13" x14ac:dyDescent="0.3">
      <c r="A356">
        <v>42</v>
      </c>
      <c r="B356" t="s">
        <v>25</v>
      </c>
      <c r="C356" s="1">
        <v>3</v>
      </c>
      <c r="D356" t="s">
        <v>28</v>
      </c>
      <c r="E356" t="s">
        <v>26</v>
      </c>
      <c r="F356" t="s">
        <v>15</v>
      </c>
      <c r="G356" t="s">
        <v>23</v>
      </c>
      <c r="H356" t="s">
        <v>24</v>
      </c>
      <c r="I356" s="3">
        <v>17866</v>
      </c>
      <c r="J356" s="3" t="str">
        <f t="shared" si="5"/>
        <v>High</v>
      </c>
      <c r="K356" t="b">
        <v>0</v>
      </c>
      <c r="L356" t="b">
        <v>1</v>
      </c>
      <c r="M356" t="b">
        <v>1</v>
      </c>
    </row>
    <row r="357" spans="1:13" x14ac:dyDescent="0.3">
      <c r="A357">
        <v>59</v>
      </c>
      <c r="B357" t="s">
        <v>18</v>
      </c>
      <c r="C357" s="1">
        <v>6</v>
      </c>
      <c r="D357" t="s">
        <v>13</v>
      </c>
      <c r="E357" t="s">
        <v>14</v>
      </c>
      <c r="F357" t="s">
        <v>22</v>
      </c>
      <c r="G357" t="s">
        <v>23</v>
      </c>
      <c r="H357" t="s">
        <v>21</v>
      </c>
      <c r="I357" s="3">
        <v>12013</v>
      </c>
      <c r="J357" s="3" t="str">
        <f t="shared" si="5"/>
        <v>Medium</v>
      </c>
      <c r="K357" t="b">
        <v>1</v>
      </c>
      <c r="L357" t="b">
        <v>1</v>
      </c>
      <c r="M357" t="b">
        <v>0</v>
      </c>
    </row>
    <row r="358" spans="1:13" x14ac:dyDescent="0.3">
      <c r="A358">
        <v>48</v>
      </c>
      <c r="B358" t="s">
        <v>18</v>
      </c>
      <c r="C358" s="1">
        <v>6</v>
      </c>
      <c r="D358" t="s">
        <v>28</v>
      </c>
      <c r="E358" t="s">
        <v>20</v>
      </c>
      <c r="F358" t="s">
        <v>22</v>
      </c>
      <c r="G358" t="s">
        <v>29</v>
      </c>
      <c r="H358" t="s">
        <v>21</v>
      </c>
      <c r="I358" s="3">
        <v>13697</v>
      </c>
      <c r="J358" s="3" t="str">
        <f t="shared" si="5"/>
        <v>Medium</v>
      </c>
      <c r="K358" t="b">
        <v>1</v>
      </c>
      <c r="L358" t="b">
        <v>1</v>
      </c>
      <c r="M358" t="b">
        <v>1</v>
      </c>
    </row>
    <row r="359" spans="1:13" x14ac:dyDescent="0.3">
      <c r="A359">
        <v>20</v>
      </c>
      <c r="B359" t="s">
        <v>12</v>
      </c>
      <c r="C359" s="1">
        <v>5</v>
      </c>
      <c r="D359" t="s">
        <v>19</v>
      </c>
      <c r="E359" t="s">
        <v>26</v>
      </c>
      <c r="F359" t="s">
        <v>15</v>
      </c>
      <c r="G359" t="s">
        <v>16</v>
      </c>
      <c r="H359" t="s">
        <v>24</v>
      </c>
      <c r="I359" s="3">
        <v>10490</v>
      </c>
      <c r="J359" s="3" t="str">
        <f t="shared" si="5"/>
        <v>Low</v>
      </c>
      <c r="K359" t="b">
        <v>1</v>
      </c>
      <c r="L359" t="b">
        <v>0</v>
      </c>
      <c r="M359" t="b">
        <v>0</v>
      </c>
    </row>
    <row r="360" spans="1:13" x14ac:dyDescent="0.3">
      <c r="A360">
        <v>57</v>
      </c>
      <c r="B360" t="s">
        <v>18</v>
      </c>
      <c r="C360" s="1">
        <v>4</v>
      </c>
      <c r="D360" t="s">
        <v>28</v>
      </c>
      <c r="E360" t="s">
        <v>20</v>
      </c>
      <c r="F360" t="s">
        <v>27</v>
      </c>
      <c r="G360" t="s">
        <v>23</v>
      </c>
      <c r="H360" t="s">
        <v>17</v>
      </c>
      <c r="I360" s="3">
        <v>14350</v>
      </c>
      <c r="J360" s="3" t="str">
        <f t="shared" si="5"/>
        <v>Medium</v>
      </c>
      <c r="K360" t="b">
        <v>1</v>
      </c>
      <c r="L360" t="b">
        <v>1</v>
      </c>
      <c r="M360" t="b">
        <v>0</v>
      </c>
    </row>
    <row r="361" spans="1:13" x14ac:dyDescent="0.3">
      <c r="A361">
        <v>63</v>
      </c>
      <c r="B361" t="s">
        <v>12</v>
      </c>
      <c r="C361" s="1">
        <v>1</v>
      </c>
      <c r="D361" t="s">
        <v>28</v>
      </c>
      <c r="E361" t="s">
        <v>20</v>
      </c>
      <c r="F361" t="s">
        <v>22</v>
      </c>
      <c r="G361" t="s">
        <v>29</v>
      </c>
      <c r="H361" t="s">
        <v>24</v>
      </c>
      <c r="I361" s="3">
        <v>12428</v>
      </c>
      <c r="J361" s="3" t="str">
        <f t="shared" si="5"/>
        <v>Medium</v>
      </c>
      <c r="K361" t="b">
        <v>0</v>
      </c>
      <c r="L361" t="b">
        <v>0</v>
      </c>
      <c r="M361" t="b">
        <v>0</v>
      </c>
    </row>
    <row r="362" spans="1:13" x14ac:dyDescent="0.3">
      <c r="A362">
        <v>41</v>
      </c>
      <c r="B362" t="s">
        <v>18</v>
      </c>
      <c r="C362" s="1">
        <v>6</v>
      </c>
      <c r="D362" t="s">
        <v>13</v>
      </c>
      <c r="E362" t="s">
        <v>14</v>
      </c>
      <c r="F362" t="s">
        <v>22</v>
      </c>
      <c r="G362" t="s">
        <v>29</v>
      </c>
      <c r="H362" t="s">
        <v>17</v>
      </c>
      <c r="I362" s="3">
        <v>14987</v>
      </c>
      <c r="J362" s="3" t="str">
        <f t="shared" si="5"/>
        <v>Medium</v>
      </c>
      <c r="K362" t="b">
        <v>0</v>
      </c>
      <c r="L362" t="b">
        <v>0</v>
      </c>
      <c r="M362" t="b">
        <v>1</v>
      </c>
    </row>
    <row r="363" spans="1:13" x14ac:dyDescent="0.3">
      <c r="A363">
        <v>49</v>
      </c>
      <c r="B363" t="s">
        <v>18</v>
      </c>
      <c r="C363" s="1">
        <v>2</v>
      </c>
      <c r="D363" t="s">
        <v>13</v>
      </c>
      <c r="E363" t="s">
        <v>26</v>
      </c>
      <c r="F363" t="s">
        <v>27</v>
      </c>
      <c r="G363" t="s">
        <v>23</v>
      </c>
      <c r="H363" t="s">
        <v>17</v>
      </c>
      <c r="I363" s="3">
        <v>18733</v>
      </c>
      <c r="J363" s="3" t="str">
        <f t="shared" si="5"/>
        <v>High</v>
      </c>
      <c r="K363" t="b">
        <v>1</v>
      </c>
      <c r="L363" t="b">
        <v>0</v>
      </c>
      <c r="M363" t="b">
        <v>0</v>
      </c>
    </row>
    <row r="364" spans="1:13" x14ac:dyDescent="0.3">
      <c r="A364">
        <v>64</v>
      </c>
      <c r="B364" t="s">
        <v>12</v>
      </c>
      <c r="C364" s="1">
        <v>3</v>
      </c>
      <c r="D364" t="s">
        <v>28</v>
      </c>
      <c r="E364" t="s">
        <v>20</v>
      </c>
      <c r="F364" t="s">
        <v>27</v>
      </c>
      <c r="G364" t="s">
        <v>16</v>
      </c>
      <c r="H364" t="s">
        <v>24</v>
      </c>
      <c r="I364" s="3">
        <v>19479</v>
      </c>
      <c r="J364" s="3" t="str">
        <f t="shared" si="5"/>
        <v>High</v>
      </c>
      <c r="K364" t="b">
        <v>1</v>
      </c>
      <c r="L364" t="b">
        <v>1</v>
      </c>
      <c r="M364" t="b">
        <v>1</v>
      </c>
    </row>
    <row r="365" spans="1:13" x14ac:dyDescent="0.3">
      <c r="A365">
        <v>39</v>
      </c>
      <c r="B365" t="s">
        <v>12</v>
      </c>
      <c r="C365" s="1">
        <v>8</v>
      </c>
      <c r="D365" t="s">
        <v>19</v>
      </c>
      <c r="E365" t="s">
        <v>20</v>
      </c>
      <c r="F365" t="s">
        <v>15</v>
      </c>
      <c r="G365" t="s">
        <v>23</v>
      </c>
      <c r="H365" t="s">
        <v>17</v>
      </c>
      <c r="I365" s="3">
        <v>19825</v>
      </c>
      <c r="J365" s="3" t="str">
        <f t="shared" si="5"/>
        <v>High</v>
      </c>
      <c r="K365" t="b">
        <v>1</v>
      </c>
      <c r="L365" t="b">
        <v>1</v>
      </c>
      <c r="M365" t="b">
        <v>0</v>
      </c>
    </row>
    <row r="366" spans="1:13" x14ac:dyDescent="0.3">
      <c r="A366">
        <v>40</v>
      </c>
      <c r="B366" t="s">
        <v>12</v>
      </c>
      <c r="C366" s="1">
        <v>6</v>
      </c>
      <c r="D366" t="s">
        <v>19</v>
      </c>
      <c r="E366" t="s">
        <v>26</v>
      </c>
      <c r="F366" t="s">
        <v>15</v>
      </c>
      <c r="G366" t="s">
        <v>16</v>
      </c>
      <c r="H366" t="s">
        <v>17</v>
      </c>
      <c r="I366" s="3">
        <v>14920</v>
      </c>
      <c r="J366" s="3" t="str">
        <f t="shared" si="5"/>
        <v>Medium</v>
      </c>
      <c r="K366" t="b">
        <v>1</v>
      </c>
      <c r="L366" t="b">
        <v>1</v>
      </c>
      <c r="M366" t="b">
        <v>1</v>
      </c>
    </row>
    <row r="367" spans="1:13" x14ac:dyDescent="0.3">
      <c r="A367">
        <v>19</v>
      </c>
      <c r="B367" t="s">
        <v>18</v>
      </c>
      <c r="C367" s="1">
        <v>3</v>
      </c>
      <c r="D367" t="s">
        <v>13</v>
      </c>
      <c r="E367" t="s">
        <v>20</v>
      </c>
      <c r="F367" t="s">
        <v>15</v>
      </c>
      <c r="G367" t="s">
        <v>16</v>
      </c>
      <c r="H367" t="s">
        <v>24</v>
      </c>
      <c r="I367" s="3">
        <v>12926</v>
      </c>
      <c r="J367" s="3" t="str">
        <f t="shared" si="5"/>
        <v>Medium</v>
      </c>
      <c r="K367" t="b">
        <v>1</v>
      </c>
      <c r="L367" t="b">
        <v>0</v>
      </c>
      <c r="M367" t="b">
        <v>0</v>
      </c>
    </row>
    <row r="368" spans="1:13" x14ac:dyDescent="0.3">
      <c r="A368">
        <v>44</v>
      </c>
      <c r="B368" t="s">
        <v>18</v>
      </c>
      <c r="C368" s="1">
        <v>7</v>
      </c>
      <c r="D368" t="s">
        <v>19</v>
      </c>
      <c r="E368" t="s">
        <v>20</v>
      </c>
      <c r="F368" t="s">
        <v>27</v>
      </c>
      <c r="G368" t="s">
        <v>16</v>
      </c>
      <c r="H368" t="s">
        <v>24</v>
      </c>
      <c r="I368" s="3">
        <v>19544</v>
      </c>
      <c r="J368" s="3" t="str">
        <f t="shared" si="5"/>
        <v>High</v>
      </c>
      <c r="K368" t="b">
        <v>1</v>
      </c>
      <c r="L368" t="b">
        <v>0</v>
      </c>
      <c r="M368" t="b">
        <v>1</v>
      </c>
    </row>
    <row r="369" spans="1:13" x14ac:dyDescent="0.3">
      <c r="A369">
        <v>59</v>
      </c>
      <c r="B369" t="s">
        <v>25</v>
      </c>
      <c r="C369" s="1">
        <v>4</v>
      </c>
      <c r="D369" t="s">
        <v>28</v>
      </c>
      <c r="E369" t="s">
        <v>20</v>
      </c>
      <c r="F369" t="s">
        <v>22</v>
      </c>
      <c r="G369" t="s">
        <v>16</v>
      </c>
      <c r="H369" t="s">
        <v>24</v>
      </c>
      <c r="I369" s="3">
        <v>17282</v>
      </c>
      <c r="J369" s="3" t="str">
        <f t="shared" si="5"/>
        <v>High</v>
      </c>
      <c r="K369" t="b">
        <v>1</v>
      </c>
      <c r="L369" t="b">
        <v>1</v>
      </c>
      <c r="M369" t="b">
        <v>0</v>
      </c>
    </row>
    <row r="370" spans="1:13" x14ac:dyDescent="0.3">
      <c r="A370">
        <v>19</v>
      </c>
      <c r="B370" t="s">
        <v>12</v>
      </c>
      <c r="C370" s="1">
        <v>9</v>
      </c>
      <c r="D370" t="s">
        <v>13</v>
      </c>
      <c r="E370" t="s">
        <v>26</v>
      </c>
      <c r="F370" t="s">
        <v>22</v>
      </c>
      <c r="G370" t="s">
        <v>23</v>
      </c>
      <c r="H370" t="s">
        <v>17</v>
      </c>
      <c r="I370" s="3">
        <v>14376</v>
      </c>
      <c r="J370" s="3" t="str">
        <f t="shared" si="5"/>
        <v>Medium</v>
      </c>
      <c r="K370" t="b">
        <v>0</v>
      </c>
      <c r="L370" t="b">
        <v>0</v>
      </c>
      <c r="M370" t="b">
        <v>0</v>
      </c>
    </row>
    <row r="371" spans="1:13" x14ac:dyDescent="0.3">
      <c r="A371">
        <v>43</v>
      </c>
      <c r="B371" t="s">
        <v>18</v>
      </c>
      <c r="C371" s="1">
        <v>5</v>
      </c>
      <c r="D371" t="s">
        <v>28</v>
      </c>
      <c r="E371" t="s">
        <v>26</v>
      </c>
      <c r="F371" t="s">
        <v>15</v>
      </c>
      <c r="G371" t="s">
        <v>29</v>
      </c>
      <c r="H371" t="s">
        <v>21</v>
      </c>
      <c r="I371" s="3">
        <v>19490</v>
      </c>
      <c r="J371" s="3" t="str">
        <f t="shared" si="5"/>
        <v>High</v>
      </c>
      <c r="K371" t="b">
        <v>0</v>
      </c>
      <c r="L371" t="b">
        <v>1</v>
      </c>
      <c r="M371" t="b">
        <v>0</v>
      </c>
    </row>
    <row r="372" spans="1:13" x14ac:dyDescent="0.3">
      <c r="A372">
        <v>34</v>
      </c>
      <c r="B372" t="s">
        <v>18</v>
      </c>
      <c r="C372" s="1">
        <v>3</v>
      </c>
      <c r="D372" t="s">
        <v>13</v>
      </c>
      <c r="E372" t="s">
        <v>26</v>
      </c>
      <c r="F372" t="s">
        <v>27</v>
      </c>
      <c r="G372" t="s">
        <v>29</v>
      </c>
      <c r="H372" t="s">
        <v>17</v>
      </c>
      <c r="I372" s="3">
        <v>14868</v>
      </c>
      <c r="J372" s="3" t="str">
        <f t="shared" si="5"/>
        <v>Medium</v>
      </c>
      <c r="K372" t="b">
        <v>0</v>
      </c>
      <c r="L372" t="b">
        <v>1</v>
      </c>
      <c r="M372" t="b">
        <v>0</v>
      </c>
    </row>
    <row r="373" spans="1:13" x14ac:dyDescent="0.3">
      <c r="A373">
        <v>57</v>
      </c>
      <c r="B373" t="s">
        <v>12</v>
      </c>
      <c r="C373" s="1">
        <v>2</v>
      </c>
      <c r="D373" t="s">
        <v>13</v>
      </c>
      <c r="E373" t="s">
        <v>26</v>
      </c>
      <c r="F373" t="s">
        <v>22</v>
      </c>
      <c r="G373" t="s">
        <v>29</v>
      </c>
      <c r="H373" t="s">
        <v>21</v>
      </c>
      <c r="I373" s="3">
        <v>16986</v>
      </c>
      <c r="J373" s="3" t="str">
        <f t="shared" si="5"/>
        <v>High</v>
      </c>
      <c r="K373" t="b">
        <v>0</v>
      </c>
      <c r="L373" t="b">
        <v>1</v>
      </c>
      <c r="M373" t="b">
        <v>1</v>
      </c>
    </row>
    <row r="374" spans="1:13" x14ac:dyDescent="0.3">
      <c r="A374">
        <v>50</v>
      </c>
      <c r="B374" t="s">
        <v>25</v>
      </c>
      <c r="C374" s="1">
        <v>2</v>
      </c>
      <c r="D374" t="s">
        <v>13</v>
      </c>
      <c r="E374" t="s">
        <v>14</v>
      </c>
      <c r="F374" t="s">
        <v>15</v>
      </c>
      <c r="G374" t="s">
        <v>29</v>
      </c>
      <c r="H374" t="s">
        <v>24</v>
      </c>
      <c r="I374" s="3">
        <v>16862</v>
      </c>
      <c r="J374" s="3" t="str">
        <f t="shared" si="5"/>
        <v>High</v>
      </c>
      <c r="K374" t="b">
        <v>1</v>
      </c>
      <c r="L374" t="b">
        <v>1</v>
      </c>
      <c r="M374" t="b">
        <v>1</v>
      </c>
    </row>
    <row r="375" spans="1:13" x14ac:dyDescent="0.3">
      <c r="A375">
        <v>26</v>
      </c>
      <c r="B375" t="s">
        <v>12</v>
      </c>
      <c r="C375" s="1">
        <v>3</v>
      </c>
      <c r="D375" t="s">
        <v>13</v>
      </c>
      <c r="E375" t="s">
        <v>20</v>
      </c>
      <c r="F375" t="s">
        <v>22</v>
      </c>
      <c r="G375" t="s">
        <v>29</v>
      </c>
      <c r="H375" t="s">
        <v>21</v>
      </c>
      <c r="I375" s="3">
        <v>14423</v>
      </c>
      <c r="J375" s="3" t="str">
        <f t="shared" si="5"/>
        <v>Medium</v>
      </c>
      <c r="K375" t="b">
        <v>1</v>
      </c>
      <c r="L375" t="b">
        <v>0</v>
      </c>
      <c r="M375" t="b">
        <v>1</v>
      </c>
    </row>
    <row r="376" spans="1:13" x14ac:dyDescent="0.3">
      <c r="A376">
        <v>60</v>
      </c>
      <c r="B376" t="s">
        <v>25</v>
      </c>
      <c r="C376" s="1">
        <v>2</v>
      </c>
      <c r="D376" t="s">
        <v>19</v>
      </c>
      <c r="E376" t="s">
        <v>26</v>
      </c>
      <c r="F376" t="s">
        <v>22</v>
      </c>
      <c r="G376" t="s">
        <v>29</v>
      </c>
      <c r="H376" t="s">
        <v>24</v>
      </c>
      <c r="I376" s="3">
        <v>16870</v>
      </c>
      <c r="J376" s="3" t="str">
        <f t="shared" si="5"/>
        <v>High</v>
      </c>
      <c r="K376" t="b">
        <v>1</v>
      </c>
      <c r="L376" t="b">
        <v>1</v>
      </c>
      <c r="M376" t="b">
        <v>0</v>
      </c>
    </row>
    <row r="377" spans="1:13" x14ac:dyDescent="0.3">
      <c r="A377">
        <v>56</v>
      </c>
      <c r="B377" t="s">
        <v>18</v>
      </c>
      <c r="C377" s="1">
        <v>4</v>
      </c>
      <c r="D377" t="s">
        <v>28</v>
      </c>
      <c r="E377" t="s">
        <v>20</v>
      </c>
      <c r="F377" t="s">
        <v>27</v>
      </c>
      <c r="G377" t="s">
        <v>23</v>
      </c>
      <c r="H377" t="s">
        <v>24</v>
      </c>
      <c r="I377" s="3">
        <v>18159</v>
      </c>
      <c r="J377" s="3" t="str">
        <f t="shared" si="5"/>
        <v>High</v>
      </c>
      <c r="K377" t="b">
        <v>1</v>
      </c>
      <c r="L377" t="b">
        <v>1</v>
      </c>
      <c r="M377" t="b">
        <v>0</v>
      </c>
    </row>
    <row r="378" spans="1:13" x14ac:dyDescent="0.3">
      <c r="A378">
        <v>46</v>
      </c>
      <c r="B378" t="s">
        <v>25</v>
      </c>
      <c r="C378" s="1">
        <v>2</v>
      </c>
      <c r="D378" t="s">
        <v>28</v>
      </c>
      <c r="E378" t="s">
        <v>20</v>
      </c>
      <c r="F378" t="s">
        <v>27</v>
      </c>
      <c r="G378" t="s">
        <v>16</v>
      </c>
      <c r="H378" t="s">
        <v>21</v>
      </c>
      <c r="I378" s="3">
        <v>12073</v>
      </c>
      <c r="J378" s="3" t="str">
        <f t="shared" si="5"/>
        <v>Medium</v>
      </c>
      <c r="K378" t="b">
        <v>1</v>
      </c>
      <c r="L378" t="b">
        <v>1</v>
      </c>
      <c r="M378" t="b">
        <v>0</v>
      </c>
    </row>
    <row r="379" spans="1:13" x14ac:dyDescent="0.3">
      <c r="A379">
        <v>59</v>
      </c>
      <c r="B379" t="s">
        <v>18</v>
      </c>
      <c r="C379" s="1">
        <v>9</v>
      </c>
      <c r="D379" t="s">
        <v>28</v>
      </c>
      <c r="E379" t="s">
        <v>14</v>
      </c>
      <c r="F379" t="s">
        <v>22</v>
      </c>
      <c r="G379" t="s">
        <v>29</v>
      </c>
      <c r="H379" t="s">
        <v>24</v>
      </c>
      <c r="I379" s="3">
        <v>16170</v>
      </c>
      <c r="J379" s="3" t="str">
        <f t="shared" si="5"/>
        <v>High</v>
      </c>
      <c r="K379" t="b">
        <v>0</v>
      </c>
      <c r="L379" t="b">
        <v>1</v>
      </c>
      <c r="M379" t="b">
        <v>0</v>
      </c>
    </row>
    <row r="380" spans="1:13" x14ac:dyDescent="0.3">
      <c r="A380">
        <v>43</v>
      </c>
      <c r="B380" t="s">
        <v>12</v>
      </c>
      <c r="C380" s="1">
        <v>2</v>
      </c>
      <c r="D380" t="s">
        <v>13</v>
      </c>
      <c r="E380" t="s">
        <v>26</v>
      </c>
      <c r="F380" t="s">
        <v>15</v>
      </c>
      <c r="G380" t="s">
        <v>23</v>
      </c>
      <c r="H380" t="s">
        <v>21</v>
      </c>
      <c r="I380" s="3">
        <v>10701</v>
      </c>
      <c r="J380" s="3" t="str">
        <f t="shared" si="5"/>
        <v>Low</v>
      </c>
      <c r="K380" t="b">
        <v>1</v>
      </c>
      <c r="L380" t="b">
        <v>1</v>
      </c>
      <c r="M380" t="b">
        <v>0</v>
      </c>
    </row>
    <row r="381" spans="1:13" x14ac:dyDescent="0.3">
      <c r="A381">
        <v>52</v>
      </c>
      <c r="B381" t="s">
        <v>12</v>
      </c>
      <c r="C381" s="1">
        <v>9</v>
      </c>
      <c r="D381" t="s">
        <v>19</v>
      </c>
      <c r="E381" t="s">
        <v>26</v>
      </c>
      <c r="F381" t="s">
        <v>27</v>
      </c>
      <c r="G381" t="s">
        <v>29</v>
      </c>
      <c r="H381" t="s">
        <v>24</v>
      </c>
      <c r="I381" s="3">
        <v>18113</v>
      </c>
      <c r="J381" s="3" t="str">
        <f t="shared" si="5"/>
        <v>High</v>
      </c>
      <c r="K381" t="b">
        <v>0</v>
      </c>
      <c r="L381" t="b">
        <v>1</v>
      </c>
      <c r="M381" t="b">
        <v>0</v>
      </c>
    </row>
    <row r="382" spans="1:13" x14ac:dyDescent="0.3">
      <c r="A382">
        <v>42</v>
      </c>
      <c r="B382" t="s">
        <v>12</v>
      </c>
      <c r="C382" s="1">
        <v>6</v>
      </c>
      <c r="D382" t="s">
        <v>28</v>
      </c>
      <c r="E382" t="s">
        <v>20</v>
      </c>
      <c r="F382" t="s">
        <v>22</v>
      </c>
      <c r="G382" t="s">
        <v>29</v>
      </c>
      <c r="H382" t="s">
        <v>17</v>
      </c>
      <c r="I382" s="3">
        <v>16825</v>
      </c>
      <c r="J382" s="3" t="str">
        <f t="shared" si="5"/>
        <v>High</v>
      </c>
      <c r="K382" t="b">
        <v>1</v>
      </c>
      <c r="L382" t="b">
        <v>1</v>
      </c>
      <c r="M382" t="b">
        <v>1</v>
      </c>
    </row>
    <row r="383" spans="1:13" x14ac:dyDescent="0.3">
      <c r="A383">
        <v>41</v>
      </c>
      <c r="B383" t="s">
        <v>25</v>
      </c>
      <c r="C383" s="1">
        <v>1</v>
      </c>
      <c r="D383" t="s">
        <v>19</v>
      </c>
      <c r="E383" t="s">
        <v>26</v>
      </c>
      <c r="F383" t="s">
        <v>27</v>
      </c>
      <c r="G383" t="s">
        <v>16</v>
      </c>
      <c r="H383" t="s">
        <v>17</v>
      </c>
      <c r="I383" s="3">
        <v>17867</v>
      </c>
      <c r="J383" s="3" t="str">
        <f t="shared" si="5"/>
        <v>High</v>
      </c>
      <c r="K383" t="b">
        <v>0</v>
      </c>
      <c r="L383" t="b">
        <v>0</v>
      </c>
      <c r="M383" t="b">
        <v>1</v>
      </c>
    </row>
    <row r="384" spans="1:13" x14ac:dyDescent="0.3">
      <c r="A384">
        <v>30</v>
      </c>
      <c r="B384" t="s">
        <v>18</v>
      </c>
      <c r="C384" s="1">
        <v>4</v>
      </c>
      <c r="D384" t="s">
        <v>13</v>
      </c>
      <c r="E384" t="s">
        <v>20</v>
      </c>
      <c r="F384" t="s">
        <v>27</v>
      </c>
      <c r="G384" t="s">
        <v>16</v>
      </c>
      <c r="H384" t="s">
        <v>24</v>
      </c>
      <c r="I384" s="3">
        <v>14264</v>
      </c>
      <c r="J384" s="3" t="str">
        <f t="shared" si="5"/>
        <v>Medium</v>
      </c>
      <c r="K384" t="b">
        <v>1</v>
      </c>
      <c r="L384" t="b">
        <v>0</v>
      </c>
      <c r="M384" t="b">
        <v>1</v>
      </c>
    </row>
    <row r="385" spans="1:13" x14ac:dyDescent="0.3">
      <c r="A385">
        <v>24</v>
      </c>
      <c r="B385" t="s">
        <v>12</v>
      </c>
      <c r="C385" s="1">
        <v>1</v>
      </c>
      <c r="D385" t="s">
        <v>28</v>
      </c>
      <c r="E385" t="s">
        <v>20</v>
      </c>
      <c r="F385" t="s">
        <v>27</v>
      </c>
      <c r="G385" t="s">
        <v>16</v>
      </c>
      <c r="H385" t="s">
        <v>24</v>
      </c>
      <c r="I385" s="3">
        <v>17968</v>
      </c>
      <c r="J385" s="3" t="str">
        <f t="shared" si="5"/>
        <v>High</v>
      </c>
      <c r="K385" t="b">
        <v>0</v>
      </c>
      <c r="L385" t="b">
        <v>0</v>
      </c>
      <c r="M385" t="b">
        <v>1</v>
      </c>
    </row>
    <row r="386" spans="1:13" x14ac:dyDescent="0.3">
      <c r="A386">
        <v>53</v>
      </c>
      <c r="B386" t="s">
        <v>12</v>
      </c>
      <c r="C386" s="1">
        <v>6</v>
      </c>
      <c r="D386" t="s">
        <v>19</v>
      </c>
      <c r="E386" t="s">
        <v>14</v>
      </c>
      <c r="F386" t="s">
        <v>22</v>
      </c>
      <c r="G386" t="s">
        <v>29</v>
      </c>
      <c r="H386" t="s">
        <v>21</v>
      </c>
      <c r="I386" s="3">
        <v>18146</v>
      </c>
      <c r="J386" s="3" t="str">
        <f t="shared" si="5"/>
        <v>High</v>
      </c>
      <c r="K386" t="b">
        <v>1</v>
      </c>
      <c r="L386" t="b">
        <v>0</v>
      </c>
      <c r="M386" t="b">
        <v>1</v>
      </c>
    </row>
    <row r="387" spans="1:13" x14ac:dyDescent="0.3">
      <c r="A387">
        <v>62</v>
      </c>
      <c r="B387" t="s">
        <v>18</v>
      </c>
      <c r="C387" s="1">
        <v>4</v>
      </c>
      <c r="D387" t="s">
        <v>13</v>
      </c>
      <c r="E387" t="s">
        <v>14</v>
      </c>
      <c r="F387" t="s">
        <v>15</v>
      </c>
      <c r="G387" t="s">
        <v>29</v>
      </c>
      <c r="H387" t="s">
        <v>17</v>
      </c>
      <c r="I387" s="3">
        <v>17776</v>
      </c>
      <c r="J387" s="3" t="str">
        <f t="shared" ref="J387:J450" si="6">IF(I387&gt;16000, "High", IF(I387&gt;=12000, IF(I387&lt;=15000, "Medium", "High"), "Low"))</f>
        <v>High</v>
      </c>
      <c r="K387" t="b">
        <v>1</v>
      </c>
      <c r="L387" t="b">
        <v>1</v>
      </c>
      <c r="M387" t="b">
        <v>1</v>
      </c>
    </row>
    <row r="388" spans="1:13" x14ac:dyDescent="0.3">
      <c r="A388">
        <v>37</v>
      </c>
      <c r="B388" t="s">
        <v>12</v>
      </c>
      <c r="C388" s="1">
        <v>3</v>
      </c>
      <c r="D388" t="s">
        <v>19</v>
      </c>
      <c r="E388" t="s">
        <v>14</v>
      </c>
      <c r="F388" t="s">
        <v>15</v>
      </c>
      <c r="G388" t="s">
        <v>29</v>
      </c>
      <c r="H388" t="s">
        <v>21</v>
      </c>
      <c r="I388" s="3">
        <v>18558</v>
      </c>
      <c r="J388" s="3" t="str">
        <f t="shared" si="6"/>
        <v>High</v>
      </c>
      <c r="K388" t="b">
        <v>1</v>
      </c>
      <c r="L388" t="b">
        <v>0</v>
      </c>
      <c r="M388" t="b">
        <v>1</v>
      </c>
    </row>
    <row r="389" spans="1:13" x14ac:dyDescent="0.3">
      <c r="A389">
        <v>18</v>
      </c>
      <c r="B389" t="s">
        <v>18</v>
      </c>
      <c r="C389" s="1">
        <v>3</v>
      </c>
      <c r="D389" t="s">
        <v>28</v>
      </c>
      <c r="E389" t="s">
        <v>20</v>
      </c>
      <c r="F389" t="s">
        <v>15</v>
      </c>
      <c r="G389" t="s">
        <v>16</v>
      </c>
      <c r="H389" t="s">
        <v>24</v>
      </c>
      <c r="I389" s="3">
        <v>18719</v>
      </c>
      <c r="J389" s="3" t="str">
        <f t="shared" si="6"/>
        <v>High</v>
      </c>
      <c r="K389" t="b">
        <v>1</v>
      </c>
      <c r="L389" t="b">
        <v>0</v>
      </c>
      <c r="M389" t="b">
        <v>1</v>
      </c>
    </row>
    <row r="390" spans="1:13" x14ac:dyDescent="0.3">
      <c r="A390">
        <v>25</v>
      </c>
      <c r="B390" t="s">
        <v>18</v>
      </c>
      <c r="C390" s="1">
        <v>9</v>
      </c>
      <c r="D390" t="s">
        <v>28</v>
      </c>
      <c r="E390" t="s">
        <v>26</v>
      </c>
      <c r="F390" t="s">
        <v>27</v>
      </c>
      <c r="G390" t="s">
        <v>23</v>
      </c>
      <c r="H390" t="s">
        <v>24</v>
      </c>
      <c r="I390" s="3">
        <v>14886</v>
      </c>
      <c r="J390" s="3" t="str">
        <f t="shared" si="6"/>
        <v>Medium</v>
      </c>
      <c r="K390" t="b">
        <v>0</v>
      </c>
      <c r="L390" t="b">
        <v>0</v>
      </c>
      <c r="M390" t="b">
        <v>0</v>
      </c>
    </row>
    <row r="391" spans="1:13" x14ac:dyDescent="0.3">
      <c r="A391">
        <v>63</v>
      </c>
      <c r="B391" t="s">
        <v>18</v>
      </c>
      <c r="C391" s="1">
        <v>6</v>
      </c>
      <c r="D391" t="s">
        <v>13</v>
      </c>
      <c r="E391" t="s">
        <v>14</v>
      </c>
      <c r="F391" t="s">
        <v>22</v>
      </c>
      <c r="G391" t="s">
        <v>29</v>
      </c>
      <c r="H391" t="s">
        <v>21</v>
      </c>
      <c r="I391" s="3">
        <v>13935</v>
      </c>
      <c r="J391" s="3" t="str">
        <f t="shared" si="6"/>
        <v>Medium</v>
      </c>
      <c r="K391" t="b">
        <v>1</v>
      </c>
      <c r="L391" t="b">
        <v>1</v>
      </c>
      <c r="M391" t="b">
        <v>0</v>
      </c>
    </row>
    <row r="392" spans="1:13" x14ac:dyDescent="0.3">
      <c r="A392">
        <v>33</v>
      </c>
      <c r="B392" t="s">
        <v>18</v>
      </c>
      <c r="C392" s="1">
        <v>9</v>
      </c>
      <c r="D392" t="s">
        <v>13</v>
      </c>
      <c r="E392" t="s">
        <v>26</v>
      </c>
      <c r="F392" t="s">
        <v>27</v>
      </c>
      <c r="G392" t="s">
        <v>29</v>
      </c>
      <c r="H392" t="s">
        <v>24</v>
      </c>
      <c r="I392" s="3">
        <v>14619</v>
      </c>
      <c r="J392" s="3" t="str">
        <f t="shared" si="6"/>
        <v>Medium</v>
      </c>
      <c r="K392" t="b">
        <v>0</v>
      </c>
      <c r="L392" t="b">
        <v>0</v>
      </c>
      <c r="M392" t="b">
        <v>0</v>
      </c>
    </row>
    <row r="393" spans="1:13" x14ac:dyDescent="0.3">
      <c r="A393">
        <v>31</v>
      </c>
      <c r="B393" t="s">
        <v>18</v>
      </c>
      <c r="C393" s="1">
        <v>5</v>
      </c>
      <c r="D393" t="s">
        <v>13</v>
      </c>
      <c r="E393" t="s">
        <v>14</v>
      </c>
      <c r="F393" t="s">
        <v>15</v>
      </c>
      <c r="G393" t="s">
        <v>29</v>
      </c>
      <c r="H393" t="s">
        <v>17</v>
      </c>
      <c r="I393" s="3">
        <v>15191</v>
      </c>
      <c r="J393" s="3" t="str">
        <f t="shared" si="6"/>
        <v>High</v>
      </c>
      <c r="K393" t="b">
        <v>1</v>
      </c>
      <c r="L393" t="b">
        <v>0</v>
      </c>
      <c r="M393" t="b">
        <v>0</v>
      </c>
    </row>
    <row r="394" spans="1:13" x14ac:dyDescent="0.3">
      <c r="A394">
        <v>29</v>
      </c>
      <c r="B394" t="s">
        <v>25</v>
      </c>
      <c r="C394" s="1">
        <v>2</v>
      </c>
      <c r="D394" t="s">
        <v>19</v>
      </c>
      <c r="E394" t="s">
        <v>14</v>
      </c>
      <c r="F394" t="s">
        <v>15</v>
      </c>
      <c r="G394" t="s">
        <v>23</v>
      </c>
      <c r="H394" t="s">
        <v>21</v>
      </c>
      <c r="I394" s="3">
        <v>16875</v>
      </c>
      <c r="J394" s="3" t="str">
        <f t="shared" si="6"/>
        <v>High</v>
      </c>
      <c r="K394" t="b">
        <v>0</v>
      </c>
      <c r="L394" t="b">
        <v>1</v>
      </c>
      <c r="M394" t="b">
        <v>0</v>
      </c>
    </row>
    <row r="395" spans="1:13" x14ac:dyDescent="0.3">
      <c r="A395">
        <v>40</v>
      </c>
      <c r="B395" t="s">
        <v>12</v>
      </c>
      <c r="C395" s="1">
        <v>8</v>
      </c>
      <c r="D395" t="s">
        <v>19</v>
      </c>
      <c r="E395" t="s">
        <v>20</v>
      </c>
      <c r="F395" t="s">
        <v>22</v>
      </c>
      <c r="G395" t="s">
        <v>29</v>
      </c>
      <c r="H395" t="s">
        <v>17</v>
      </c>
      <c r="I395" s="3">
        <v>17856</v>
      </c>
      <c r="J395" s="3" t="str">
        <f t="shared" si="6"/>
        <v>High</v>
      </c>
      <c r="K395" t="b">
        <v>1</v>
      </c>
      <c r="L395" t="b">
        <v>0</v>
      </c>
      <c r="M395" t="b">
        <v>0</v>
      </c>
    </row>
    <row r="396" spans="1:13" x14ac:dyDescent="0.3">
      <c r="A396">
        <v>32</v>
      </c>
      <c r="B396" t="s">
        <v>25</v>
      </c>
      <c r="C396" s="1">
        <v>5</v>
      </c>
      <c r="D396" t="s">
        <v>19</v>
      </c>
      <c r="E396" t="s">
        <v>14</v>
      </c>
      <c r="F396" t="s">
        <v>27</v>
      </c>
      <c r="G396" t="s">
        <v>23</v>
      </c>
      <c r="H396" t="s">
        <v>17</v>
      </c>
      <c r="I396" s="3">
        <v>15401</v>
      </c>
      <c r="J396" s="3" t="str">
        <f t="shared" si="6"/>
        <v>High</v>
      </c>
      <c r="K396" t="b">
        <v>1</v>
      </c>
      <c r="L396" t="b">
        <v>1</v>
      </c>
      <c r="M396" t="b">
        <v>0</v>
      </c>
    </row>
    <row r="397" spans="1:13" x14ac:dyDescent="0.3">
      <c r="A397">
        <v>45</v>
      </c>
      <c r="B397" t="s">
        <v>12</v>
      </c>
      <c r="C397" s="1">
        <v>2</v>
      </c>
      <c r="D397" t="s">
        <v>13</v>
      </c>
      <c r="E397" t="s">
        <v>14</v>
      </c>
      <c r="F397" t="s">
        <v>15</v>
      </c>
      <c r="G397" t="s">
        <v>29</v>
      </c>
      <c r="H397" t="s">
        <v>17</v>
      </c>
      <c r="I397" s="3">
        <v>13022</v>
      </c>
      <c r="J397" s="3" t="str">
        <f t="shared" si="6"/>
        <v>Medium</v>
      </c>
      <c r="K397" t="b">
        <v>0</v>
      </c>
      <c r="L397" t="b">
        <v>0</v>
      </c>
      <c r="M397" t="b">
        <v>1</v>
      </c>
    </row>
    <row r="398" spans="1:13" x14ac:dyDescent="0.3">
      <c r="A398">
        <v>51</v>
      </c>
      <c r="B398" t="s">
        <v>25</v>
      </c>
      <c r="C398" s="1">
        <v>4</v>
      </c>
      <c r="D398" t="s">
        <v>28</v>
      </c>
      <c r="E398" t="s">
        <v>20</v>
      </c>
      <c r="F398" t="s">
        <v>22</v>
      </c>
      <c r="G398" t="s">
        <v>23</v>
      </c>
      <c r="H398" t="s">
        <v>21</v>
      </c>
      <c r="I398" s="3">
        <v>15738</v>
      </c>
      <c r="J398" s="3" t="str">
        <f t="shared" si="6"/>
        <v>High</v>
      </c>
      <c r="K398" t="b">
        <v>1</v>
      </c>
      <c r="L398" t="b">
        <v>1</v>
      </c>
      <c r="M398" t="b">
        <v>1</v>
      </c>
    </row>
    <row r="399" spans="1:13" x14ac:dyDescent="0.3">
      <c r="A399">
        <v>19</v>
      </c>
      <c r="B399" t="s">
        <v>18</v>
      </c>
      <c r="C399" s="1">
        <v>9</v>
      </c>
      <c r="D399" t="s">
        <v>28</v>
      </c>
      <c r="E399" t="s">
        <v>26</v>
      </c>
      <c r="F399" t="s">
        <v>27</v>
      </c>
      <c r="G399" t="s">
        <v>29</v>
      </c>
      <c r="H399" t="s">
        <v>24</v>
      </c>
      <c r="I399" s="3">
        <v>15984</v>
      </c>
      <c r="J399" s="3" t="str">
        <f t="shared" si="6"/>
        <v>High</v>
      </c>
      <c r="K399" t="b">
        <v>1</v>
      </c>
      <c r="L399" t="b">
        <v>0</v>
      </c>
      <c r="M399" t="b">
        <v>0</v>
      </c>
    </row>
    <row r="400" spans="1:13" x14ac:dyDescent="0.3">
      <c r="A400">
        <v>49</v>
      </c>
      <c r="B400" t="s">
        <v>12</v>
      </c>
      <c r="C400" s="1">
        <v>4</v>
      </c>
      <c r="D400" t="s">
        <v>19</v>
      </c>
      <c r="E400" t="s">
        <v>14</v>
      </c>
      <c r="F400" t="s">
        <v>27</v>
      </c>
      <c r="G400" t="s">
        <v>16</v>
      </c>
      <c r="H400" t="s">
        <v>17</v>
      </c>
      <c r="I400" s="3">
        <v>11770</v>
      </c>
      <c r="J400" s="3" t="str">
        <f t="shared" si="6"/>
        <v>Low</v>
      </c>
      <c r="K400" t="b">
        <v>0</v>
      </c>
      <c r="L400" t="b">
        <v>0</v>
      </c>
      <c r="M400" t="b">
        <v>1</v>
      </c>
    </row>
    <row r="401" spans="1:13" x14ac:dyDescent="0.3">
      <c r="A401">
        <v>40</v>
      </c>
      <c r="B401" t="s">
        <v>12</v>
      </c>
      <c r="C401" s="1">
        <v>4</v>
      </c>
      <c r="D401" t="s">
        <v>19</v>
      </c>
      <c r="E401" t="s">
        <v>20</v>
      </c>
      <c r="F401" t="s">
        <v>15</v>
      </c>
      <c r="G401" t="s">
        <v>16</v>
      </c>
      <c r="H401" t="s">
        <v>17</v>
      </c>
      <c r="I401" s="3">
        <v>19969</v>
      </c>
      <c r="J401" s="3" t="str">
        <f t="shared" si="6"/>
        <v>High</v>
      </c>
      <c r="K401" t="b">
        <v>1</v>
      </c>
      <c r="L401" t="b">
        <v>0</v>
      </c>
      <c r="M401" t="b">
        <v>1</v>
      </c>
    </row>
    <row r="402" spans="1:13" x14ac:dyDescent="0.3">
      <c r="A402">
        <v>39</v>
      </c>
      <c r="B402" t="s">
        <v>25</v>
      </c>
      <c r="C402" s="1">
        <v>2</v>
      </c>
      <c r="D402" t="s">
        <v>28</v>
      </c>
      <c r="E402" t="s">
        <v>14</v>
      </c>
      <c r="F402" t="s">
        <v>15</v>
      </c>
      <c r="G402" t="s">
        <v>16</v>
      </c>
      <c r="H402" t="s">
        <v>17</v>
      </c>
      <c r="I402" s="3">
        <v>18989</v>
      </c>
      <c r="J402" s="3" t="str">
        <f t="shared" si="6"/>
        <v>High</v>
      </c>
      <c r="K402" t="b">
        <v>0</v>
      </c>
      <c r="L402" t="b">
        <v>1</v>
      </c>
      <c r="M402" t="b">
        <v>1</v>
      </c>
    </row>
    <row r="403" spans="1:13" x14ac:dyDescent="0.3">
      <c r="A403">
        <v>42</v>
      </c>
      <c r="B403" t="s">
        <v>25</v>
      </c>
      <c r="C403" s="1">
        <v>6</v>
      </c>
      <c r="D403" t="s">
        <v>28</v>
      </c>
      <c r="E403" t="s">
        <v>20</v>
      </c>
      <c r="F403" t="s">
        <v>27</v>
      </c>
      <c r="G403" t="s">
        <v>16</v>
      </c>
      <c r="H403" t="s">
        <v>24</v>
      </c>
      <c r="I403" s="3">
        <v>13215</v>
      </c>
      <c r="J403" s="3" t="str">
        <f t="shared" si="6"/>
        <v>Medium</v>
      </c>
      <c r="K403" t="b">
        <v>1</v>
      </c>
      <c r="L403" t="b">
        <v>0</v>
      </c>
      <c r="M403" t="b">
        <v>1</v>
      </c>
    </row>
    <row r="404" spans="1:13" x14ac:dyDescent="0.3">
      <c r="A404">
        <v>39</v>
      </c>
      <c r="B404" t="s">
        <v>12</v>
      </c>
      <c r="C404" s="1">
        <v>2</v>
      </c>
      <c r="D404" t="s">
        <v>19</v>
      </c>
      <c r="E404" t="s">
        <v>26</v>
      </c>
      <c r="F404" t="s">
        <v>27</v>
      </c>
      <c r="G404" t="s">
        <v>29</v>
      </c>
      <c r="H404" t="s">
        <v>24</v>
      </c>
      <c r="I404" s="3">
        <v>16694</v>
      </c>
      <c r="J404" s="3" t="str">
        <f t="shared" si="6"/>
        <v>High</v>
      </c>
      <c r="K404" t="b">
        <v>0</v>
      </c>
      <c r="L404" t="b">
        <v>1</v>
      </c>
      <c r="M404" t="b">
        <v>1</v>
      </c>
    </row>
    <row r="405" spans="1:13" x14ac:dyDescent="0.3">
      <c r="A405">
        <v>39</v>
      </c>
      <c r="B405" t="s">
        <v>25</v>
      </c>
      <c r="C405" s="1">
        <v>7</v>
      </c>
      <c r="D405" t="s">
        <v>19</v>
      </c>
      <c r="E405" t="s">
        <v>26</v>
      </c>
      <c r="F405" t="s">
        <v>15</v>
      </c>
      <c r="G405" t="s">
        <v>16</v>
      </c>
      <c r="H405" t="s">
        <v>21</v>
      </c>
      <c r="I405" s="3">
        <v>12976</v>
      </c>
      <c r="J405" s="3" t="str">
        <f t="shared" si="6"/>
        <v>Medium</v>
      </c>
      <c r="K405" t="b">
        <v>0</v>
      </c>
      <c r="L405" t="b">
        <v>1</v>
      </c>
      <c r="M405" t="b">
        <v>0</v>
      </c>
    </row>
    <row r="406" spans="1:13" x14ac:dyDescent="0.3">
      <c r="A406">
        <v>59</v>
      </c>
      <c r="B406" t="s">
        <v>25</v>
      </c>
      <c r="C406" s="1">
        <v>3</v>
      </c>
      <c r="D406" t="s">
        <v>28</v>
      </c>
      <c r="E406" t="s">
        <v>20</v>
      </c>
      <c r="F406" t="s">
        <v>27</v>
      </c>
      <c r="G406" t="s">
        <v>23</v>
      </c>
      <c r="H406" t="s">
        <v>24</v>
      </c>
      <c r="I406" s="3">
        <v>13737</v>
      </c>
      <c r="J406" s="3" t="str">
        <f t="shared" si="6"/>
        <v>Medium</v>
      </c>
      <c r="K406" t="b">
        <v>0</v>
      </c>
      <c r="L406" t="b">
        <v>1</v>
      </c>
      <c r="M406" t="b">
        <v>1</v>
      </c>
    </row>
    <row r="407" spans="1:13" x14ac:dyDescent="0.3">
      <c r="A407">
        <v>23</v>
      </c>
      <c r="B407" t="s">
        <v>25</v>
      </c>
      <c r="C407" s="1">
        <v>3</v>
      </c>
      <c r="D407" t="s">
        <v>13</v>
      </c>
      <c r="E407" t="s">
        <v>20</v>
      </c>
      <c r="F407" t="s">
        <v>15</v>
      </c>
      <c r="G407" t="s">
        <v>16</v>
      </c>
      <c r="H407" t="s">
        <v>21</v>
      </c>
      <c r="I407" s="3">
        <v>19903</v>
      </c>
      <c r="J407" s="3" t="str">
        <f t="shared" si="6"/>
        <v>High</v>
      </c>
      <c r="K407" t="b">
        <v>0</v>
      </c>
      <c r="L407" t="b">
        <v>1</v>
      </c>
      <c r="M407" t="b">
        <v>0</v>
      </c>
    </row>
    <row r="408" spans="1:13" x14ac:dyDescent="0.3">
      <c r="A408">
        <v>32</v>
      </c>
      <c r="B408" t="s">
        <v>18</v>
      </c>
      <c r="C408" s="1">
        <v>5</v>
      </c>
      <c r="D408" t="s">
        <v>19</v>
      </c>
      <c r="E408" t="s">
        <v>20</v>
      </c>
      <c r="F408" t="s">
        <v>27</v>
      </c>
      <c r="G408" t="s">
        <v>16</v>
      </c>
      <c r="H408" t="s">
        <v>21</v>
      </c>
      <c r="I408" s="3">
        <v>10752</v>
      </c>
      <c r="J408" s="3" t="str">
        <f t="shared" si="6"/>
        <v>Low</v>
      </c>
      <c r="K408" t="b">
        <v>1</v>
      </c>
      <c r="L408" t="b">
        <v>0</v>
      </c>
      <c r="M408" t="b">
        <v>0</v>
      </c>
    </row>
    <row r="409" spans="1:13" x14ac:dyDescent="0.3">
      <c r="A409">
        <v>60</v>
      </c>
      <c r="B409" t="s">
        <v>18</v>
      </c>
      <c r="C409" s="1">
        <v>3</v>
      </c>
      <c r="D409" t="s">
        <v>28</v>
      </c>
      <c r="E409" t="s">
        <v>26</v>
      </c>
      <c r="F409" t="s">
        <v>15</v>
      </c>
      <c r="G409" t="s">
        <v>16</v>
      </c>
      <c r="H409" t="s">
        <v>21</v>
      </c>
      <c r="I409" s="3">
        <v>11392</v>
      </c>
      <c r="J409" s="3" t="str">
        <f t="shared" si="6"/>
        <v>Low</v>
      </c>
      <c r="K409" t="b">
        <v>1</v>
      </c>
      <c r="L409" t="b">
        <v>0</v>
      </c>
      <c r="M409" t="b">
        <v>0</v>
      </c>
    </row>
    <row r="410" spans="1:13" x14ac:dyDescent="0.3">
      <c r="A410">
        <v>54</v>
      </c>
      <c r="B410" t="s">
        <v>25</v>
      </c>
      <c r="C410" s="1">
        <v>2</v>
      </c>
      <c r="D410" t="s">
        <v>28</v>
      </c>
      <c r="E410" t="s">
        <v>14</v>
      </c>
      <c r="F410" t="s">
        <v>22</v>
      </c>
      <c r="G410" t="s">
        <v>29</v>
      </c>
      <c r="H410" t="s">
        <v>21</v>
      </c>
      <c r="I410" s="3">
        <v>16789</v>
      </c>
      <c r="J410" s="3" t="str">
        <f t="shared" si="6"/>
        <v>High</v>
      </c>
      <c r="K410" t="b">
        <v>0</v>
      </c>
      <c r="L410" t="b">
        <v>0</v>
      </c>
      <c r="M410" t="b">
        <v>1</v>
      </c>
    </row>
    <row r="411" spans="1:13" x14ac:dyDescent="0.3">
      <c r="A411">
        <v>50</v>
      </c>
      <c r="B411" t="s">
        <v>25</v>
      </c>
      <c r="C411" s="1">
        <v>9</v>
      </c>
      <c r="D411" t="s">
        <v>28</v>
      </c>
      <c r="E411" t="s">
        <v>26</v>
      </c>
      <c r="F411" t="s">
        <v>15</v>
      </c>
      <c r="G411" t="s">
        <v>16</v>
      </c>
      <c r="H411" t="s">
        <v>21</v>
      </c>
      <c r="I411" s="3">
        <v>10677</v>
      </c>
      <c r="J411" s="3" t="str">
        <f t="shared" si="6"/>
        <v>Low</v>
      </c>
      <c r="K411" t="b">
        <v>1</v>
      </c>
      <c r="L411" t="b">
        <v>1</v>
      </c>
      <c r="M411" t="b">
        <v>0</v>
      </c>
    </row>
    <row r="412" spans="1:13" x14ac:dyDescent="0.3">
      <c r="A412">
        <v>25</v>
      </c>
      <c r="B412" t="s">
        <v>18</v>
      </c>
      <c r="C412" s="1">
        <v>2</v>
      </c>
      <c r="D412" t="s">
        <v>28</v>
      </c>
      <c r="E412" t="s">
        <v>20</v>
      </c>
      <c r="F412" t="s">
        <v>15</v>
      </c>
      <c r="G412" t="s">
        <v>23</v>
      </c>
      <c r="H412" t="s">
        <v>17</v>
      </c>
      <c r="I412" s="3">
        <v>10105</v>
      </c>
      <c r="J412" s="3" t="str">
        <f t="shared" si="6"/>
        <v>Low</v>
      </c>
      <c r="K412" t="b">
        <v>1</v>
      </c>
      <c r="L412" t="b">
        <v>0</v>
      </c>
      <c r="M412" t="b">
        <v>0</v>
      </c>
    </row>
    <row r="413" spans="1:13" x14ac:dyDescent="0.3">
      <c r="A413">
        <v>61</v>
      </c>
      <c r="B413" t="s">
        <v>18</v>
      </c>
      <c r="C413" s="1">
        <v>2</v>
      </c>
      <c r="D413" t="s">
        <v>13</v>
      </c>
      <c r="E413" t="s">
        <v>20</v>
      </c>
      <c r="F413" t="s">
        <v>22</v>
      </c>
      <c r="G413" t="s">
        <v>16</v>
      </c>
      <c r="H413" t="s">
        <v>24</v>
      </c>
      <c r="I413" s="3">
        <v>14753</v>
      </c>
      <c r="J413" s="3" t="str">
        <f t="shared" si="6"/>
        <v>Medium</v>
      </c>
      <c r="K413" t="b">
        <v>1</v>
      </c>
      <c r="L413" t="b">
        <v>1</v>
      </c>
      <c r="M413" t="b">
        <v>0</v>
      </c>
    </row>
    <row r="414" spans="1:13" x14ac:dyDescent="0.3">
      <c r="A414">
        <v>61</v>
      </c>
      <c r="B414" t="s">
        <v>12</v>
      </c>
      <c r="C414" s="1">
        <v>8</v>
      </c>
      <c r="D414" t="s">
        <v>28</v>
      </c>
      <c r="E414" t="s">
        <v>26</v>
      </c>
      <c r="F414" t="s">
        <v>27</v>
      </c>
      <c r="G414" t="s">
        <v>16</v>
      </c>
      <c r="H414" t="s">
        <v>17</v>
      </c>
      <c r="I414" s="3">
        <v>11946</v>
      </c>
      <c r="J414" s="3" t="str">
        <f t="shared" si="6"/>
        <v>Low</v>
      </c>
      <c r="K414" t="b">
        <v>0</v>
      </c>
      <c r="L414" t="b">
        <v>1</v>
      </c>
      <c r="M414" t="b">
        <v>0</v>
      </c>
    </row>
    <row r="415" spans="1:13" x14ac:dyDescent="0.3">
      <c r="A415">
        <v>22</v>
      </c>
      <c r="B415" t="s">
        <v>12</v>
      </c>
      <c r="C415" s="1">
        <v>9</v>
      </c>
      <c r="D415" t="s">
        <v>19</v>
      </c>
      <c r="E415" t="s">
        <v>20</v>
      </c>
      <c r="F415" t="s">
        <v>22</v>
      </c>
      <c r="G415" t="s">
        <v>16</v>
      </c>
      <c r="H415" t="s">
        <v>21</v>
      </c>
      <c r="I415" s="3">
        <v>15544</v>
      </c>
      <c r="J415" s="3" t="str">
        <f t="shared" si="6"/>
        <v>High</v>
      </c>
      <c r="K415" t="b">
        <v>1</v>
      </c>
      <c r="L415" t="b">
        <v>1</v>
      </c>
      <c r="M415" t="b">
        <v>1</v>
      </c>
    </row>
    <row r="416" spans="1:13" x14ac:dyDescent="0.3">
      <c r="A416">
        <v>56</v>
      </c>
      <c r="B416" t="s">
        <v>18</v>
      </c>
      <c r="C416" s="1">
        <v>7</v>
      </c>
      <c r="D416" t="s">
        <v>13</v>
      </c>
      <c r="E416" t="s">
        <v>26</v>
      </c>
      <c r="F416" t="s">
        <v>15</v>
      </c>
      <c r="G416" t="s">
        <v>23</v>
      </c>
      <c r="H416" t="s">
        <v>24</v>
      </c>
      <c r="I416" s="3">
        <v>11095</v>
      </c>
      <c r="J416" s="3" t="str">
        <f t="shared" si="6"/>
        <v>Low</v>
      </c>
      <c r="K416" t="b">
        <v>1</v>
      </c>
      <c r="L416" t="b">
        <v>0</v>
      </c>
      <c r="M416" t="b">
        <v>0</v>
      </c>
    </row>
    <row r="417" spans="1:13" x14ac:dyDescent="0.3">
      <c r="A417">
        <v>21</v>
      </c>
      <c r="B417" t="s">
        <v>25</v>
      </c>
      <c r="C417" s="1">
        <v>3</v>
      </c>
      <c r="D417" t="s">
        <v>28</v>
      </c>
      <c r="E417" t="s">
        <v>20</v>
      </c>
      <c r="F417" t="s">
        <v>27</v>
      </c>
      <c r="G417" t="s">
        <v>16</v>
      </c>
      <c r="H417" t="s">
        <v>17</v>
      </c>
      <c r="I417" s="3">
        <v>16985</v>
      </c>
      <c r="J417" s="3" t="str">
        <f t="shared" si="6"/>
        <v>High</v>
      </c>
      <c r="K417" t="b">
        <v>0</v>
      </c>
      <c r="L417" t="b">
        <v>0</v>
      </c>
      <c r="M417" t="b">
        <v>0</v>
      </c>
    </row>
    <row r="418" spans="1:13" x14ac:dyDescent="0.3">
      <c r="A418">
        <v>23</v>
      </c>
      <c r="B418" t="s">
        <v>25</v>
      </c>
      <c r="C418" s="1">
        <v>9</v>
      </c>
      <c r="D418" t="s">
        <v>13</v>
      </c>
      <c r="E418" t="s">
        <v>14</v>
      </c>
      <c r="F418" t="s">
        <v>22</v>
      </c>
      <c r="G418" t="s">
        <v>23</v>
      </c>
      <c r="H418" t="s">
        <v>17</v>
      </c>
      <c r="I418" s="3">
        <v>11782</v>
      </c>
      <c r="J418" s="3" t="str">
        <f t="shared" si="6"/>
        <v>Low</v>
      </c>
      <c r="K418" t="b">
        <v>1</v>
      </c>
      <c r="L418" t="b">
        <v>1</v>
      </c>
      <c r="M418" t="b">
        <v>0</v>
      </c>
    </row>
    <row r="419" spans="1:13" x14ac:dyDescent="0.3">
      <c r="A419">
        <v>62</v>
      </c>
      <c r="B419" t="s">
        <v>25</v>
      </c>
      <c r="C419" s="1">
        <v>3</v>
      </c>
      <c r="D419" t="s">
        <v>19</v>
      </c>
      <c r="E419" t="s">
        <v>14</v>
      </c>
      <c r="F419" t="s">
        <v>27</v>
      </c>
      <c r="G419" t="s">
        <v>23</v>
      </c>
      <c r="H419" t="s">
        <v>21</v>
      </c>
      <c r="I419" s="3">
        <v>14541</v>
      </c>
      <c r="J419" s="3" t="str">
        <f t="shared" si="6"/>
        <v>Medium</v>
      </c>
      <c r="K419" t="b">
        <v>0</v>
      </c>
      <c r="L419" t="b">
        <v>0</v>
      </c>
      <c r="M419" t="b">
        <v>0</v>
      </c>
    </row>
    <row r="420" spans="1:13" x14ac:dyDescent="0.3">
      <c r="A420">
        <v>49</v>
      </c>
      <c r="B420" t="s">
        <v>25</v>
      </c>
      <c r="C420" s="1">
        <v>5</v>
      </c>
      <c r="D420" t="s">
        <v>28</v>
      </c>
      <c r="E420" t="s">
        <v>20</v>
      </c>
      <c r="F420" t="s">
        <v>27</v>
      </c>
      <c r="G420" t="s">
        <v>16</v>
      </c>
      <c r="H420" t="s">
        <v>17</v>
      </c>
      <c r="I420" s="3">
        <v>13257</v>
      </c>
      <c r="J420" s="3" t="str">
        <f t="shared" si="6"/>
        <v>Medium</v>
      </c>
      <c r="K420" t="b">
        <v>0</v>
      </c>
      <c r="L420" t="b">
        <v>0</v>
      </c>
      <c r="M420" t="b">
        <v>1</v>
      </c>
    </row>
    <row r="421" spans="1:13" x14ac:dyDescent="0.3">
      <c r="A421">
        <v>47</v>
      </c>
      <c r="B421" t="s">
        <v>12</v>
      </c>
      <c r="C421" s="1">
        <v>9</v>
      </c>
      <c r="D421" t="s">
        <v>19</v>
      </c>
      <c r="E421" t="s">
        <v>26</v>
      </c>
      <c r="F421" t="s">
        <v>22</v>
      </c>
      <c r="G421" t="s">
        <v>23</v>
      </c>
      <c r="H421" t="s">
        <v>17</v>
      </c>
      <c r="I421" s="3">
        <v>16213</v>
      </c>
      <c r="J421" s="3" t="str">
        <f t="shared" si="6"/>
        <v>High</v>
      </c>
      <c r="K421" t="b">
        <v>0</v>
      </c>
      <c r="L421" t="b">
        <v>1</v>
      </c>
      <c r="M421" t="b">
        <v>0</v>
      </c>
    </row>
    <row r="422" spans="1:13" x14ac:dyDescent="0.3">
      <c r="A422">
        <v>64</v>
      </c>
      <c r="B422" t="s">
        <v>18</v>
      </c>
      <c r="C422" s="1">
        <v>3</v>
      </c>
      <c r="D422" t="s">
        <v>28</v>
      </c>
      <c r="E422" t="s">
        <v>14</v>
      </c>
      <c r="F422" t="s">
        <v>27</v>
      </c>
      <c r="G422" t="s">
        <v>29</v>
      </c>
      <c r="H422" t="s">
        <v>17</v>
      </c>
      <c r="I422" s="3">
        <v>14869</v>
      </c>
      <c r="J422" s="3" t="str">
        <f t="shared" si="6"/>
        <v>Medium</v>
      </c>
      <c r="K422" t="b">
        <v>1</v>
      </c>
      <c r="L422" t="b">
        <v>1</v>
      </c>
      <c r="M422" t="b">
        <v>0</v>
      </c>
    </row>
    <row r="423" spans="1:13" x14ac:dyDescent="0.3">
      <c r="A423">
        <v>52</v>
      </c>
      <c r="B423" t="s">
        <v>25</v>
      </c>
      <c r="C423" s="1">
        <v>7</v>
      </c>
      <c r="D423" t="s">
        <v>28</v>
      </c>
      <c r="E423" t="s">
        <v>26</v>
      </c>
      <c r="F423" t="s">
        <v>22</v>
      </c>
      <c r="G423" t="s">
        <v>16</v>
      </c>
      <c r="H423" t="s">
        <v>17</v>
      </c>
      <c r="I423" s="3">
        <v>11561</v>
      </c>
      <c r="J423" s="3" t="str">
        <f t="shared" si="6"/>
        <v>Low</v>
      </c>
      <c r="K423" t="b">
        <v>1</v>
      </c>
      <c r="L423" t="b">
        <v>0</v>
      </c>
      <c r="M423" t="b">
        <v>0</v>
      </c>
    </row>
    <row r="424" spans="1:13" x14ac:dyDescent="0.3">
      <c r="A424">
        <v>57</v>
      </c>
      <c r="B424" t="s">
        <v>12</v>
      </c>
      <c r="C424" s="1">
        <v>1</v>
      </c>
      <c r="D424" t="s">
        <v>28</v>
      </c>
      <c r="E424" t="s">
        <v>20</v>
      </c>
      <c r="F424" t="s">
        <v>15</v>
      </c>
      <c r="G424" t="s">
        <v>16</v>
      </c>
      <c r="H424" t="s">
        <v>17</v>
      </c>
      <c r="I424" s="3">
        <v>14006</v>
      </c>
      <c r="J424" s="3" t="str">
        <f t="shared" si="6"/>
        <v>Medium</v>
      </c>
      <c r="K424" t="b">
        <v>0</v>
      </c>
      <c r="L424" t="b">
        <v>1</v>
      </c>
      <c r="M424" t="b">
        <v>0</v>
      </c>
    </row>
    <row r="425" spans="1:13" x14ac:dyDescent="0.3">
      <c r="A425">
        <v>33</v>
      </c>
      <c r="B425" t="s">
        <v>25</v>
      </c>
      <c r="C425" s="1">
        <v>4</v>
      </c>
      <c r="D425" t="s">
        <v>28</v>
      </c>
      <c r="E425" t="s">
        <v>26</v>
      </c>
      <c r="F425" t="s">
        <v>27</v>
      </c>
      <c r="G425" t="s">
        <v>23</v>
      </c>
      <c r="H425" t="s">
        <v>21</v>
      </c>
      <c r="I425" s="3">
        <v>19867</v>
      </c>
      <c r="J425" s="3" t="str">
        <f t="shared" si="6"/>
        <v>High</v>
      </c>
      <c r="K425" t="b">
        <v>0</v>
      </c>
      <c r="L425" t="b">
        <v>1</v>
      </c>
      <c r="M425" t="b">
        <v>0</v>
      </c>
    </row>
    <row r="426" spans="1:13" x14ac:dyDescent="0.3">
      <c r="A426">
        <v>30</v>
      </c>
      <c r="B426" t="s">
        <v>18</v>
      </c>
      <c r="C426" s="1">
        <v>4</v>
      </c>
      <c r="D426" t="s">
        <v>28</v>
      </c>
      <c r="E426" t="s">
        <v>14</v>
      </c>
      <c r="F426" t="s">
        <v>15</v>
      </c>
      <c r="G426" t="s">
        <v>23</v>
      </c>
      <c r="H426" t="s">
        <v>21</v>
      </c>
      <c r="I426" s="3">
        <v>19314</v>
      </c>
      <c r="J426" s="3" t="str">
        <f t="shared" si="6"/>
        <v>High</v>
      </c>
      <c r="K426" t="b">
        <v>0</v>
      </c>
      <c r="L426" t="b">
        <v>0</v>
      </c>
      <c r="M426" t="b">
        <v>0</v>
      </c>
    </row>
    <row r="427" spans="1:13" x14ac:dyDescent="0.3">
      <c r="A427">
        <v>59</v>
      </c>
      <c r="B427" t="s">
        <v>12</v>
      </c>
      <c r="C427" s="1">
        <v>7</v>
      </c>
      <c r="D427" t="s">
        <v>13</v>
      </c>
      <c r="E427" t="s">
        <v>26</v>
      </c>
      <c r="F427" t="s">
        <v>15</v>
      </c>
      <c r="G427" t="s">
        <v>16</v>
      </c>
      <c r="H427" t="s">
        <v>17</v>
      </c>
      <c r="I427" s="3">
        <v>13981</v>
      </c>
      <c r="J427" s="3" t="str">
        <f t="shared" si="6"/>
        <v>Medium</v>
      </c>
      <c r="K427" t="b">
        <v>0</v>
      </c>
      <c r="L427" t="b">
        <v>0</v>
      </c>
      <c r="M427" t="b">
        <v>1</v>
      </c>
    </row>
    <row r="428" spans="1:13" x14ac:dyDescent="0.3">
      <c r="A428">
        <v>47</v>
      </c>
      <c r="B428" t="s">
        <v>18</v>
      </c>
      <c r="C428" s="1">
        <v>8</v>
      </c>
      <c r="D428" t="s">
        <v>28</v>
      </c>
      <c r="E428" t="s">
        <v>26</v>
      </c>
      <c r="F428" t="s">
        <v>27</v>
      </c>
      <c r="G428" t="s">
        <v>29</v>
      </c>
      <c r="H428" t="s">
        <v>21</v>
      </c>
      <c r="I428" s="3">
        <v>19493</v>
      </c>
      <c r="J428" s="3" t="str">
        <f t="shared" si="6"/>
        <v>High</v>
      </c>
      <c r="K428" t="b">
        <v>0</v>
      </c>
      <c r="L428" t="b">
        <v>1</v>
      </c>
      <c r="M428" t="b">
        <v>0</v>
      </c>
    </row>
    <row r="429" spans="1:13" x14ac:dyDescent="0.3">
      <c r="A429">
        <v>36</v>
      </c>
      <c r="B429" t="s">
        <v>18</v>
      </c>
      <c r="C429" s="1">
        <v>1</v>
      </c>
      <c r="D429" t="s">
        <v>28</v>
      </c>
      <c r="E429" t="s">
        <v>20</v>
      </c>
      <c r="F429" t="s">
        <v>22</v>
      </c>
      <c r="G429" t="s">
        <v>23</v>
      </c>
      <c r="H429" t="s">
        <v>21</v>
      </c>
      <c r="I429" s="3">
        <v>15682</v>
      </c>
      <c r="J429" s="3" t="str">
        <f t="shared" si="6"/>
        <v>High</v>
      </c>
      <c r="K429" t="b">
        <v>0</v>
      </c>
      <c r="L429" t="b">
        <v>0</v>
      </c>
      <c r="M429" t="b">
        <v>1</v>
      </c>
    </row>
    <row r="430" spans="1:13" x14ac:dyDescent="0.3">
      <c r="A430">
        <v>34</v>
      </c>
      <c r="B430" t="s">
        <v>12</v>
      </c>
      <c r="C430" s="1">
        <v>5</v>
      </c>
      <c r="D430" t="s">
        <v>13</v>
      </c>
      <c r="E430" t="s">
        <v>20</v>
      </c>
      <c r="F430" t="s">
        <v>27</v>
      </c>
      <c r="G430" t="s">
        <v>23</v>
      </c>
      <c r="H430" t="s">
        <v>24</v>
      </c>
      <c r="I430" s="3">
        <v>15782</v>
      </c>
      <c r="J430" s="3" t="str">
        <f t="shared" si="6"/>
        <v>High</v>
      </c>
      <c r="K430" t="b">
        <v>1</v>
      </c>
      <c r="L430" t="b">
        <v>1</v>
      </c>
      <c r="M430" t="b">
        <v>1</v>
      </c>
    </row>
    <row r="431" spans="1:13" x14ac:dyDescent="0.3">
      <c r="A431">
        <v>36</v>
      </c>
      <c r="B431" t="s">
        <v>12</v>
      </c>
      <c r="C431" s="1">
        <v>7</v>
      </c>
      <c r="D431" t="s">
        <v>13</v>
      </c>
      <c r="E431" t="s">
        <v>20</v>
      </c>
      <c r="F431" t="s">
        <v>15</v>
      </c>
      <c r="G431" t="s">
        <v>29</v>
      </c>
      <c r="H431" t="s">
        <v>17</v>
      </c>
      <c r="I431" s="3">
        <v>10943</v>
      </c>
      <c r="J431" s="3" t="str">
        <f t="shared" si="6"/>
        <v>Low</v>
      </c>
      <c r="K431" t="b">
        <v>0</v>
      </c>
      <c r="L431" t="b">
        <v>1</v>
      </c>
      <c r="M431" t="b">
        <v>0</v>
      </c>
    </row>
    <row r="432" spans="1:13" x14ac:dyDescent="0.3">
      <c r="A432">
        <v>45</v>
      </c>
      <c r="B432" t="s">
        <v>12</v>
      </c>
      <c r="C432" s="1">
        <v>4</v>
      </c>
      <c r="D432" t="s">
        <v>13</v>
      </c>
      <c r="E432" t="s">
        <v>14</v>
      </c>
      <c r="F432" t="s">
        <v>15</v>
      </c>
      <c r="G432" t="s">
        <v>29</v>
      </c>
      <c r="H432" t="s">
        <v>21</v>
      </c>
      <c r="I432" s="3">
        <v>14550</v>
      </c>
      <c r="J432" s="3" t="str">
        <f t="shared" si="6"/>
        <v>Medium</v>
      </c>
      <c r="K432" t="b">
        <v>0</v>
      </c>
      <c r="L432" t="b">
        <v>0</v>
      </c>
      <c r="M432" t="b">
        <v>1</v>
      </c>
    </row>
    <row r="433" spans="1:13" x14ac:dyDescent="0.3">
      <c r="A433">
        <v>43</v>
      </c>
      <c r="B433" t="s">
        <v>12</v>
      </c>
      <c r="C433" s="1">
        <v>4</v>
      </c>
      <c r="D433" t="s">
        <v>13</v>
      </c>
      <c r="E433" t="s">
        <v>14</v>
      </c>
      <c r="F433" t="s">
        <v>22</v>
      </c>
      <c r="G433" t="s">
        <v>16</v>
      </c>
      <c r="H433" t="s">
        <v>21</v>
      </c>
      <c r="I433" s="3">
        <v>19137</v>
      </c>
      <c r="J433" s="3" t="str">
        <f t="shared" si="6"/>
        <v>High</v>
      </c>
      <c r="K433" t="b">
        <v>0</v>
      </c>
      <c r="L433" t="b">
        <v>1</v>
      </c>
      <c r="M433" t="b">
        <v>0</v>
      </c>
    </row>
    <row r="434" spans="1:13" x14ac:dyDescent="0.3">
      <c r="A434">
        <v>54</v>
      </c>
      <c r="B434" t="s">
        <v>12</v>
      </c>
      <c r="C434" s="1">
        <v>4</v>
      </c>
      <c r="D434" t="s">
        <v>13</v>
      </c>
      <c r="E434" t="s">
        <v>20</v>
      </c>
      <c r="F434" t="s">
        <v>27</v>
      </c>
      <c r="G434" t="s">
        <v>29</v>
      </c>
      <c r="H434" t="s">
        <v>17</v>
      </c>
      <c r="I434" s="3">
        <v>10600</v>
      </c>
      <c r="J434" s="3" t="str">
        <f t="shared" si="6"/>
        <v>Low</v>
      </c>
      <c r="K434" t="b">
        <v>1</v>
      </c>
      <c r="L434" t="b">
        <v>1</v>
      </c>
      <c r="M434" t="b">
        <v>1</v>
      </c>
    </row>
    <row r="435" spans="1:13" x14ac:dyDescent="0.3">
      <c r="A435">
        <v>43</v>
      </c>
      <c r="B435" t="s">
        <v>12</v>
      </c>
      <c r="C435" s="1">
        <v>6</v>
      </c>
      <c r="D435" t="s">
        <v>13</v>
      </c>
      <c r="E435" t="s">
        <v>20</v>
      </c>
      <c r="F435" t="s">
        <v>15</v>
      </c>
      <c r="G435" t="s">
        <v>16</v>
      </c>
      <c r="H435" t="s">
        <v>24</v>
      </c>
      <c r="I435" s="3">
        <v>16376</v>
      </c>
      <c r="J435" s="3" t="str">
        <f t="shared" si="6"/>
        <v>High</v>
      </c>
      <c r="K435" t="b">
        <v>1</v>
      </c>
      <c r="L435" t="b">
        <v>1</v>
      </c>
      <c r="M435" t="b">
        <v>0</v>
      </c>
    </row>
    <row r="436" spans="1:13" x14ac:dyDescent="0.3">
      <c r="A436">
        <v>40</v>
      </c>
      <c r="B436" t="s">
        <v>12</v>
      </c>
      <c r="C436" s="1">
        <v>7</v>
      </c>
      <c r="D436" t="s">
        <v>28</v>
      </c>
      <c r="E436" t="s">
        <v>14</v>
      </c>
      <c r="F436" t="s">
        <v>15</v>
      </c>
      <c r="G436" t="s">
        <v>29</v>
      </c>
      <c r="H436" t="s">
        <v>17</v>
      </c>
      <c r="I436" s="3">
        <v>19609</v>
      </c>
      <c r="J436" s="3" t="str">
        <f t="shared" si="6"/>
        <v>High</v>
      </c>
      <c r="K436" t="b">
        <v>1</v>
      </c>
      <c r="L436" t="b">
        <v>0</v>
      </c>
      <c r="M436" t="b">
        <v>1</v>
      </c>
    </row>
    <row r="437" spans="1:13" x14ac:dyDescent="0.3">
      <c r="A437">
        <v>26</v>
      </c>
      <c r="B437" t="s">
        <v>25</v>
      </c>
      <c r="C437" s="1">
        <v>2</v>
      </c>
      <c r="D437" t="s">
        <v>28</v>
      </c>
      <c r="E437" t="s">
        <v>14</v>
      </c>
      <c r="F437" t="s">
        <v>15</v>
      </c>
      <c r="G437" t="s">
        <v>23</v>
      </c>
      <c r="H437" t="s">
        <v>24</v>
      </c>
      <c r="I437" s="3">
        <v>11524</v>
      </c>
      <c r="J437" s="3" t="str">
        <f t="shared" si="6"/>
        <v>Low</v>
      </c>
      <c r="K437" t="b">
        <v>1</v>
      </c>
      <c r="L437" t="b">
        <v>0</v>
      </c>
      <c r="M437" t="b">
        <v>1</v>
      </c>
    </row>
    <row r="438" spans="1:13" x14ac:dyDescent="0.3">
      <c r="A438">
        <v>29</v>
      </c>
      <c r="B438" t="s">
        <v>18</v>
      </c>
      <c r="C438" s="1">
        <v>5</v>
      </c>
      <c r="D438" t="s">
        <v>19</v>
      </c>
      <c r="E438" t="s">
        <v>14</v>
      </c>
      <c r="F438" t="s">
        <v>22</v>
      </c>
      <c r="G438" t="s">
        <v>16</v>
      </c>
      <c r="H438" t="s">
        <v>17</v>
      </c>
      <c r="I438" s="3">
        <v>13766</v>
      </c>
      <c r="J438" s="3" t="str">
        <f t="shared" si="6"/>
        <v>Medium</v>
      </c>
      <c r="K438" t="b">
        <v>0</v>
      </c>
      <c r="L438" t="b">
        <v>0</v>
      </c>
      <c r="M438" t="b">
        <v>0</v>
      </c>
    </row>
    <row r="439" spans="1:13" x14ac:dyDescent="0.3">
      <c r="A439">
        <v>18</v>
      </c>
      <c r="B439" t="s">
        <v>12</v>
      </c>
      <c r="C439" s="1">
        <v>4</v>
      </c>
      <c r="D439" t="s">
        <v>28</v>
      </c>
      <c r="E439" t="s">
        <v>14</v>
      </c>
      <c r="F439" t="s">
        <v>15</v>
      </c>
      <c r="G439" t="s">
        <v>16</v>
      </c>
      <c r="H439" t="s">
        <v>17</v>
      </c>
      <c r="I439" s="3">
        <v>10250</v>
      </c>
      <c r="J439" s="3" t="str">
        <f t="shared" si="6"/>
        <v>Low</v>
      </c>
      <c r="K439" t="b">
        <v>1</v>
      </c>
      <c r="L439" t="b">
        <v>1</v>
      </c>
      <c r="M439" t="b">
        <v>1</v>
      </c>
    </row>
    <row r="440" spans="1:13" x14ac:dyDescent="0.3">
      <c r="A440">
        <v>18</v>
      </c>
      <c r="B440" t="s">
        <v>25</v>
      </c>
      <c r="C440" s="1">
        <v>3</v>
      </c>
      <c r="D440" t="s">
        <v>28</v>
      </c>
      <c r="E440" t="s">
        <v>20</v>
      </c>
      <c r="F440" t="s">
        <v>15</v>
      </c>
      <c r="G440" t="s">
        <v>16</v>
      </c>
      <c r="H440" t="s">
        <v>17</v>
      </c>
      <c r="I440" s="3">
        <v>19736</v>
      </c>
      <c r="J440" s="3" t="str">
        <f t="shared" si="6"/>
        <v>High</v>
      </c>
      <c r="K440" t="b">
        <v>0</v>
      </c>
      <c r="L440" t="b">
        <v>1</v>
      </c>
      <c r="M440" t="b">
        <v>1</v>
      </c>
    </row>
    <row r="441" spans="1:13" x14ac:dyDescent="0.3">
      <c r="A441">
        <v>64</v>
      </c>
      <c r="B441" t="s">
        <v>25</v>
      </c>
      <c r="C441" s="1">
        <v>7</v>
      </c>
      <c r="D441" t="s">
        <v>13</v>
      </c>
      <c r="E441" t="s">
        <v>14</v>
      </c>
      <c r="F441" t="s">
        <v>27</v>
      </c>
      <c r="G441" t="s">
        <v>29</v>
      </c>
      <c r="H441" t="s">
        <v>17</v>
      </c>
      <c r="I441" s="3">
        <v>10078</v>
      </c>
      <c r="J441" s="3" t="str">
        <f t="shared" si="6"/>
        <v>Low</v>
      </c>
      <c r="K441" t="b">
        <v>0</v>
      </c>
      <c r="L441" t="b">
        <v>0</v>
      </c>
      <c r="M441" t="b">
        <v>1</v>
      </c>
    </row>
    <row r="442" spans="1:13" x14ac:dyDescent="0.3">
      <c r="A442">
        <v>51</v>
      </c>
      <c r="B442" t="s">
        <v>25</v>
      </c>
      <c r="C442" s="1">
        <v>6</v>
      </c>
      <c r="D442" t="s">
        <v>13</v>
      </c>
      <c r="E442" t="s">
        <v>20</v>
      </c>
      <c r="F442" t="s">
        <v>27</v>
      </c>
      <c r="G442" t="s">
        <v>23</v>
      </c>
      <c r="H442" t="s">
        <v>24</v>
      </c>
      <c r="I442" s="3">
        <v>13123</v>
      </c>
      <c r="J442" s="3" t="str">
        <f t="shared" si="6"/>
        <v>Medium</v>
      </c>
      <c r="K442" t="b">
        <v>0</v>
      </c>
      <c r="L442" t="b">
        <v>0</v>
      </c>
      <c r="M442" t="b">
        <v>1</v>
      </c>
    </row>
    <row r="443" spans="1:13" x14ac:dyDescent="0.3">
      <c r="A443">
        <v>49</v>
      </c>
      <c r="B443" t="s">
        <v>18</v>
      </c>
      <c r="C443" s="1">
        <v>7</v>
      </c>
      <c r="D443" t="s">
        <v>28</v>
      </c>
      <c r="E443" t="s">
        <v>26</v>
      </c>
      <c r="F443" t="s">
        <v>15</v>
      </c>
      <c r="G443" t="s">
        <v>16</v>
      </c>
      <c r="H443" t="s">
        <v>24</v>
      </c>
      <c r="I443" s="3">
        <v>19089</v>
      </c>
      <c r="J443" s="3" t="str">
        <f t="shared" si="6"/>
        <v>High</v>
      </c>
      <c r="K443" t="b">
        <v>0</v>
      </c>
      <c r="L443" t="b">
        <v>0</v>
      </c>
      <c r="M443" t="b">
        <v>1</v>
      </c>
    </row>
    <row r="444" spans="1:13" x14ac:dyDescent="0.3">
      <c r="A444">
        <v>42</v>
      </c>
      <c r="B444" t="s">
        <v>12</v>
      </c>
      <c r="C444" s="1">
        <v>5</v>
      </c>
      <c r="D444" t="s">
        <v>19</v>
      </c>
      <c r="E444" t="s">
        <v>26</v>
      </c>
      <c r="F444" t="s">
        <v>15</v>
      </c>
      <c r="G444" t="s">
        <v>16</v>
      </c>
      <c r="H444" t="s">
        <v>21</v>
      </c>
      <c r="I444" s="3">
        <v>17064</v>
      </c>
      <c r="J444" s="3" t="str">
        <f t="shared" si="6"/>
        <v>High</v>
      </c>
      <c r="K444" t="b">
        <v>0</v>
      </c>
      <c r="L444" t="b">
        <v>1</v>
      </c>
      <c r="M444" t="b">
        <v>0</v>
      </c>
    </row>
    <row r="445" spans="1:13" x14ac:dyDescent="0.3">
      <c r="A445">
        <v>57</v>
      </c>
      <c r="B445" t="s">
        <v>25</v>
      </c>
      <c r="C445" s="1">
        <v>6</v>
      </c>
      <c r="D445" t="s">
        <v>13</v>
      </c>
      <c r="E445" t="s">
        <v>14</v>
      </c>
      <c r="F445" t="s">
        <v>27</v>
      </c>
      <c r="G445" t="s">
        <v>16</v>
      </c>
      <c r="H445" t="s">
        <v>17</v>
      </c>
      <c r="I445" s="3">
        <v>18417</v>
      </c>
      <c r="J445" s="3" t="str">
        <f t="shared" si="6"/>
        <v>High</v>
      </c>
      <c r="K445" t="b">
        <v>0</v>
      </c>
      <c r="L445" t="b">
        <v>0</v>
      </c>
      <c r="M445" t="b">
        <v>1</v>
      </c>
    </row>
    <row r="446" spans="1:13" x14ac:dyDescent="0.3">
      <c r="A446">
        <v>62</v>
      </c>
      <c r="B446" t="s">
        <v>18</v>
      </c>
      <c r="C446" s="1">
        <v>5</v>
      </c>
      <c r="D446" t="s">
        <v>28</v>
      </c>
      <c r="E446" t="s">
        <v>26</v>
      </c>
      <c r="F446" t="s">
        <v>22</v>
      </c>
      <c r="G446" t="s">
        <v>16</v>
      </c>
      <c r="H446" t="s">
        <v>24</v>
      </c>
      <c r="I446" s="3">
        <v>11209</v>
      </c>
      <c r="J446" s="3" t="str">
        <f t="shared" si="6"/>
        <v>Low</v>
      </c>
      <c r="K446" t="b">
        <v>1</v>
      </c>
      <c r="L446" t="b">
        <v>1</v>
      </c>
      <c r="M446" t="b">
        <v>1</v>
      </c>
    </row>
    <row r="447" spans="1:13" x14ac:dyDescent="0.3">
      <c r="A447">
        <v>18</v>
      </c>
      <c r="B447" t="s">
        <v>18</v>
      </c>
      <c r="C447" s="1">
        <v>7</v>
      </c>
      <c r="D447" t="s">
        <v>28</v>
      </c>
      <c r="E447" t="s">
        <v>26</v>
      </c>
      <c r="F447" t="s">
        <v>22</v>
      </c>
      <c r="G447" t="s">
        <v>23</v>
      </c>
      <c r="H447" t="s">
        <v>24</v>
      </c>
      <c r="I447" s="3">
        <v>15153</v>
      </c>
      <c r="J447" s="3" t="str">
        <f t="shared" si="6"/>
        <v>High</v>
      </c>
      <c r="K447" t="b">
        <v>1</v>
      </c>
      <c r="L447" t="b">
        <v>0</v>
      </c>
      <c r="M447" t="b">
        <v>0</v>
      </c>
    </row>
    <row r="448" spans="1:13" x14ac:dyDescent="0.3">
      <c r="A448">
        <v>33</v>
      </c>
      <c r="B448" t="s">
        <v>18</v>
      </c>
      <c r="C448" s="1">
        <v>2</v>
      </c>
      <c r="D448" t="s">
        <v>19</v>
      </c>
      <c r="E448" t="s">
        <v>26</v>
      </c>
      <c r="F448" t="s">
        <v>22</v>
      </c>
      <c r="G448" t="s">
        <v>29</v>
      </c>
      <c r="H448" t="s">
        <v>24</v>
      </c>
      <c r="I448" s="3">
        <v>14898</v>
      </c>
      <c r="J448" s="3" t="str">
        <f t="shared" si="6"/>
        <v>Medium</v>
      </c>
      <c r="K448" t="b">
        <v>1</v>
      </c>
      <c r="L448" t="b">
        <v>1</v>
      </c>
      <c r="M448" t="b">
        <v>0</v>
      </c>
    </row>
    <row r="449" spans="1:13" x14ac:dyDescent="0.3">
      <c r="A449">
        <v>56</v>
      </c>
      <c r="B449" t="s">
        <v>25</v>
      </c>
      <c r="C449" s="1">
        <v>5</v>
      </c>
      <c r="D449" t="s">
        <v>19</v>
      </c>
      <c r="E449" t="s">
        <v>14</v>
      </c>
      <c r="F449" t="s">
        <v>22</v>
      </c>
      <c r="G449" t="s">
        <v>23</v>
      </c>
      <c r="H449" t="s">
        <v>17</v>
      </c>
      <c r="I449" s="3">
        <v>12178</v>
      </c>
      <c r="J449" s="3" t="str">
        <f t="shared" si="6"/>
        <v>Medium</v>
      </c>
      <c r="K449" t="b">
        <v>1</v>
      </c>
      <c r="L449" t="b">
        <v>1</v>
      </c>
      <c r="M449" t="b">
        <v>0</v>
      </c>
    </row>
    <row r="450" spans="1:13" x14ac:dyDescent="0.3">
      <c r="A450">
        <v>22</v>
      </c>
      <c r="B450" t="s">
        <v>12</v>
      </c>
      <c r="C450" s="1">
        <v>6</v>
      </c>
      <c r="D450" t="s">
        <v>13</v>
      </c>
      <c r="E450" t="s">
        <v>14</v>
      </c>
      <c r="F450" t="s">
        <v>22</v>
      </c>
      <c r="G450" t="s">
        <v>16</v>
      </c>
      <c r="H450" t="s">
        <v>21</v>
      </c>
      <c r="I450" s="3">
        <v>17610</v>
      </c>
      <c r="J450" s="3" t="str">
        <f t="shared" si="6"/>
        <v>High</v>
      </c>
      <c r="K450" t="b">
        <v>1</v>
      </c>
      <c r="L450" t="b">
        <v>0</v>
      </c>
      <c r="M450" t="b">
        <v>1</v>
      </c>
    </row>
    <row r="451" spans="1:13" x14ac:dyDescent="0.3">
      <c r="A451">
        <v>39</v>
      </c>
      <c r="B451" t="s">
        <v>25</v>
      </c>
      <c r="C451" s="1">
        <v>6</v>
      </c>
      <c r="D451" t="s">
        <v>19</v>
      </c>
      <c r="E451" t="s">
        <v>26</v>
      </c>
      <c r="F451" t="s">
        <v>22</v>
      </c>
      <c r="G451" t="s">
        <v>23</v>
      </c>
      <c r="H451" t="s">
        <v>24</v>
      </c>
      <c r="I451" s="3">
        <v>18895</v>
      </c>
      <c r="J451" s="3" t="str">
        <f t="shared" ref="J451:J514" si="7">IF(I451&gt;16000, "High", IF(I451&gt;=12000, IF(I451&lt;=15000, "Medium", "High"), "Low"))</f>
        <v>High</v>
      </c>
      <c r="K451" t="b">
        <v>0</v>
      </c>
      <c r="L451" t="b">
        <v>1</v>
      </c>
      <c r="M451" t="b">
        <v>1</v>
      </c>
    </row>
    <row r="452" spans="1:13" x14ac:dyDescent="0.3">
      <c r="A452">
        <v>46</v>
      </c>
      <c r="B452" t="s">
        <v>25</v>
      </c>
      <c r="C452" s="1">
        <v>5</v>
      </c>
      <c r="D452" t="s">
        <v>28</v>
      </c>
      <c r="E452" t="s">
        <v>20</v>
      </c>
      <c r="F452" t="s">
        <v>22</v>
      </c>
      <c r="G452" t="s">
        <v>16</v>
      </c>
      <c r="H452" t="s">
        <v>17</v>
      </c>
      <c r="I452" s="3">
        <v>12544</v>
      </c>
      <c r="J452" s="3" t="str">
        <f t="shared" si="7"/>
        <v>Medium</v>
      </c>
      <c r="K452" t="b">
        <v>1</v>
      </c>
      <c r="L452" t="b">
        <v>0</v>
      </c>
      <c r="M452" t="b">
        <v>1</v>
      </c>
    </row>
    <row r="453" spans="1:13" x14ac:dyDescent="0.3">
      <c r="A453">
        <v>20</v>
      </c>
      <c r="B453" t="s">
        <v>12</v>
      </c>
      <c r="C453" s="1">
        <v>7</v>
      </c>
      <c r="D453" t="s">
        <v>28</v>
      </c>
      <c r="E453" t="s">
        <v>26</v>
      </c>
      <c r="F453" t="s">
        <v>22</v>
      </c>
      <c r="G453" t="s">
        <v>29</v>
      </c>
      <c r="H453" t="s">
        <v>24</v>
      </c>
      <c r="I453" s="3">
        <v>15522</v>
      </c>
      <c r="J453" s="3" t="str">
        <f t="shared" si="7"/>
        <v>High</v>
      </c>
      <c r="K453" t="b">
        <v>1</v>
      </c>
      <c r="L453" t="b">
        <v>1</v>
      </c>
      <c r="M453" t="b">
        <v>1</v>
      </c>
    </row>
    <row r="454" spans="1:13" x14ac:dyDescent="0.3">
      <c r="A454">
        <v>29</v>
      </c>
      <c r="B454" t="s">
        <v>12</v>
      </c>
      <c r="C454" s="1">
        <v>8</v>
      </c>
      <c r="D454" t="s">
        <v>19</v>
      </c>
      <c r="E454" t="s">
        <v>14</v>
      </c>
      <c r="F454" t="s">
        <v>27</v>
      </c>
      <c r="G454" t="s">
        <v>29</v>
      </c>
      <c r="H454" t="s">
        <v>24</v>
      </c>
      <c r="I454" s="3">
        <v>12370</v>
      </c>
      <c r="J454" s="3" t="str">
        <f t="shared" si="7"/>
        <v>Medium</v>
      </c>
      <c r="K454" t="b">
        <v>1</v>
      </c>
      <c r="L454" t="b">
        <v>1</v>
      </c>
      <c r="M454" t="b">
        <v>0</v>
      </c>
    </row>
    <row r="455" spans="1:13" x14ac:dyDescent="0.3">
      <c r="A455">
        <v>43</v>
      </c>
      <c r="B455" t="s">
        <v>12</v>
      </c>
      <c r="C455" s="1">
        <v>7</v>
      </c>
      <c r="D455" t="s">
        <v>19</v>
      </c>
      <c r="E455" t="s">
        <v>14</v>
      </c>
      <c r="F455" t="s">
        <v>22</v>
      </c>
      <c r="G455" t="s">
        <v>29</v>
      </c>
      <c r="H455" t="s">
        <v>21</v>
      </c>
      <c r="I455" s="3">
        <v>13281</v>
      </c>
      <c r="J455" s="3" t="str">
        <f t="shared" si="7"/>
        <v>Medium</v>
      </c>
      <c r="K455" t="b">
        <v>0</v>
      </c>
      <c r="L455" t="b">
        <v>0</v>
      </c>
      <c r="M455" t="b">
        <v>0</v>
      </c>
    </row>
    <row r="456" spans="1:13" x14ac:dyDescent="0.3">
      <c r="A456">
        <v>33</v>
      </c>
      <c r="B456" t="s">
        <v>18</v>
      </c>
      <c r="C456" s="1">
        <v>5</v>
      </c>
      <c r="D456" t="s">
        <v>19</v>
      </c>
      <c r="E456" t="s">
        <v>14</v>
      </c>
      <c r="F456" t="s">
        <v>22</v>
      </c>
      <c r="G456" t="s">
        <v>16</v>
      </c>
      <c r="H456" t="s">
        <v>24</v>
      </c>
      <c r="I456" s="3">
        <v>14710</v>
      </c>
      <c r="J456" s="3" t="str">
        <f t="shared" si="7"/>
        <v>Medium</v>
      </c>
      <c r="K456" t="b">
        <v>0</v>
      </c>
      <c r="L456" t="b">
        <v>1</v>
      </c>
      <c r="M456" t="b">
        <v>1</v>
      </c>
    </row>
    <row r="457" spans="1:13" x14ac:dyDescent="0.3">
      <c r="A457">
        <v>54</v>
      </c>
      <c r="B457" t="s">
        <v>12</v>
      </c>
      <c r="C457" s="1">
        <v>1</v>
      </c>
      <c r="D457" t="s">
        <v>19</v>
      </c>
      <c r="E457" t="s">
        <v>26</v>
      </c>
      <c r="F457" t="s">
        <v>22</v>
      </c>
      <c r="G457" t="s">
        <v>23</v>
      </c>
      <c r="H457" t="s">
        <v>24</v>
      </c>
      <c r="I457" s="3">
        <v>10328</v>
      </c>
      <c r="J457" s="3" t="str">
        <f t="shared" si="7"/>
        <v>Low</v>
      </c>
      <c r="K457" t="b">
        <v>0</v>
      </c>
      <c r="L457" t="b">
        <v>0</v>
      </c>
      <c r="M457" t="b">
        <v>1</v>
      </c>
    </row>
    <row r="458" spans="1:13" x14ac:dyDescent="0.3">
      <c r="A458">
        <v>39</v>
      </c>
      <c r="B458" t="s">
        <v>25</v>
      </c>
      <c r="C458" s="1">
        <v>5</v>
      </c>
      <c r="D458" t="s">
        <v>13</v>
      </c>
      <c r="E458" t="s">
        <v>20</v>
      </c>
      <c r="F458" t="s">
        <v>15</v>
      </c>
      <c r="G458" t="s">
        <v>29</v>
      </c>
      <c r="H458" t="s">
        <v>17</v>
      </c>
      <c r="I458" s="3">
        <v>15579</v>
      </c>
      <c r="J458" s="3" t="str">
        <f t="shared" si="7"/>
        <v>High</v>
      </c>
      <c r="K458" t="b">
        <v>1</v>
      </c>
      <c r="L458" t="b">
        <v>0</v>
      </c>
      <c r="M458" t="b">
        <v>1</v>
      </c>
    </row>
    <row r="459" spans="1:13" x14ac:dyDescent="0.3">
      <c r="A459">
        <v>46</v>
      </c>
      <c r="B459" t="s">
        <v>12</v>
      </c>
      <c r="C459" s="1">
        <v>2</v>
      </c>
      <c r="D459" t="s">
        <v>19</v>
      </c>
      <c r="E459" t="s">
        <v>14</v>
      </c>
      <c r="F459" t="s">
        <v>27</v>
      </c>
      <c r="G459" t="s">
        <v>16</v>
      </c>
      <c r="H459" t="s">
        <v>17</v>
      </c>
      <c r="I459" s="3">
        <v>14228</v>
      </c>
      <c r="J459" s="3" t="str">
        <f t="shared" si="7"/>
        <v>Medium</v>
      </c>
      <c r="K459" t="b">
        <v>1</v>
      </c>
      <c r="L459" t="b">
        <v>0</v>
      </c>
      <c r="M459" t="b">
        <v>1</v>
      </c>
    </row>
    <row r="460" spans="1:13" x14ac:dyDescent="0.3">
      <c r="A460">
        <v>31</v>
      </c>
      <c r="B460" t="s">
        <v>25</v>
      </c>
      <c r="C460" s="1">
        <v>5</v>
      </c>
      <c r="D460" t="s">
        <v>13</v>
      </c>
      <c r="E460" t="s">
        <v>14</v>
      </c>
      <c r="F460" t="s">
        <v>27</v>
      </c>
      <c r="G460" t="s">
        <v>16</v>
      </c>
      <c r="H460" t="s">
        <v>21</v>
      </c>
      <c r="I460" s="3">
        <v>16794</v>
      </c>
      <c r="J460" s="3" t="str">
        <f t="shared" si="7"/>
        <v>High</v>
      </c>
      <c r="K460" t="b">
        <v>1</v>
      </c>
      <c r="L460" t="b">
        <v>1</v>
      </c>
      <c r="M460" t="b">
        <v>0</v>
      </c>
    </row>
    <row r="461" spans="1:13" x14ac:dyDescent="0.3">
      <c r="A461">
        <v>45</v>
      </c>
      <c r="B461" t="s">
        <v>18</v>
      </c>
      <c r="C461" s="1">
        <v>5</v>
      </c>
      <c r="D461" t="s">
        <v>28</v>
      </c>
      <c r="E461" t="s">
        <v>26</v>
      </c>
      <c r="F461" t="s">
        <v>27</v>
      </c>
      <c r="G461" t="s">
        <v>23</v>
      </c>
      <c r="H461" t="s">
        <v>17</v>
      </c>
      <c r="I461" s="3">
        <v>10120</v>
      </c>
      <c r="J461" s="3" t="str">
        <f t="shared" si="7"/>
        <v>Low</v>
      </c>
      <c r="K461" t="b">
        <v>1</v>
      </c>
      <c r="L461" t="b">
        <v>1</v>
      </c>
      <c r="M461" t="b">
        <v>0</v>
      </c>
    </row>
    <row r="462" spans="1:13" x14ac:dyDescent="0.3">
      <c r="A462">
        <v>22</v>
      </c>
      <c r="B462" t="s">
        <v>25</v>
      </c>
      <c r="C462" s="1">
        <v>2</v>
      </c>
      <c r="D462" t="s">
        <v>19</v>
      </c>
      <c r="E462" t="s">
        <v>20</v>
      </c>
      <c r="F462" t="s">
        <v>22</v>
      </c>
      <c r="G462" t="s">
        <v>29</v>
      </c>
      <c r="H462" t="s">
        <v>17</v>
      </c>
      <c r="I462" s="3">
        <v>16749</v>
      </c>
      <c r="J462" s="3" t="str">
        <f t="shared" si="7"/>
        <v>High</v>
      </c>
      <c r="K462" t="b">
        <v>1</v>
      </c>
      <c r="L462" t="b">
        <v>1</v>
      </c>
      <c r="M462" t="b">
        <v>1</v>
      </c>
    </row>
    <row r="463" spans="1:13" x14ac:dyDescent="0.3">
      <c r="A463">
        <v>64</v>
      </c>
      <c r="B463" t="s">
        <v>25</v>
      </c>
      <c r="C463" s="1">
        <v>5</v>
      </c>
      <c r="D463" t="s">
        <v>13</v>
      </c>
      <c r="E463" t="s">
        <v>26</v>
      </c>
      <c r="F463" t="s">
        <v>22</v>
      </c>
      <c r="G463" t="s">
        <v>16</v>
      </c>
      <c r="H463" t="s">
        <v>21</v>
      </c>
      <c r="I463" s="3">
        <v>10964</v>
      </c>
      <c r="J463" s="3" t="str">
        <f t="shared" si="7"/>
        <v>Low</v>
      </c>
      <c r="K463" t="b">
        <v>0</v>
      </c>
      <c r="L463" t="b">
        <v>0</v>
      </c>
      <c r="M463" t="b">
        <v>0</v>
      </c>
    </row>
    <row r="464" spans="1:13" x14ac:dyDescent="0.3">
      <c r="A464">
        <v>47</v>
      </c>
      <c r="B464" t="s">
        <v>12</v>
      </c>
      <c r="C464" s="1">
        <v>4</v>
      </c>
      <c r="D464" t="s">
        <v>19</v>
      </c>
      <c r="E464" t="s">
        <v>14</v>
      </c>
      <c r="F464" t="s">
        <v>15</v>
      </c>
      <c r="G464" t="s">
        <v>23</v>
      </c>
      <c r="H464" t="s">
        <v>24</v>
      </c>
      <c r="I464" s="3">
        <v>14224</v>
      </c>
      <c r="J464" s="3" t="str">
        <f t="shared" si="7"/>
        <v>Medium</v>
      </c>
      <c r="K464" t="b">
        <v>1</v>
      </c>
      <c r="L464" t="b">
        <v>0</v>
      </c>
      <c r="M464" t="b">
        <v>1</v>
      </c>
    </row>
    <row r="465" spans="1:13" x14ac:dyDescent="0.3">
      <c r="A465">
        <v>63</v>
      </c>
      <c r="B465" t="s">
        <v>12</v>
      </c>
      <c r="C465" s="1">
        <v>1</v>
      </c>
      <c r="D465" t="s">
        <v>28</v>
      </c>
      <c r="E465" t="s">
        <v>20</v>
      </c>
      <c r="F465" t="s">
        <v>27</v>
      </c>
      <c r="G465" t="s">
        <v>29</v>
      </c>
      <c r="H465" t="s">
        <v>21</v>
      </c>
      <c r="I465" s="3">
        <v>13675</v>
      </c>
      <c r="J465" s="3" t="str">
        <f t="shared" si="7"/>
        <v>Medium</v>
      </c>
      <c r="K465" t="b">
        <v>0</v>
      </c>
      <c r="L465" t="b">
        <v>1</v>
      </c>
      <c r="M465" t="b">
        <v>1</v>
      </c>
    </row>
    <row r="466" spans="1:13" x14ac:dyDescent="0.3">
      <c r="A466">
        <v>22</v>
      </c>
      <c r="B466" t="s">
        <v>25</v>
      </c>
      <c r="C466" s="1">
        <v>3</v>
      </c>
      <c r="D466" t="s">
        <v>28</v>
      </c>
      <c r="E466" t="s">
        <v>20</v>
      </c>
      <c r="F466" t="s">
        <v>22</v>
      </c>
      <c r="G466" t="s">
        <v>23</v>
      </c>
      <c r="H466" t="s">
        <v>17</v>
      </c>
      <c r="I466" s="3">
        <v>15694</v>
      </c>
      <c r="J466" s="3" t="str">
        <f t="shared" si="7"/>
        <v>High</v>
      </c>
      <c r="K466" t="b">
        <v>1</v>
      </c>
      <c r="L466" t="b">
        <v>1</v>
      </c>
      <c r="M466" t="b">
        <v>0</v>
      </c>
    </row>
    <row r="467" spans="1:13" x14ac:dyDescent="0.3">
      <c r="A467">
        <v>29</v>
      </c>
      <c r="B467" t="s">
        <v>12</v>
      </c>
      <c r="C467" s="1">
        <v>1</v>
      </c>
      <c r="D467" t="s">
        <v>28</v>
      </c>
      <c r="E467" t="s">
        <v>14</v>
      </c>
      <c r="F467" t="s">
        <v>27</v>
      </c>
      <c r="G467" t="s">
        <v>23</v>
      </c>
      <c r="H467" t="s">
        <v>21</v>
      </c>
      <c r="I467" s="3">
        <v>12076</v>
      </c>
      <c r="J467" s="3" t="str">
        <f t="shared" si="7"/>
        <v>Medium</v>
      </c>
      <c r="K467" t="b">
        <v>0</v>
      </c>
      <c r="L467" t="b">
        <v>0</v>
      </c>
      <c r="M467" t="b">
        <v>1</v>
      </c>
    </row>
    <row r="468" spans="1:13" x14ac:dyDescent="0.3">
      <c r="A468">
        <v>33</v>
      </c>
      <c r="B468" t="s">
        <v>18</v>
      </c>
      <c r="C468" s="1">
        <v>5</v>
      </c>
      <c r="D468" t="s">
        <v>19</v>
      </c>
      <c r="E468" t="s">
        <v>20</v>
      </c>
      <c r="F468" t="s">
        <v>15</v>
      </c>
      <c r="G468" t="s">
        <v>16</v>
      </c>
      <c r="H468" t="s">
        <v>24</v>
      </c>
      <c r="I468" s="3">
        <v>16865</v>
      </c>
      <c r="J468" s="3" t="str">
        <f t="shared" si="7"/>
        <v>High</v>
      </c>
      <c r="K468" t="b">
        <v>0</v>
      </c>
      <c r="L468" t="b">
        <v>1</v>
      </c>
      <c r="M468" t="b">
        <v>0</v>
      </c>
    </row>
    <row r="469" spans="1:13" x14ac:dyDescent="0.3">
      <c r="A469">
        <v>43</v>
      </c>
      <c r="B469" t="s">
        <v>18</v>
      </c>
      <c r="C469" s="1">
        <v>4</v>
      </c>
      <c r="D469" t="s">
        <v>19</v>
      </c>
      <c r="E469" t="s">
        <v>20</v>
      </c>
      <c r="F469" t="s">
        <v>15</v>
      </c>
      <c r="G469" t="s">
        <v>16</v>
      </c>
      <c r="H469" t="s">
        <v>21</v>
      </c>
      <c r="I469" s="3">
        <v>15643</v>
      </c>
      <c r="J469" s="3" t="str">
        <f t="shared" si="7"/>
        <v>High</v>
      </c>
      <c r="K469" t="b">
        <v>0</v>
      </c>
      <c r="L469" t="b">
        <v>0</v>
      </c>
      <c r="M469" t="b">
        <v>1</v>
      </c>
    </row>
    <row r="470" spans="1:13" x14ac:dyDescent="0.3">
      <c r="A470">
        <v>43</v>
      </c>
      <c r="B470" t="s">
        <v>12</v>
      </c>
      <c r="C470" s="1">
        <v>7</v>
      </c>
      <c r="D470" t="s">
        <v>13</v>
      </c>
      <c r="E470" t="s">
        <v>26</v>
      </c>
      <c r="F470" t="s">
        <v>15</v>
      </c>
      <c r="G470" t="s">
        <v>16</v>
      </c>
      <c r="H470" t="s">
        <v>17</v>
      </c>
      <c r="I470" s="3">
        <v>18524</v>
      </c>
      <c r="J470" s="3" t="str">
        <f t="shared" si="7"/>
        <v>High</v>
      </c>
      <c r="K470" t="b">
        <v>0</v>
      </c>
      <c r="L470" t="b">
        <v>1</v>
      </c>
      <c r="M470" t="b">
        <v>0</v>
      </c>
    </row>
    <row r="471" spans="1:13" x14ac:dyDescent="0.3">
      <c r="A471">
        <v>38</v>
      </c>
      <c r="B471" t="s">
        <v>18</v>
      </c>
      <c r="C471" s="1">
        <v>5</v>
      </c>
      <c r="D471" t="s">
        <v>28</v>
      </c>
      <c r="E471" t="s">
        <v>14</v>
      </c>
      <c r="F471" t="s">
        <v>27</v>
      </c>
      <c r="G471" t="s">
        <v>23</v>
      </c>
      <c r="H471" t="s">
        <v>17</v>
      </c>
      <c r="I471" s="3">
        <v>15249</v>
      </c>
      <c r="J471" s="3" t="str">
        <f t="shared" si="7"/>
        <v>High</v>
      </c>
      <c r="K471" t="b">
        <v>1</v>
      </c>
      <c r="L471" t="b">
        <v>0</v>
      </c>
      <c r="M471" t="b">
        <v>1</v>
      </c>
    </row>
    <row r="472" spans="1:13" x14ac:dyDescent="0.3">
      <c r="A472">
        <v>56</v>
      </c>
      <c r="B472" t="s">
        <v>12</v>
      </c>
      <c r="C472" s="1">
        <v>4</v>
      </c>
      <c r="D472" t="s">
        <v>19</v>
      </c>
      <c r="E472" t="s">
        <v>14</v>
      </c>
      <c r="F472" t="s">
        <v>22</v>
      </c>
      <c r="G472" t="s">
        <v>16</v>
      </c>
      <c r="H472" t="s">
        <v>21</v>
      </c>
      <c r="I472" s="3">
        <v>11316</v>
      </c>
      <c r="J472" s="3" t="str">
        <f t="shared" si="7"/>
        <v>Low</v>
      </c>
      <c r="K472" t="b">
        <v>1</v>
      </c>
      <c r="L472" t="b">
        <v>1</v>
      </c>
      <c r="M472" t="b">
        <v>0</v>
      </c>
    </row>
    <row r="473" spans="1:13" x14ac:dyDescent="0.3">
      <c r="A473">
        <v>53</v>
      </c>
      <c r="B473" t="s">
        <v>25</v>
      </c>
      <c r="C473" s="1">
        <v>2</v>
      </c>
      <c r="D473" t="s">
        <v>28</v>
      </c>
      <c r="E473" t="s">
        <v>14</v>
      </c>
      <c r="F473" t="s">
        <v>22</v>
      </c>
      <c r="G473" t="s">
        <v>23</v>
      </c>
      <c r="H473" t="s">
        <v>24</v>
      </c>
      <c r="I473" s="3">
        <v>11196</v>
      </c>
      <c r="J473" s="3" t="str">
        <f t="shared" si="7"/>
        <v>Low</v>
      </c>
      <c r="K473" t="b">
        <v>1</v>
      </c>
      <c r="L473" t="b">
        <v>1</v>
      </c>
      <c r="M473" t="b">
        <v>1</v>
      </c>
    </row>
    <row r="474" spans="1:13" x14ac:dyDescent="0.3">
      <c r="A474">
        <v>50</v>
      </c>
      <c r="B474" t="s">
        <v>25</v>
      </c>
      <c r="C474" s="1">
        <v>4</v>
      </c>
      <c r="D474" t="s">
        <v>28</v>
      </c>
      <c r="E474" t="s">
        <v>14</v>
      </c>
      <c r="F474" t="s">
        <v>15</v>
      </c>
      <c r="G474" t="s">
        <v>23</v>
      </c>
      <c r="H474" t="s">
        <v>21</v>
      </c>
      <c r="I474" s="3">
        <v>13170</v>
      </c>
      <c r="J474" s="3" t="str">
        <f t="shared" si="7"/>
        <v>Medium</v>
      </c>
      <c r="K474" t="b">
        <v>0</v>
      </c>
      <c r="L474" t="b">
        <v>0</v>
      </c>
      <c r="M474" t="b">
        <v>1</v>
      </c>
    </row>
    <row r="475" spans="1:13" x14ac:dyDescent="0.3">
      <c r="A475">
        <v>47</v>
      </c>
      <c r="B475" t="s">
        <v>18</v>
      </c>
      <c r="C475" s="1">
        <v>2</v>
      </c>
      <c r="D475" t="s">
        <v>13</v>
      </c>
      <c r="E475" t="s">
        <v>14</v>
      </c>
      <c r="F475" t="s">
        <v>22</v>
      </c>
      <c r="G475" t="s">
        <v>16</v>
      </c>
      <c r="H475" t="s">
        <v>24</v>
      </c>
      <c r="I475" s="3">
        <v>19621</v>
      </c>
      <c r="J475" s="3" t="str">
        <f t="shared" si="7"/>
        <v>High</v>
      </c>
      <c r="K475" t="b">
        <v>1</v>
      </c>
      <c r="L475" t="b">
        <v>0</v>
      </c>
      <c r="M475" t="b">
        <v>0</v>
      </c>
    </row>
    <row r="476" spans="1:13" x14ac:dyDescent="0.3">
      <c r="A476">
        <v>54</v>
      </c>
      <c r="B476" t="s">
        <v>12</v>
      </c>
      <c r="C476" s="1">
        <v>8</v>
      </c>
      <c r="D476" t="s">
        <v>13</v>
      </c>
      <c r="E476" t="s">
        <v>20</v>
      </c>
      <c r="F476" t="s">
        <v>15</v>
      </c>
      <c r="G476" t="s">
        <v>29</v>
      </c>
      <c r="H476" t="s">
        <v>24</v>
      </c>
      <c r="I476" s="3">
        <v>10355</v>
      </c>
      <c r="J476" s="3" t="str">
        <f t="shared" si="7"/>
        <v>Low</v>
      </c>
      <c r="K476" t="b">
        <v>1</v>
      </c>
      <c r="L476" t="b">
        <v>0</v>
      </c>
      <c r="M476" t="b">
        <v>1</v>
      </c>
    </row>
    <row r="477" spans="1:13" x14ac:dyDescent="0.3">
      <c r="A477">
        <v>40</v>
      </c>
      <c r="B477" t="s">
        <v>12</v>
      </c>
      <c r="C477" s="1">
        <v>3</v>
      </c>
      <c r="D477" t="s">
        <v>13</v>
      </c>
      <c r="E477" t="s">
        <v>26</v>
      </c>
      <c r="F477" t="s">
        <v>27</v>
      </c>
      <c r="G477" t="s">
        <v>29</v>
      </c>
      <c r="H477" t="s">
        <v>21</v>
      </c>
      <c r="I477" s="3">
        <v>19718</v>
      </c>
      <c r="J477" s="3" t="str">
        <f t="shared" si="7"/>
        <v>High</v>
      </c>
      <c r="K477" t="b">
        <v>1</v>
      </c>
      <c r="L477" t="b">
        <v>1</v>
      </c>
      <c r="M477" t="b">
        <v>0</v>
      </c>
    </row>
    <row r="478" spans="1:13" x14ac:dyDescent="0.3">
      <c r="A478">
        <v>27</v>
      </c>
      <c r="B478" t="s">
        <v>18</v>
      </c>
      <c r="C478" s="1">
        <v>9</v>
      </c>
      <c r="D478" t="s">
        <v>13</v>
      </c>
      <c r="E478" t="s">
        <v>14</v>
      </c>
      <c r="F478" t="s">
        <v>15</v>
      </c>
      <c r="G478" t="s">
        <v>29</v>
      </c>
      <c r="H478" t="s">
        <v>24</v>
      </c>
      <c r="I478" s="3">
        <v>10028</v>
      </c>
      <c r="J478" s="3" t="str">
        <f t="shared" si="7"/>
        <v>Low</v>
      </c>
      <c r="K478" t="b">
        <v>1</v>
      </c>
      <c r="L478" t="b">
        <v>0</v>
      </c>
      <c r="M478" t="b">
        <v>0</v>
      </c>
    </row>
    <row r="479" spans="1:13" x14ac:dyDescent="0.3">
      <c r="A479">
        <v>22</v>
      </c>
      <c r="B479" t="s">
        <v>25</v>
      </c>
      <c r="C479" s="1">
        <v>4</v>
      </c>
      <c r="D479" t="s">
        <v>28</v>
      </c>
      <c r="E479" t="s">
        <v>26</v>
      </c>
      <c r="F479" t="s">
        <v>27</v>
      </c>
      <c r="G479" t="s">
        <v>23</v>
      </c>
      <c r="H479" t="s">
        <v>17</v>
      </c>
      <c r="I479" s="3">
        <v>11013</v>
      </c>
      <c r="J479" s="3" t="str">
        <f t="shared" si="7"/>
        <v>Low</v>
      </c>
      <c r="K479" t="b">
        <v>0</v>
      </c>
      <c r="L479" t="b">
        <v>0</v>
      </c>
      <c r="M479" t="b">
        <v>1</v>
      </c>
    </row>
    <row r="480" spans="1:13" x14ac:dyDescent="0.3">
      <c r="A480">
        <v>53</v>
      </c>
      <c r="B480" t="s">
        <v>18</v>
      </c>
      <c r="C480" s="1">
        <v>6</v>
      </c>
      <c r="D480" t="s">
        <v>13</v>
      </c>
      <c r="E480" t="s">
        <v>26</v>
      </c>
      <c r="F480" t="s">
        <v>15</v>
      </c>
      <c r="G480" t="s">
        <v>23</v>
      </c>
      <c r="H480" t="s">
        <v>21</v>
      </c>
      <c r="I480" s="3">
        <v>19019</v>
      </c>
      <c r="J480" s="3" t="str">
        <f t="shared" si="7"/>
        <v>High</v>
      </c>
      <c r="K480" t="b">
        <v>0</v>
      </c>
      <c r="L480" t="b">
        <v>1</v>
      </c>
      <c r="M480" t="b">
        <v>1</v>
      </c>
    </row>
    <row r="481" spans="1:13" x14ac:dyDescent="0.3">
      <c r="A481">
        <v>51</v>
      </c>
      <c r="B481" t="s">
        <v>25</v>
      </c>
      <c r="C481" s="1">
        <v>5</v>
      </c>
      <c r="D481" t="s">
        <v>13</v>
      </c>
      <c r="E481" t="s">
        <v>20</v>
      </c>
      <c r="F481" t="s">
        <v>22</v>
      </c>
      <c r="G481" t="s">
        <v>23</v>
      </c>
      <c r="H481" t="s">
        <v>24</v>
      </c>
      <c r="I481" s="3">
        <v>12024</v>
      </c>
      <c r="J481" s="3" t="str">
        <f t="shared" si="7"/>
        <v>Medium</v>
      </c>
      <c r="K481" t="b">
        <v>1</v>
      </c>
      <c r="L481" t="b">
        <v>0</v>
      </c>
      <c r="M481" t="b">
        <v>1</v>
      </c>
    </row>
    <row r="482" spans="1:13" x14ac:dyDescent="0.3">
      <c r="A482">
        <v>48</v>
      </c>
      <c r="B482" t="s">
        <v>12</v>
      </c>
      <c r="C482" s="1">
        <v>1</v>
      </c>
      <c r="D482" t="s">
        <v>13</v>
      </c>
      <c r="E482" t="s">
        <v>14</v>
      </c>
      <c r="F482" t="s">
        <v>22</v>
      </c>
      <c r="G482" t="s">
        <v>16</v>
      </c>
      <c r="H482" t="s">
        <v>17</v>
      </c>
      <c r="I482" s="3">
        <v>18490</v>
      </c>
      <c r="J482" s="3" t="str">
        <f t="shared" si="7"/>
        <v>High</v>
      </c>
      <c r="K482" t="b">
        <v>1</v>
      </c>
      <c r="L482" t="b">
        <v>0</v>
      </c>
      <c r="M482" t="b">
        <v>1</v>
      </c>
    </row>
    <row r="483" spans="1:13" x14ac:dyDescent="0.3">
      <c r="A483">
        <v>27</v>
      </c>
      <c r="B483" t="s">
        <v>25</v>
      </c>
      <c r="C483" s="1">
        <v>9</v>
      </c>
      <c r="D483" t="s">
        <v>13</v>
      </c>
      <c r="E483" t="s">
        <v>20</v>
      </c>
      <c r="F483" t="s">
        <v>15</v>
      </c>
      <c r="G483" t="s">
        <v>23</v>
      </c>
      <c r="H483" t="s">
        <v>21</v>
      </c>
      <c r="I483" s="3">
        <v>15839</v>
      </c>
      <c r="J483" s="3" t="str">
        <f t="shared" si="7"/>
        <v>High</v>
      </c>
      <c r="K483" t="b">
        <v>1</v>
      </c>
      <c r="L483" t="b">
        <v>0</v>
      </c>
      <c r="M483" t="b">
        <v>0</v>
      </c>
    </row>
    <row r="484" spans="1:13" x14ac:dyDescent="0.3">
      <c r="A484">
        <v>36</v>
      </c>
      <c r="B484" t="s">
        <v>18</v>
      </c>
      <c r="C484" s="1">
        <v>1</v>
      </c>
      <c r="D484" t="s">
        <v>28</v>
      </c>
      <c r="E484" t="s">
        <v>14</v>
      </c>
      <c r="F484" t="s">
        <v>22</v>
      </c>
      <c r="G484" t="s">
        <v>16</v>
      </c>
      <c r="H484" t="s">
        <v>17</v>
      </c>
      <c r="I484" s="3">
        <v>15791</v>
      </c>
      <c r="J484" s="3" t="str">
        <f t="shared" si="7"/>
        <v>High</v>
      </c>
      <c r="K484" t="b">
        <v>0</v>
      </c>
      <c r="L484" t="b">
        <v>1</v>
      </c>
      <c r="M484" t="b">
        <v>1</v>
      </c>
    </row>
    <row r="485" spans="1:13" x14ac:dyDescent="0.3">
      <c r="A485">
        <v>49</v>
      </c>
      <c r="B485" t="s">
        <v>12</v>
      </c>
      <c r="C485" s="1">
        <v>8</v>
      </c>
      <c r="D485" t="s">
        <v>13</v>
      </c>
      <c r="E485" t="s">
        <v>20</v>
      </c>
      <c r="F485" t="s">
        <v>22</v>
      </c>
      <c r="G485" t="s">
        <v>16</v>
      </c>
      <c r="H485" t="s">
        <v>17</v>
      </c>
      <c r="I485" s="3">
        <v>10754</v>
      </c>
      <c r="J485" s="3" t="str">
        <f t="shared" si="7"/>
        <v>Low</v>
      </c>
      <c r="K485" t="b">
        <v>0</v>
      </c>
      <c r="L485" t="b">
        <v>1</v>
      </c>
      <c r="M485" t="b">
        <v>1</v>
      </c>
    </row>
    <row r="486" spans="1:13" x14ac:dyDescent="0.3">
      <c r="A486">
        <v>18</v>
      </c>
      <c r="B486" t="s">
        <v>18</v>
      </c>
      <c r="C486" s="1">
        <v>9</v>
      </c>
      <c r="D486" t="s">
        <v>28</v>
      </c>
      <c r="E486" t="s">
        <v>26</v>
      </c>
      <c r="F486" t="s">
        <v>22</v>
      </c>
      <c r="G486" t="s">
        <v>29</v>
      </c>
      <c r="H486" t="s">
        <v>17</v>
      </c>
      <c r="I486" s="3">
        <v>18961</v>
      </c>
      <c r="J486" s="3" t="str">
        <f t="shared" si="7"/>
        <v>High</v>
      </c>
      <c r="K486" t="b">
        <v>0</v>
      </c>
      <c r="L486" t="b">
        <v>1</v>
      </c>
      <c r="M486" t="b">
        <v>1</v>
      </c>
    </row>
    <row r="487" spans="1:13" x14ac:dyDescent="0.3">
      <c r="A487">
        <v>22</v>
      </c>
      <c r="B487" t="s">
        <v>18</v>
      </c>
      <c r="C487" s="1">
        <v>9</v>
      </c>
      <c r="D487" t="s">
        <v>19</v>
      </c>
      <c r="E487" t="s">
        <v>14</v>
      </c>
      <c r="F487" t="s">
        <v>27</v>
      </c>
      <c r="G487" t="s">
        <v>29</v>
      </c>
      <c r="H487" t="s">
        <v>24</v>
      </c>
      <c r="I487" s="3">
        <v>13735</v>
      </c>
      <c r="J487" s="3" t="str">
        <f t="shared" si="7"/>
        <v>Medium</v>
      </c>
      <c r="K487" t="b">
        <v>1</v>
      </c>
      <c r="L487" t="b">
        <v>0</v>
      </c>
      <c r="M487" t="b">
        <v>0</v>
      </c>
    </row>
    <row r="488" spans="1:13" x14ac:dyDescent="0.3">
      <c r="A488">
        <v>62</v>
      </c>
      <c r="B488" t="s">
        <v>25</v>
      </c>
      <c r="C488" s="1">
        <v>1</v>
      </c>
      <c r="D488" t="s">
        <v>28</v>
      </c>
      <c r="E488" t="s">
        <v>26</v>
      </c>
      <c r="F488" t="s">
        <v>22</v>
      </c>
      <c r="G488" t="s">
        <v>29</v>
      </c>
      <c r="H488" t="s">
        <v>21</v>
      </c>
      <c r="I488" s="3">
        <v>11238</v>
      </c>
      <c r="J488" s="3" t="str">
        <f t="shared" si="7"/>
        <v>Low</v>
      </c>
      <c r="K488" t="b">
        <v>0</v>
      </c>
      <c r="L488" t="b">
        <v>1</v>
      </c>
      <c r="M488" t="b">
        <v>1</v>
      </c>
    </row>
    <row r="489" spans="1:13" x14ac:dyDescent="0.3">
      <c r="A489">
        <v>21</v>
      </c>
      <c r="B489" t="s">
        <v>18</v>
      </c>
      <c r="C489" s="1">
        <v>2</v>
      </c>
      <c r="D489" t="s">
        <v>28</v>
      </c>
      <c r="E489" t="s">
        <v>26</v>
      </c>
      <c r="F489" t="s">
        <v>27</v>
      </c>
      <c r="G489" t="s">
        <v>16</v>
      </c>
      <c r="H489" t="s">
        <v>21</v>
      </c>
      <c r="I489" s="3">
        <v>11906</v>
      </c>
      <c r="J489" s="3" t="str">
        <f t="shared" si="7"/>
        <v>Low</v>
      </c>
      <c r="K489" t="b">
        <v>0</v>
      </c>
      <c r="L489" t="b">
        <v>0</v>
      </c>
      <c r="M489" t="b">
        <v>0</v>
      </c>
    </row>
    <row r="490" spans="1:13" x14ac:dyDescent="0.3">
      <c r="A490">
        <v>33</v>
      </c>
      <c r="B490" t="s">
        <v>25</v>
      </c>
      <c r="C490" s="1">
        <v>1</v>
      </c>
      <c r="D490" t="s">
        <v>13</v>
      </c>
      <c r="E490" t="s">
        <v>20</v>
      </c>
      <c r="F490" t="s">
        <v>15</v>
      </c>
      <c r="G490" t="s">
        <v>16</v>
      </c>
      <c r="H490" t="s">
        <v>24</v>
      </c>
      <c r="I490" s="3">
        <v>17399</v>
      </c>
      <c r="J490" s="3" t="str">
        <f t="shared" si="7"/>
        <v>High</v>
      </c>
      <c r="K490" t="b">
        <v>0</v>
      </c>
      <c r="L490" t="b">
        <v>0</v>
      </c>
      <c r="M490" t="b">
        <v>1</v>
      </c>
    </row>
    <row r="491" spans="1:13" x14ac:dyDescent="0.3">
      <c r="A491">
        <v>41</v>
      </c>
      <c r="B491" t="s">
        <v>12</v>
      </c>
      <c r="C491" s="1">
        <v>2</v>
      </c>
      <c r="D491" t="s">
        <v>19</v>
      </c>
      <c r="E491" t="s">
        <v>14</v>
      </c>
      <c r="F491" t="s">
        <v>22</v>
      </c>
      <c r="G491" t="s">
        <v>16</v>
      </c>
      <c r="H491" t="s">
        <v>21</v>
      </c>
      <c r="I491" s="3">
        <v>17961</v>
      </c>
      <c r="J491" s="3" t="str">
        <f t="shared" si="7"/>
        <v>High</v>
      </c>
      <c r="K491" t="b">
        <v>0</v>
      </c>
      <c r="L491" t="b">
        <v>0</v>
      </c>
      <c r="M491" t="b">
        <v>0</v>
      </c>
    </row>
    <row r="492" spans="1:13" x14ac:dyDescent="0.3">
      <c r="A492">
        <v>33</v>
      </c>
      <c r="B492" t="s">
        <v>25</v>
      </c>
      <c r="C492" s="1">
        <v>8</v>
      </c>
      <c r="D492" t="s">
        <v>19</v>
      </c>
      <c r="E492" t="s">
        <v>26</v>
      </c>
      <c r="F492" t="s">
        <v>22</v>
      </c>
      <c r="G492" t="s">
        <v>23</v>
      </c>
      <c r="H492" t="s">
        <v>17</v>
      </c>
      <c r="I492" s="3">
        <v>19756</v>
      </c>
      <c r="J492" s="3" t="str">
        <f t="shared" si="7"/>
        <v>High</v>
      </c>
      <c r="K492" t="b">
        <v>0</v>
      </c>
      <c r="L492" t="b">
        <v>1</v>
      </c>
      <c r="M492" t="b">
        <v>1</v>
      </c>
    </row>
    <row r="493" spans="1:13" x14ac:dyDescent="0.3">
      <c r="A493">
        <v>19</v>
      </c>
      <c r="B493" t="s">
        <v>12</v>
      </c>
      <c r="C493" s="1">
        <v>5</v>
      </c>
      <c r="D493" t="s">
        <v>19</v>
      </c>
      <c r="E493" t="s">
        <v>20</v>
      </c>
      <c r="F493" t="s">
        <v>22</v>
      </c>
      <c r="G493" t="s">
        <v>16</v>
      </c>
      <c r="H493" t="s">
        <v>21</v>
      </c>
      <c r="I493" s="3">
        <v>19410</v>
      </c>
      <c r="J493" s="3" t="str">
        <f t="shared" si="7"/>
        <v>High</v>
      </c>
      <c r="K493" t="b">
        <v>1</v>
      </c>
      <c r="L493" t="b">
        <v>1</v>
      </c>
      <c r="M493" t="b">
        <v>1</v>
      </c>
    </row>
    <row r="494" spans="1:13" x14ac:dyDescent="0.3">
      <c r="A494">
        <v>45</v>
      </c>
      <c r="B494" t="s">
        <v>25</v>
      </c>
      <c r="C494" s="1">
        <v>7</v>
      </c>
      <c r="D494" t="s">
        <v>19</v>
      </c>
      <c r="E494" t="s">
        <v>14</v>
      </c>
      <c r="F494" t="s">
        <v>15</v>
      </c>
      <c r="G494" t="s">
        <v>29</v>
      </c>
      <c r="H494" t="s">
        <v>24</v>
      </c>
      <c r="I494" s="3">
        <v>14601</v>
      </c>
      <c r="J494" s="3" t="str">
        <f t="shared" si="7"/>
        <v>Medium</v>
      </c>
      <c r="K494" t="b">
        <v>1</v>
      </c>
      <c r="L494" t="b">
        <v>0</v>
      </c>
      <c r="M494" t="b">
        <v>0</v>
      </c>
    </row>
    <row r="495" spans="1:13" x14ac:dyDescent="0.3">
      <c r="A495">
        <v>49</v>
      </c>
      <c r="B495" t="s">
        <v>18</v>
      </c>
      <c r="C495" s="1">
        <v>2</v>
      </c>
      <c r="D495" t="s">
        <v>28</v>
      </c>
      <c r="E495" t="s">
        <v>14</v>
      </c>
      <c r="F495" t="s">
        <v>27</v>
      </c>
      <c r="G495" t="s">
        <v>29</v>
      </c>
      <c r="H495" t="s">
        <v>17</v>
      </c>
      <c r="I495" s="3">
        <v>19549</v>
      </c>
      <c r="J495" s="3" t="str">
        <f t="shared" si="7"/>
        <v>High</v>
      </c>
      <c r="K495" t="b">
        <v>1</v>
      </c>
      <c r="L495" t="b">
        <v>0</v>
      </c>
      <c r="M495" t="b">
        <v>1</v>
      </c>
    </row>
    <row r="496" spans="1:13" x14ac:dyDescent="0.3">
      <c r="A496">
        <v>44</v>
      </c>
      <c r="B496" t="s">
        <v>25</v>
      </c>
      <c r="C496" s="1">
        <v>8</v>
      </c>
      <c r="D496" t="s">
        <v>19</v>
      </c>
      <c r="E496" t="s">
        <v>26</v>
      </c>
      <c r="F496" t="s">
        <v>27</v>
      </c>
      <c r="G496" t="s">
        <v>16</v>
      </c>
      <c r="H496" t="s">
        <v>24</v>
      </c>
      <c r="I496" s="3">
        <v>11460</v>
      </c>
      <c r="J496" s="3" t="str">
        <f t="shared" si="7"/>
        <v>Low</v>
      </c>
      <c r="K496" t="b">
        <v>1</v>
      </c>
      <c r="L496" t="b">
        <v>1</v>
      </c>
      <c r="M496" t="b">
        <v>1</v>
      </c>
    </row>
    <row r="497" spans="1:13" x14ac:dyDescent="0.3">
      <c r="A497">
        <v>37</v>
      </c>
      <c r="B497" t="s">
        <v>25</v>
      </c>
      <c r="C497" s="1">
        <v>6</v>
      </c>
      <c r="D497" t="s">
        <v>28</v>
      </c>
      <c r="E497" t="s">
        <v>14</v>
      </c>
      <c r="F497" t="s">
        <v>22</v>
      </c>
      <c r="G497" t="s">
        <v>16</v>
      </c>
      <c r="H497" t="s">
        <v>17</v>
      </c>
      <c r="I497" s="3">
        <v>17669</v>
      </c>
      <c r="J497" s="3" t="str">
        <f t="shared" si="7"/>
        <v>High</v>
      </c>
      <c r="K497" t="b">
        <v>0</v>
      </c>
      <c r="L497" t="b">
        <v>1</v>
      </c>
      <c r="M497" t="b">
        <v>1</v>
      </c>
    </row>
    <row r="498" spans="1:13" x14ac:dyDescent="0.3">
      <c r="A498">
        <v>41</v>
      </c>
      <c r="B498" t="s">
        <v>12</v>
      </c>
      <c r="C498" s="1">
        <v>8</v>
      </c>
      <c r="D498" t="s">
        <v>28</v>
      </c>
      <c r="E498" t="s">
        <v>26</v>
      </c>
      <c r="F498" t="s">
        <v>15</v>
      </c>
      <c r="G498" t="s">
        <v>29</v>
      </c>
      <c r="H498" t="s">
        <v>17</v>
      </c>
      <c r="I498" s="3">
        <v>11416</v>
      </c>
      <c r="J498" s="3" t="str">
        <f t="shared" si="7"/>
        <v>Low</v>
      </c>
      <c r="K498" t="b">
        <v>1</v>
      </c>
      <c r="L498" t="b">
        <v>1</v>
      </c>
      <c r="M498" t="b">
        <v>0</v>
      </c>
    </row>
    <row r="499" spans="1:13" x14ac:dyDescent="0.3">
      <c r="A499">
        <v>29</v>
      </c>
      <c r="B499" t="s">
        <v>18</v>
      </c>
      <c r="C499" s="1">
        <v>1</v>
      </c>
      <c r="D499" t="s">
        <v>28</v>
      </c>
      <c r="E499" t="s">
        <v>14</v>
      </c>
      <c r="F499" t="s">
        <v>15</v>
      </c>
      <c r="G499" t="s">
        <v>16</v>
      </c>
      <c r="H499" t="s">
        <v>21</v>
      </c>
      <c r="I499" s="3">
        <v>17766</v>
      </c>
      <c r="J499" s="3" t="str">
        <f t="shared" si="7"/>
        <v>High</v>
      </c>
      <c r="K499" t="b">
        <v>1</v>
      </c>
      <c r="L499" t="b">
        <v>0</v>
      </c>
      <c r="M499" t="b">
        <v>1</v>
      </c>
    </row>
    <row r="500" spans="1:13" x14ac:dyDescent="0.3">
      <c r="A500">
        <v>52</v>
      </c>
      <c r="B500" t="s">
        <v>25</v>
      </c>
      <c r="C500" s="1">
        <v>1</v>
      </c>
      <c r="D500" t="s">
        <v>19</v>
      </c>
      <c r="E500" t="s">
        <v>20</v>
      </c>
      <c r="F500" t="s">
        <v>15</v>
      </c>
      <c r="G500" t="s">
        <v>29</v>
      </c>
      <c r="H500" t="s">
        <v>17</v>
      </c>
      <c r="I500" s="3">
        <v>11428</v>
      </c>
      <c r="J500" s="3" t="str">
        <f t="shared" si="7"/>
        <v>Low</v>
      </c>
      <c r="K500" t="b">
        <v>1</v>
      </c>
      <c r="L500" t="b">
        <v>1</v>
      </c>
      <c r="M500" t="b">
        <v>0</v>
      </c>
    </row>
    <row r="501" spans="1:13" x14ac:dyDescent="0.3">
      <c r="A501">
        <v>50</v>
      </c>
      <c r="B501" t="s">
        <v>18</v>
      </c>
      <c r="C501" s="1">
        <v>7</v>
      </c>
      <c r="D501" t="s">
        <v>13</v>
      </c>
      <c r="E501" t="s">
        <v>26</v>
      </c>
      <c r="F501" t="s">
        <v>15</v>
      </c>
      <c r="G501" t="s">
        <v>23</v>
      </c>
      <c r="H501" t="s">
        <v>24</v>
      </c>
      <c r="I501" s="3">
        <v>14378</v>
      </c>
      <c r="J501" s="3" t="str">
        <f t="shared" si="7"/>
        <v>Medium</v>
      </c>
      <c r="K501" t="b">
        <v>0</v>
      </c>
      <c r="L501" t="b">
        <v>1</v>
      </c>
      <c r="M501" t="b">
        <v>0</v>
      </c>
    </row>
    <row r="502" spans="1:13" x14ac:dyDescent="0.3">
      <c r="A502">
        <v>50</v>
      </c>
      <c r="B502" t="s">
        <v>25</v>
      </c>
      <c r="C502" s="1">
        <v>8</v>
      </c>
      <c r="D502" t="s">
        <v>13</v>
      </c>
      <c r="E502" t="s">
        <v>26</v>
      </c>
      <c r="F502" t="s">
        <v>15</v>
      </c>
      <c r="G502" t="s">
        <v>29</v>
      </c>
      <c r="H502" t="s">
        <v>21</v>
      </c>
      <c r="I502" s="3">
        <v>17529</v>
      </c>
      <c r="J502" s="3" t="str">
        <f t="shared" si="7"/>
        <v>High</v>
      </c>
      <c r="K502" t="b">
        <v>1</v>
      </c>
      <c r="L502" t="b">
        <v>1</v>
      </c>
      <c r="M502" t="b">
        <v>0</v>
      </c>
    </row>
    <row r="503" spans="1:13" x14ac:dyDescent="0.3">
      <c r="A503">
        <v>60</v>
      </c>
      <c r="B503" t="s">
        <v>25</v>
      </c>
      <c r="C503" s="1">
        <v>3</v>
      </c>
      <c r="D503" t="s">
        <v>19</v>
      </c>
      <c r="E503" t="s">
        <v>14</v>
      </c>
      <c r="F503" t="s">
        <v>27</v>
      </c>
      <c r="G503" t="s">
        <v>23</v>
      </c>
      <c r="H503" t="s">
        <v>24</v>
      </c>
      <c r="I503" s="3">
        <v>14474</v>
      </c>
      <c r="J503" s="3" t="str">
        <f t="shared" si="7"/>
        <v>Medium</v>
      </c>
      <c r="K503" t="b">
        <v>0</v>
      </c>
      <c r="L503" t="b">
        <v>0</v>
      </c>
      <c r="M503" t="b">
        <v>1</v>
      </c>
    </row>
    <row r="504" spans="1:13" x14ac:dyDescent="0.3">
      <c r="A504">
        <v>54</v>
      </c>
      <c r="B504" t="s">
        <v>18</v>
      </c>
      <c r="C504" s="1">
        <v>5</v>
      </c>
      <c r="D504" t="s">
        <v>13</v>
      </c>
      <c r="E504" t="s">
        <v>14</v>
      </c>
      <c r="F504" t="s">
        <v>27</v>
      </c>
      <c r="G504" t="s">
        <v>16</v>
      </c>
      <c r="H504" t="s">
        <v>17</v>
      </c>
      <c r="I504" s="3">
        <v>13071</v>
      </c>
      <c r="J504" s="3" t="str">
        <f t="shared" si="7"/>
        <v>Medium</v>
      </c>
      <c r="K504" t="b">
        <v>0</v>
      </c>
      <c r="L504" t="b">
        <v>1</v>
      </c>
      <c r="M504" t="b">
        <v>0</v>
      </c>
    </row>
    <row r="505" spans="1:13" x14ac:dyDescent="0.3">
      <c r="A505">
        <v>29</v>
      </c>
      <c r="B505" t="s">
        <v>25</v>
      </c>
      <c r="C505" s="1">
        <v>1</v>
      </c>
      <c r="D505" t="s">
        <v>13</v>
      </c>
      <c r="E505" t="s">
        <v>26</v>
      </c>
      <c r="F505" t="s">
        <v>27</v>
      </c>
      <c r="G505" t="s">
        <v>16</v>
      </c>
      <c r="H505" t="s">
        <v>24</v>
      </c>
      <c r="I505" s="3">
        <v>10555</v>
      </c>
      <c r="J505" s="3" t="str">
        <f t="shared" si="7"/>
        <v>Low</v>
      </c>
      <c r="K505" t="b">
        <v>0</v>
      </c>
      <c r="L505" t="b">
        <v>0</v>
      </c>
      <c r="M505" t="b">
        <v>0</v>
      </c>
    </row>
    <row r="506" spans="1:13" x14ac:dyDescent="0.3">
      <c r="A506">
        <v>20</v>
      </c>
      <c r="B506" t="s">
        <v>18</v>
      </c>
      <c r="C506" s="1">
        <v>7</v>
      </c>
      <c r="D506" t="s">
        <v>28</v>
      </c>
      <c r="E506" t="s">
        <v>14</v>
      </c>
      <c r="F506" t="s">
        <v>22</v>
      </c>
      <c r="G506" t="s">
        <v>23</v>
      </c>
      <c r="H506" t="s">
        <v>24</v>
      </c>
      <c r="I506" s="3">
        <v>18547</v>
      </c>
      <c r="J506" s="3" t="str">
        <f t="shared" si="7"/>
        <v>High</v>
      </c>
      <c r="K506" t="b">
        <v>1</v>
      </c>
      <c r="L506" t="b">
        <v>0</v>
      </c>
      <c r="M506" t="b">
        <v>1</v>
      </c>
    </row>
    <row r="507" spans="1:13" x14ac:dyDescent="0.3">
      <c r="A507">
        <v>18</v>
      </c>
      <c r="B507" t="s">
        <v>25</v>
      </c>
      <c r="C507" s="1">
        <v>5</v>
      </c>
      <c r="D507" t="s">
        <v>28</v>
      </c>
      <c r="E507" t="s">
        <v>20</v>
      </c>
      <c r="F507" t="s">
        <v>15</v>
      </c>
      <c r="G507" t="s">
        <v>16</v>
      </c>
      <c r="H507" t="s">
        <v>17</v>
      </c>
      <c r="I507" s="3">
        <v>11563</v>
      </c>
      <c r="J507" s="3" t="str">
        <f t="shared" si="7"/>
        <v>Low</v>
      </c>
      <c r="K507" t="b">
        <v>0</v>
      </c>
      <c r="L507" t="b">
        <v>0</v>
      </c>
      <c r="M507" t="b">
        <v>0</v>
      </c>
    </row>
    <row r="508" spans="1:13" x14ac:dyDescent="0.3">
      <c r="A508">
        <v>50</v>
      </c>
      <c r="B508" t="s">
        <v>12</v>
      </c>
      <c r="C508" s="1">
        <v>8</v>
      </c>
      <c r="D508" t="s">
        <v>19</v>
      </c>
      <c r="E508" t="s">
        <v>14</v>
      </c>
      <c r="F508" t="s">
        <v>22</v>
      </c>
      <c r="G508" t="s">
        <v>23</v>
      </c>
      <c r="H508" t="s">
        <v>21</v>
      </c>
      <c r="I508" s="3">
        <v>11040</v>
      </c>
      <c r="J508" s="3" t="str">
        <f t="shared" si="7"/>
        <v>Low</v>
      </c>
      <c r="K508" t="b">
        <v>1</v>
      </c>
      <c r="L508" t="b">
        <v>1</v>
      </c>
      <c r="M508" t="b">
        <v>0</v>
      </c>
    </row>
    <row r="509" spans="1:13" x14ac:dyDescent="0.3">
      <c r="A509">
        <v>57</v>
      </c>
      <c r="B509" t="s">
        <v>18</v>
      </c>
      <c r="C509" s="1">
        <v>8</v>
      </c>
      <c r="D509" t="s">
        <v>19</v>
      </c>
      <c r="E509" t="s">
        <v>20</v>
      </c>
      <c r="F509" t="s">
        <v>15</v>
      </c>
      <c r="G509" t="s">
        <v>16</v>
      </c>
      <c r="H509" t="s">
        <v>24</v>
      </c>
      <c r="I509" s="3">
        <v>12686</v>
      </c>
      <c r="J509" s="3" t="str">
        <f t="shared" si="7"/>
        <v>Medium</v>
      </c>
      <c r="K509" t="b">
        <v>1</v>
      </c>
      <c r="L509" t="b">
        <v>1</v>
      </c>
      <c r="M509" t="b">
        <v>1</v>
      </c>
    </row>
    <row r="510" spans="1:13" x14ac:dyDescent="0.3">
      <c r="A510">
        <v>27</v>
      </c>
      <c r="B510" t="s">
        <v>25</v>
      </c>
      <c r="C510" s="1">
        <v>9</v>
      </c>
      <c r="D510" t="s">
        <v>13</v>
      </c>
      <c r="E510" t="s">
        <v>20</v>
      </c>
      <c r="F510" t="s">
        <v>27</v>
      </c>
      <c r="G510" t="s">
        <v>29</v>
      </c>
      <c r="H510" t="s">
        <v>17</v>
      </c>
      <c r="I510" s="3">
        <v>12553</v>
      </c>
      <c r="J510" s="3" t="str">
        <f t="shared" si="7"/>
        <v>Medium</v>
      </c>
      <c r="K510" t="b">
        <v>1</v>
      </c>
      <c r="L510" t="b">
        <v>1</v>
      </c>
      <c r="M510" t="b">
        <v>1</v>
      </c>
    </row>
    <row r="511" spans="1:13" x14ac:dyDescent="0.3">
      <c r="A511">
        <v>60</v>
      </c>
      <c r="B511" t="s">
        <v>25</v>
      </c>
      <c r="C511" s="1">
        <v>7</v>
      </c>
      <c r="D511" t="s">
        <v>28</v>
      </c>
      <c r="E511" t="s">
        <v>20</v>
      </c>
      <c r="F511" t="s">
        <v>22</v>
      </c>
      <c r="G511" t="s">
        <v>16</v>
      </c>
      <c r="H511" t="s">
        <v>21</v>
      </c>
      <c r="I511" s="3">
        <v>11779</v>
      </c>
      <c r="J511" s="3" t="str">
        <f t="shared" si="7"/>
        <v>Low</v>
      </c>
      <c r="K511" t="b">
        <v>0</v>
      </c>
      <c r="L511" t="b">
        <v>0</v>
      </c>
      <c r="M511" t="b">
        <v>0</v>
      </c>
    </row>
    <row r="512" spans="1:13" x14ac:dyDescent="0.3">
      <c r="A512">
        <v>61</v>
      </c>
      <c r="B512" t="s">
        <v>12</v>
      </c>
      <c r="C512" s="1">
        <v>1</v>
      </c>
      <c r="D512" t="s">
        <v>19</v>
      </c>
      <c r="E512" t="s">
        <v>20</v>
      </c>
      <c r="F512" t="s">
        <v>27</v>
      </c>
      <c r="G512" t="s">
        <v>29</v>
      </c>
      <c r="H512" t="s">
        <v>21</v>
      </c>
      <c r="I512" s="3">
        <v>10075</v>
      </c>
      <c r="J512" s="3" t="str">
        <f t="shared" si="7"/>
        <v>Low</v>
      </c>
      <c r="K512" t="b">
        <v>0</v>
      </c>
      <c r="L512" t="b">
        <v>1</v>
      </c>
      <c r="M512" t="b">
        <v>1</v>
      </c>
    </row>
    <row r="513" spans="1:13" x14ac:dyDescent="0.3">
      <c r="A513">
        <v>46</v>
      </c>
      <c r="B513" t="s">
        <v>18</v>
      </c>
      <c r="C513" s="1">
        <v>3</v>
      </c>
      <c r="D513" t="s">
        <v>19</v>
      </c>
      <c r="E513" t="s">
        <v>20</v>
      </c>
      <c r="F513" t="s">
        <v>15</v>
      </c>
      <c r="G513" t="s">
        <v>29</v>
      </c>
      <c r="H513" t="s">
        <v>21</v>
      </c>
      <c r="I513" s="3">
        <v>14326</v>
      </c>
      <c r="J513" s="3" t="str">
        <f t="shared" si="7"/>
        <v>Medium</v>
      </c>
      <c r="K513" t="b">
        <v>1</v>
      </c>
      <c r="L513" t="b">
        <v>0</v>
      </c>
      <c r="M513" t="b">
        <v>1</v>
      </c>
    </row>
    <row r="514" spans="1:13" x14ac:dyDescent="0.3">
      <c r="A514">
        <v>30</v>
      </c>
      <c r="B514" t="s">
        <v>25</v>
      </c>
      <c r="C514" s="1">
        <v>8</v>
      </c>
      <c r="D514" t="s">
        <v>19</v>
      </c>
      <c r="E514" t="s">
        <v>14</v>
      </c>
      <c r="F514" t="s">
        <v>15</v>
      </c>
      <c r="G514" t="s">
        <v>23</v>
      </c>
      <c r="H514" t="s">
        <v>24</v>
      </c>
      <c r="I514" s="3">
        <v>15835</v>
      </c>
      <c r="J514" s="3" t="str">
        <f t="shared" si="7"/>
        <v>High</v>
      </c>
      <c r="K514" t="b">
        <v>0</v>
      </c>
      <c r="L514" t="b">
        <v>1</v>
      </c>
      <c r="M514" t="b">
        <v>1</v>
      </c>
    </row>
    <row r="515" spans="1:13" x14ac:dyDescent="0.3">
      <c r="A515">
        <v>29</v>
      </c>
      <c r="B515" t="s">
        <v>12</v>
      </c>
      <c r="C515" s="1">
        <v>3</v>
      </c>
      <c r="D515" t="s">
        <v>19</v>
      </c>
      <c r="E515" t="s">
        <v>20</v>
      </c>
      <c r="F515" t="s">
        <v>15</v>
      </c>
      <c r="G515" t="s">
        <v>16</v>
      </c>
      <c r="H515" t="s">
        <v>24</v>
      </c>
      <c r="I515" s="3">
        <v>15057</v>
      </c>
      <c r="J515" s="3" t="str">
        <f t="shared" ref="J515:J578" si="8">IF(I515&gt;16000, "High", IF(I515&gt;=12000, IF(I515&lt;=15000, "Medium", "High"), "Low"))</f>
        <v>High</v>
      </c>
      <c r="K515" t="b">
        <v>0</v>
      </c>
      <c r="L515" t="b">
        <v>1</v>
      </c>
      <c r="M515" t="b">
        <v>0</v>
      </c>
    </row>
    <row r="516" spans="1:13" x14ac:dyDescent="0.3">
      <c r="A516">
        <v>48</v>
      </c>
      <c r="B516" t="s">
        <v>25</v>
      </c>
      <c r="C516" s="1">
        <v>8</v>
      </c>
      <c r="D516" t="s">
        <v>19</v>
      </c>
      <c r="E516" t="s">
        <v>14</v>
      </c>
      <c r="F516" t="s">
        <v>27</v>
      </c>
      <c r="G516" t="s">
        <v>23</v>
      </c>
      <c r="H516" t="s">
        <v>24</v>
      </c>
      <c r="I516" s="3">
        <v>12349</v>
      </c>
      <c r="J516" s="3" t="str">
        <f t="shared" si="8"/>
        <v>Medium</v>
      </c>
      <c r="K516" t="b">
        <v>0</v>
      </c>
      <c r="L516" t="b">
        <v>1</v>
      </c>
      <c r="M516" t="b">
        <v>0</v>
      </c>
    </row>
    <row r="517" spans="1:13" x14ac:dyDescent="0.3">
      <c r="A517">
        <v>63</v>
      </c>
      <c r="B517" t="s">
        <v>18</v>
      </c>
      <c r="C517" s="1">
        <v>1</v>
      </c>
      <c r="D517" t="s">
        <v>19</v>
      </c>
      <c r="E517" t="s">
        <v>20</v>
      </c>
      <c r="F517" t="s">
        <v>15</v>
      </c>
      <c r="G517" t="s">
        <v>16</v>
      </c>
      <c r="H517" t="s">
        <v>21</v>
      </c>
      <c r="I517" s="3">
        <v>12773</v>
      </c>
      <c r="J517" s="3" t="str">
        <f t="shared" si="8"/>
        <v>Medium</v>
      </c>
      <c r="K517" t="b">
        <v>1</v>
      </c>
      <c r="L517" t="b">
        <v>1</v>
      </c>
      <c r="M517" t="b">
        <v>1</v>
      </c>
    </row>
    <row r="518" spans="1:13" x14ac:dyDescent="0.3">
      <c r="A518">
        <v>19</v>
      </c>
      <c r="B518" t="s">
        <v>25</v>
      </c>
      <c r="C518" s="1">
        <v>5</v>
      </c>
      <c r="D518" t="s">
        <v>13</v>
      </c>
      <c r="E518" t="s">
        <v>26</v>
      </c>
      <c r="F518" t="s">
        <v>27</v>
      </c>
      <c r="G518" t="s">
        <v>29</v>
      </c>
      <c r="H518" t="s">
        <v>24</v>
      </c>
      <c r="I518" s="3">
        <v>12262</v>
      </c>
      <c r="J518" s="3" t="str">
        <f t="shared" si="8"/>
        <v>Medium</v>
      </c>
      <c r="K518" t="b">
        <v>0</v>
      </c>
      <c r="L518" t="b">
        <v>0</v>
      </c>
      <c r="M518" t="b">
        <v>0</v>
      </c>
    </row>
    <row r="519" spans="1:13" x14ac:dyDescent="0.3">
      <c r="A519">
        <v>52</v>
      </c>
      <c r="B519" t="s">
        <v>25</v>
      </c>
      <c r="C519" s="1">
        <v>4</v>
      </c>
      <c r="D519" t="s">
        <v>28</v>
      </c>
      <c r="E519" t="s">
        <v>20</v>
      </c>
      <c r="F519" t="s">
        <v>22</v>
      </c>
      <c r="G519" t="s">
        <v>29</v>
      </c>
      <c r="H519" t="s">
        <v>17</v>
      </c>
      <c r="I519" s="3">
        <v>13229</v>
      </c>
      <c r="J519" s="3" t="str">
        <f t="shared" si="8"/>
        <v>Medium</v>
      </c>
      <c r="K519" t="b">
        <v>0</v>
      </c>
      <c r="L519" t="b">
        <v>0</v>
      </c>
      <c r="M519" t="b">
        <v>1</v>
      </c>
    </row>
    <row r="520" spans="1:13" x14ac:dyDescent="0.3">
      <c r="A520">
        <v>40</v>
      </c>
      <c r="B520" t="s">
        <v>25</v>
      </c>
      <c r="C520" s="1">
        <v>5</v>
      </c>
      <c r="D520" t="s">
        <v>28</v>
      </c>
      <c r="E520" t="s">
        <v>26</v>
      </c>
      <c r="F520" t="s">
        <v>15</v>
      </c>
      <c r="G520" t="s">
        <v>16</v>
      </c>
      <c r="H520" t="s">
        <v>24</v>
      </c>
      <c r="I520" s="3">
        <v>10392</v>
      </c>
      <c r="J520" s="3" t="str">
        <f t="shared" si="8"/>
        <v>Low</v>
      </c>
      <c r="K520" t="b">
        <v>1</v>
      </c>
      <c r="L520" t="b">
        <v>0</v>
      </c>
      <c r="M520" t="b">
        <v>1</v>
      </c>
    </row>
    <row r="521" spans="1:13" x14ac:dyDescent="0.3">
      <c r="A521">
        <v>34</v>
      </c>
      <c r="B521" t="s">
        <v>25</v>
      </c>
      <c r="C521" s="1">
        <v>8</v>
      </c>
      <c r="D521" t="s">
        <v>19</v>
      </c>
      <c r="E521" t="s">
        <v>20</v>
      </c>
      <c r="F521" t="s">
        <v>15</v>
      </c>
      <c r="G521" t="s">
        <v>16</v>
      </c>
      <c r="H521" t="s">
        <v>24</v>
      </c>
      <c r="I521" s="3">
        <v>11108</v>
      </c>
      <c r="J521" s="3" t="str">
        <f t="shared" si="8"/>
        <v>Low</v>
      </c>
      <c r="K521" t="b">
        <v>0</v>
      </c>
      <c r="L521" t="b">
        <v>0</v>
      </c>
      <c r="M521" t="b">
        <v>1</v>
      </c>
    </row>
    <row r="522" spans="1:13" x14ac:dyDescent="0.3">
      <c r="A522">
        <v>43</v>
      </c>
      <c r="B522" t="s">
        <v>12</v>
      </c>
      <c r="C522" s="1">
        <v>4</v>
      </c>
      <c r="D522" t="s">
        <v>28</v>
      </c>
      <c r="E522" t="s">
        <v>20</v>
      </c>
      <c r="F522" t="s">
        <v>15</v>
      </c>
      <c r="G522" t="s">
        <v>23</v>
      </c>
      <c r="H522" t="s">
        <v>21</v>
      </c>
      <c r="I522" s="3">
        <v>14362</v>
      </c>
      <c r="J522" s="3" t="str">
        <f t="shared" si="8"/>
        <v>Medium</v>
      </c>
      <c r="K522" t="b">
        <v>1</v>
      </c>
      <c r="L522" t="b">
        <v>1</v>
      </c>
      <c r="M522" t="b">
        <v>1</v>
      </c>
    </row>
    <row r="523" spans="1:13" x14ac:dyDescent="0.3">
      <c r="A523">
        <v>25</v>
      </c>
      <c r="B523" t="s">
        <v>12</v>
      </c>
      <c r="C523" s="1">
        <v>4</v>
      </c>
      <c r="D523" t="s">
        <v>28</v>
      </c>
      <c r="E523" t="s">
        <v>20</v>
      </c>
      <c r="F523" t="s">
        <v>22</v>
      </c>
      <c r="G523" t="s">
        <v>16</v>
      </c>
      <c r="H523" t="s">
        <v>24</v>
      </c>
      <c r="I523" s="3">
        <v>15188</v>
      </c>
      <c r="J523" s="3" t="str">
        <f t="shared" si="8"/>
        <v>High</v>
      </c>
      <c r="K523" t="b">
        <v>0</v>
      </c>
      <c r="L523" t="b">
        <v>0</v>
      </c>
      <c r="M523" t="b">
        <v>1</v>
      </c>
    </row>
    <row r="524" spans="1:13" x14ac:dyDescent="0.3">
      <c r="A524">
        <v>46</v>
      </c>
      <c r="B524" t="s">
        <v>18</v>
      </c>
      <c r="C524" s="1">
        <v>3</v>
      </c>
      <c r="D524" t="s">
        <v>28</v>
      </c>
      <c r="E524" t="s">
        <v>26</v>
      </c>
      <c r="F524" t="s">
        <v>15</v>
      </c>
      <c r="G524" t="s">
        <v>16</v>
      </c>
      <c r="H524" t="s">
        <v>17</v>
      </c>
      <c r="I524" s="3">
        <v>18802</v>
      </c>
      <c r="J524" s="3" t="str">
        <f t="shared" si="8"/>
        <v>High</v>
      </c>
      <c r="K524" t="b">
        <v>0</v>
      </c>
      <c r="L524" t="b">
        <v>0</v>
      </c>
      <c r="M524" t="b">
        <v>0</v>
      </c>
    </row>
    <row r="525" spans="1:13" x14ac:dyDescent="0.3">
      <c r="A525">
        <v>43</v>
      </c>
      <c r="B525" t="s">
        <v>12</v>
      </c>
      <c r="C525" s="1">
        <v>7</v>
      </c>
      <c r="D525" t="s">
        <v>19</v>
      </c>
      <c r="E525" t="s">
        <v>26</v>
      </c>
      <c r="F525" t="s">
        <v>27</v>
      </c>
      <c r="G525" t="s">
        <v>16</v>
      </c>
      <c r="H525" t="s">
        <v>21</v>
      </c>
      <c r="I525" s="3">
        <v>15057</v>
      </c>
      <c r="J525" s="3" t="str">
        <f t="shared" si="8"/>
        <v>High</v>
      </c>
      <c r="K525" t="b">
        <v>0</v>
      </c>
      <c r="L525" t="b">
        <v>0</v>
      </c>
      <c r="M525" t="b">
        <v>0</v>
      </c>
    </row>
    <row r="526" spans="1:13" x14ac:dyDescent="0.3">
      <c r="A526">
        <v>27</v>
      </c>
      <c r="B526" t="s">
        <v>12</v>
      </c>
      <c r="C526" s="1">
        <v>3</v>
      </c>
      <c r="D526" t="s">
        <v>19</v>
      </c>
      <c r="E526" t="s">
        <v>20</v>
      </c>
      <c r="F526" t="s">
        <v>27</v>
      </c>
      <c r="G526" t="s">
        <v>23</v>
      </c>
      <c r="H526" t="s">
        <v>17</v>
      </c>
      <c r="I526" s="3">
        <v>13998</v>
      </c>
      <c r="J526" s="3" t="str">
        <f t="shared" si="8"/>
        <v>Medium</v>
      </c>
      <c r="K526" t="b">
        <v>0</v>
      </c>
      <c r="L526" t="b">
        <v>1</v>
      </c>
      <c r="M526" t="b">
        <v>0</v>
      </c>
    </row>
    <row r="527" spans="1:13" x14ac:dyDescent="0.3">
      <c r="A527">
        <v>43</v>
      </c>
      <c r="B527" t="s">
        <v>18</v>
      </c>
      <c r="C527" s="1">
        <v>3</v>
      </c>
      <c r="D527" t="s">
        <v>28</v>
      </c>
      <c r="E527" t="s">
        <v>14</v>
      </c>
      <c r="F527" t="s">
        <v>15</v>
      </c>
      <c r="G527" t="s">
        <v>16</v>
      </c>
      <c r="H527" t="s">
        <v>21</v>
      </c>
      <c r="I527" s="3">
        <v>18864</v>
      </c>
      <c r="J527" s="3" t="str">
        <f t="shared" si="8"/>
        <v>High</v>
      </c>
      <c r="K527" t="b">
        <v>0</v>
      </c>
      <c r="L527" t="b">
        <v>0</v>
      </c>
      <c r="M527" t="b">
        <v>0</v>
      </c>
    </row>
    <row r="528" spans="1:13" x14ac:dyDescent="0.3">
      <c r="A528">
        <v>51</v>
      </c>
      <c r="B528" t="s">
        <v>12</v>
      </c>
      <c r="C528" s="1">
        <v>5</v>
      </c>
      <c r="D528" t="s">
        <v>28</v>
      </c>
      <c r="E528" t="s">
        <v>20</v>
      </c>
      <c r="F528" t="s">
        <v>15</v>
      </c>
      <c r="G528" t="s">
        <v>29</v>
      </c>
      <c r="H528" t="s">
        <v>21</v>
      </c>
      <c r="I528" s="3">
        <v>16566</v>
      </c>
      <c r="J528" s="3" t="str">
        <f t="shared" si="8"/>
        <v>High</v>
      </c>
      <c r="K528" t="b">
        <v>0</v>
      </c>
      <c r="L528" t="b">
        <v>0</v>
      </c>
      <c r="M528" t="b">
        <v>1</v>
      </c>
    </row>
    <row r="529" spans="1:13" x14ac:dyDescent="0.3">
      <c r="A529">
        <v>58</v>
      </c>
      <c r="B529" t="s">
        <v>12</v>
      </c>
      <c r="C529" s="1">
        <v>5</v>
      </c>
      <c r="D529" t="s">
        <v>19</v>
      </c>
      <c r="E529" t="s">
        <v>26</v>
      </c>
      <c r="F529" t="s">
        <v>22</v>
      </c>
      <c r="G529" t="s">
        <v>23</v>
      </c>
      <c r="H529" t="s">
        <v>24</v>
      </c>
      <c r="I529" s="3">
        <v>13677</v>
      </c>
      <c r="J529" s="3" t="str">
        <f t="shared" si="8"/>
        <v>Medium</v>
      </c>
      <c r="K529" t="b">
        <v>1</v>
      </c>
      <c r="L529" t="b">
        <v>1</v>
      </c>
      <c r="M529" t="b">
        <v>1</v>
      </c>
    </row>
    <row r="530" spans="1:13" x14ac:dyDescent="0.3">
      <c r="A530">
        <v>24</v>
      </c>
      <c r="B530" t="s">
        <v>18</v>
      </c>
      <c r="C530" s="1">
        <v>6</v>
      </c>
      <c r="D530" t="s">
        <v>13</v>
      </c>
      <c r="E530" t="s">
        <v>20</v>
      </c>
      <c r="F530" t="s">
        <v>22</v>
      </c>
      <c r="G530" t="s">
        <v>23</v>
      </c>
      <c r="H530" t="s">
        <v>17</v>
      </c>
      <c r="I530" s="3">
        <v>15796</v>
      </c>
      <c r="J530" s="3" t="str">
        <f t="shared" si="8"/>
        <v>High</v>
      </c>
      <c r="K530" t="b">
        <v>0</v>
      </c>
      <c r="L530" t="b">
        <v>1</v>
      </c>
      <c r="M530" t="b">
        <v>0</v>
      </c>
    </row>
    <row r="531" spans="1:13" x14ac:dyDescent="0.3">
      <c r="A531">
        <v>21</v>
      </c>
      <c r="B531" t="s">
        <v>18</v>
      </c>
      <c r="C531" s="1">
        <v>8</v>
      </c>
      <c r="D531" t="s">
        <v>28</v>
      </c>
      <c r="E531" t="s">
        <v>26</v>
      </c>
      <c r="F531" t="s">
        <v>22</v>
      </c>
      <c r="G531" t="s">
        <v>29</v>
      </c>
      <c r="H531" t="s">
        <v>21</v>
      </c>
      <c r="I531" s="3">
        <v>16363</v>
      </c>
      <c r="J531" s="3" t="str">
        <f t="shared" si="8"/>
        <v>High</v>
      </c>
      <c r="K531" t="b">
        <v>0</v>
      </c>
      <c r="L531" t="b">
        <v>0</v>
      </c>
      <c r="M531" t="b">
        <v>0</v>
      </c>
    </row>
    <row r="532" spans="1:13" x14ac:dyDescent="0.3">
      <c r="A532">
        <v>62</v>
      </c>
      <c r="B532" t="s">
        <v>18</v>
      </c>
      <c r="C532" s="1">
        <v>6</v>
      </c>
      <c r="D532" t="s">
        <v>13</v>
      </c>
      <c r="E532" t="s">
        <v>26</v>
      </c>
      <c r="F532" t="s">
        <v>15</v>
      </c>
      <c r="G532" t="s">
        <v>29</v>
      </c>
      <c r="H532" t="s">
        <v>24</v>
      </c>
      <c r="I532" s="3">
        <v>18123</v>
      </c>
      <c r="J532" s="3" t="str">
        <f t="shared" si="8"/>
        <v>High</v>
      </c>
      <c r="K532" t="b">
        <v>0</v>
      </c>
      <c r="L532" t="b">
        <v>0</v>
      </c>
      <c r="M532" t="b">
        <v>1</v>
      </c>
    </row>
    <row r="533" spans="1:13" x14ac:dyDescent="0.3">
      <c r="A533">
        <v>28</v>
      </c>
      <c r="B533" t="s">
        <v>25</v>
      </c>
      <c r="C533" s="1">
        <v>1</v>
      </c>
      <c r="D533" t="s">
        <v>28</v>
      </c>
      <c r="E533" t="s">
        <v>26</v>
      </c>
      <c r="F533" t="s">
        <v>22</v>
      </c>
      <c r="G533" t="s">
        <v>29</v>
      </c>
      <c r="H533" t="s">
        <v>21</v>
      </c>
      <c r="I533" s="3">
        <v>18222</v>
      </c>
      <c r="J533" s="3" t="str">
        <f t="shared" si="8"/>
        <v>High</v>
      </c>
      <c r="K533" t="b">
        <v>1</v>
      </c>
      <c r="L533" t="b">
        <v>1</v>
      </c>
      <c r="M533" t="b">
        <v>1</v>
      </c>
    </row>
    <row r="534" spans="1:13" x14ac:dyDescent="0.3">
      <c r="A534">
        <v>46</v>
      </c>
      <c r="B534" t="s">
        <v>25</v>
      </c>
      <c r="C534" s="1">
        <v>8</v>
      </c>
      <c r="D534" t="s">
        <v>13</v>
      </c>
      <c r="E534" t="s">
        <v>20</v>
      </c>
      <c r="F534" t="s">
        <v>22</v>
      </c>
      <c r="G534" t="s">
        <v>16</v>
      </c>
      <c r="H534" t="s">
        <v>21</v>
      </c>
      <c r="I534" s="3">
        <v>17690</v>
      </c>
      <c r="J534" s="3" t="str">
        <f t="shared" si="8"/>
        <v>High</v>
      </c>
      <c r="K534" t="b">
        <v>1</v>
      </c>
      <c r="L534" t="b">
        <v>0</v>
      </c>
      <c r="M534" t="b">
        <v>1</v>
      </c>
    </row>
    <row r="535" spans="1:13" x14ac:dyDescent="0.3">
      <c r="A535">
        <v>53</v>
      </c>
      <c r="B535" t="s">
        <v>18</v>
      </c>
      <c r="C535" s="1">
        <v>8</v>
      </c>
      <c r="D535" t="s">
        <v>13</v>
      </c>
      <c r="E535" t="s">
        <v>26</v>
      </c>
      <c r="F535" t="s">
        <v>27</v>
      </c>
      <c r="G535" t="s">
        <v>29</v>
      </c>
      <c r="H535" t="s">
        <v>21</v>
      </c>
      <c r="I535" s="3">
        <v>11400</v>
      </c>
      <c r="J535" s="3" t="str">
        <f t="shared" si="8"/>
        <v>Low</v>
      </c>
      <c r="K535" t="b">
        <v>1</v>
      </c>
      <c r="L535" t="b">
        <v>1</v>
      </c>
      <c r="M535" t="b">
        <v>0</v>
      </c>
    </row>
    <row r="536" spans="1:13" x14ac:dyDescent="0.3">
      <c r="A536">
        <v>42</v>
      </c>
      <c r="B536" t="s">
        <v>18</v>
      </c>
      <c r="C536" s="1">
        <v>9</v>
      </c>
      <c r="D536" t="s">
        <v>13</v>
      </c>
      <c r="E536" t="s">
        <v>26</v>
      </c>
      <c r="F536" t="s">
        <v>22</v>
      </c>
      <c r="G536" t="s">
        <v>16</v>
      </c>
      <c r="H536" t="s">
        <v>21</v>
      </c>
      <c r="I536" s="3">
        <v>14071</v>
      </c>
      <c r="J536" s="3" t="str">
        <f t="shared" si="8"/>
        <v>Medium</v>
      </c>
      <c r="K536" t="b">
        <v>0</v>
      </c>
      <c r="L536" t="b">
        <v>0</v>
      </c>
      <c r="M536" t="b">
        <v>1</v>
      </c>
    </row>
    <row r="537" spans="1:13" x14ac:dyDescent="0.3">
      <c r="A537">
        <v>38</v>
      </c>
      <c r="B537" t="s">
        <v>18</v>
      </c>
      <c r="C537" s="1">
        <v>9</v>
      </c>
      <c r="D537" t="s">
        <v>19</v>
      </c>
      <c r="E537" t="s">
        <v>20</v>
      </c>
      <c r="F537" t="s">
        <v>27</v>
      </c>
      <c r="G537" t="s">
        <v>23</v>
      </c>
      <c r="H537" t="s">
        <v>21</v>
      </c>
      <c r="I537" s="3">
        <v>18808</v>
      </c>
      <c r="J537" s="3" t="str">
        <f t="shared" si="8"/>
        <v>High</v>
      </c>
      <c r="K537" t="b">
        <v>0</v>
      </c>
      <c r="L537" t="b">
        <v>0</v>
      </c>
      <c r="M537" t="b">
        <v>1</v>
      </c>
    </row>
    <row r="538" spans="1:13" x14ac:dyDescent="0.3">
      <c r="A538">
        <v>53</v>
      </c>
      <c r="B538" t="s">
        <v>25</v>
      </c>
      <c r="C538" s="1">
        <v>2</v>
      </c>
      <c r="D538" t="s">
        <v>13</v>
      </c>
      <c r="E538" t="s">
        <v>26</v>
      </c>
      <c r="F538" t="s">
        <v>27</v>
      </c>
      <c r="G538" t="s">
        <v>23</v>
      </c>
      <c r="H538" t="s">
        <v>21</v>
      </c>
      <c r="I538" s="3">
        <v>12786</v>
      </c>
      <c r="J538" s="3" t="str">
        <f t="shared" si="8"/>
        <v>Medium</v>
      </c>
      <c r="K538" t="b">
        <v>1</v>
      </c>
      <c r="L538" t="b">
        <v>0</v>
      </c>
      <c r="M538" t="b">
        <v>0</v>
      </c>
    </row>
    <row r="539" spans="1:13" x14ac:dyDescent="0.3">
      <c r="A539">
        <v>27</v>
      </c>
      <c r="B539" t="s">
        <v>25</v>
      </c>
      <c r="C539" s="1">
        <v>2</v>
      </c>
      <c r="D539" t="s">
        <v>13</v>
      </c>
      <c r="E539" t="s">
        <v>20</v>
      </c>
      <c r="F539" t="s">
        <v>22</v>
      </c>
      <c r="G539" t="s">
        <v>29</v>
      </c>
      <c r="H539" t="s">
        <v>24</v>
      </c>
      <c r="I539" s="3">
        <v>17169</v>
      </c>
      <c r="J539" s="3" t="str">
        <f t="shared" si="8"/>
        <v>High</v>
      </c>
      <c r="K539" t="b">
        <v>1</v>
      </c>
      <c r="L539" t="b">
        <v>0</v>
      </c>
      <c r="M539" t="b">
        <v>0</v>
      </c>
    </row>
    <row r="540" spans="1:13" x14ac:dyDescent="0.3">
      <c r="A540">
        <v>54</v>
      </c>
      <c r="B540" t="s">
        <v>12</v>
      </c>
      <c r="C540" s="1">
        <v>3</v>
      </c>
      <c r="D540" t="s">
        <v>13</v>
      </c>
      <c r="E540" t="s">
        <v>26</v>
      </c>
      <c r="F540" t="s">
        <v>27</v>
      </c>
      <c r="G540" t="s">
        <v>16</v>
      </c>
      <c r="H540" t="s">
        <v>21</v>
      </c>
      <c r="I540" s="3">
        <v>10870</v>
      </c>
      <c r="J540" s="3" t="str">
        <f t="shared" si="8"/>
        <v>Low</v>
      </c>
      <c r="K540" t="b">
        <v>1</v>
      </c>
      <c r="L540" t="b">
        <v>0</v>
      </c>
      <c r="M540" t="b">
        <v>0</v>
      </c>
    </row>
    <row r="541" spans="1:13" x14ac:dyDescent="0.3">
      <c r="A541">
        <v>26</v>
      </c>
      <c r="B541" t="s">
        <v>12</v>
      </c>
      <c r="C541" s="1">
        <v>1</v>
      </c>
      <c r="D541" t="s">
        <v>28</v>
      </c>
      <c r="E541" t="s">
        <v>14</v>
      </c>
      <c r="F541" t="s">
        <v>15</v>
      </c>
      <c r="G541" t="s">
        <v>29</v>
      </c>
      <c r="H541" t="s">
        <v>17</v>
      </c>
      <c r="I541" s="3">
        <v>14196</v>
      </c>
      <c r="J541" s="3" t="str">
        <f t="shared" si="8"/>
        <v>Medium</v>
      </c>
      <c r="K541" t="b">
        <v>0</v>
      </c>
      <c r="L541" t="b">
        <v>1</v>
      </c>
      <c r="M541" t="b">
        <v>1</v>
      </c>
    </row>
    <row r="542" spans="1:13" x14ac:dyDescent="0.3">
      <c r="A542">
        <v>41</v>
      </c>
      <c r="B542" t="s">
        <v>18</v>
      </c>
      <c r="C542" s="1">
        <v>4</v>
      </c>
      <c r="D542" t="s">
        <v>13</v>
      </c>
      <c r="E542" t="s">
        <v>14</v>
      </c>
      <c r="F542" t="s">
        <v>15</v>
      </c>
      <c r="G542" t="s">
        <v>29</v>
      </c>
      <c r="H542" t="s">
        <v>24</v>
      </c>
      <c r="I542" s="3">
        <v>19604</v>
      </c>
      <c r="J542" s="3" t="str">
        <f t="shared" si="8"/>
        <v>High</v>
      </c>
      <c r="K542" t="b">
        <v>1</v>
      </c>
      <c r="L542" t="b">
        <v>1</v>
      </c>
      <c r="M542" t="b">
        <v>1</v>
      </c>
    </row>
    <row r="543" spans="1:13" x14ac:dyDescent="0.3">
      <c r="A543">
        <v>52</v>
      </c>
      <c r="B543" t="s">
        <v>25</v>
      </c>
      <c r="C543" s="1">
        <v>4</v>
      </c>
      <c r="D543" t="s">
        <v>28</v>
      </c>
      <c r="E543" t="s">
        <v>26</v>
      </c>
      <c r="F543" t="s">
        <v>22</v>
      </c>
      <c r="G543" t="s">
        <v>16</v>
      </c>
      <c r="H543" t="s">
        <v>17</v>
      </c>
      <c r="I543" s="3">
        <v>12739</v>
      </c>
      <c r="J543" s="3" t="str">
        <f t="shared" si="8"/>
        <v>Medium</v>
      </c>
      <c r="K543" t="b">
        <v>0</v>
      </c>
      <c r="L543" t="b">
        <v>0</v>
      </c>
      <c r="M543" t="b">
        <v>0</v>
      </c>
    </row>
    <row r="544" spans="1:13" x14ac:dyDescent="0.3">
      <c r="A544">
        <v>52</v>
      </c>
      <c r="B544" t="s">
        <v>25</v>
      </c>
      <c r="C544" s="1">
        <v>9</v>
      </c>
      <c r="D544" t="s">
        <v>13</v>
      </c>
      <c r="E544" t="s">
        <v>14</v>
      </c>
      <c r="F544" t="s">
        <v>15</v>
      </c>
      <c r="G544" t="s">
        <v>29</v>
      </c>
      <c r="H544" t="s">
        <v>21</v>
      </c>
      <c r="I544" s="3">
        <v>10940</v>
      </c>
      <c r="J544" s="3" t="str">
        <f t="shared" si="8"/>
        <v>Low</v>
      </c>
      <c r="K544" t="b">
        <v>0</v>
      </c>
      <c r="L544" t="b">
        <v>0</v>
      </c>
      <c r="M544" t="b">
        <v>1</v>
      </c>
    </row>
    <row r="545" spans="1:13" x14ac:dyDescent="0.3">
      <c r="A545">
        <v>53</v>
      </c>
      <c r="B545" t="s">
        <v>25</v>
      </c>
      <c r="C545" s="1">
        <v>9</v>
      </c>
      <c r="D545" t="s">
        <v>13</v>
      </c>
      <c r="E545" t="s">
        <v>20</v>
      </c>
      <c r="F545" t="s">
        <v>27</v>
      </c>
      <c r="G545" t="s">
        <v>23</v>
      </c>
      <c r="H545" t="s">
        <v>17</v>
      </c>
      <c r="I545" s="3">
        <v>10340</v>
      </c>
      <c r="J545" s="3" t="str">
        <f t="shared" si="8"/>
        <v>Low</v>
      </c>
      <c r="K545" t="b">
        <v>0</v>
      </c>
      <c r="L545" t="b">
        <v>0</v>
      </c>
      <c r="M545" t="b">
        <v>1</v>
      </c>
    </row>
    <row r="546" spans="1:13" x14ac:dyDescent="0.3">
      <c r="A546">
        <v>35</v>
      </c>
      <c r="B546" t="s">
        <v>18</v>
      </c>
      <c r="C546" s="1">
        <v>9</v>
      </c>
      <c r="D546" t="s">
        <v>19</v>
      </c>
      <c r="E546" t="s">
        <v>14</v>
      </c>
      <c r="F546" t="s">
        <v>15</v>
      </c>
      <c r="G546" t="s">
        <v>29</v>
      </c>
      <c r="H546" t="s">
        <v>21</v>
      </c>
      <c r="I546" s="3">
        <v>17422</v>
      </c>
      <c r="J546" s="3" t="str">
        <f t="shared" si="8"/>
        <v>High</v>
      </c>
      <c r="K546" t="b">
        <v>1</v>
      </c>
      <c r="L546" t="b">
        <v>1</v>
      </c>
      <c r="M546" t="b">
        <v>1</v>
      </c>
    </row>
    <row r="547" spans="1:13" x14ac:dyDescent="0.3">
      <c r="A547">
        <v>56</v>
      </c>
      <c r="B547" t="s">
        <v>12</v>
      </c>
      <c r="C547" s="1">
        <v>7</v>
      </c>
      <c r="D547" t="s">
        <v>28</v>
      </c>
      <c r="E547" t="s">
        <v>26</v>
      </c>
      <c r="F547" t="s">
        <v>22</v>
      </c>
      <c r="G547" t="s">
        <v>16</v>
      </c>
      <c r="H547" t="s">
        <v>21</v>
      </c>
      <c r="I547" s="3">
        <v>14133</v>
      </c>
      <c r="J547" s="3" t="str">
        <f t="shared" si="8"/>
        <v>Medium</v>
      </c>
      <c r="K547" t="b">
        <v>0</v>
      </c>
      <c r="L547" t="b">
        <v>1</v>
      </c>
      <c r="M547" t="b">
        <v>0</v>
      </c>
    </row>
    <row r="548" spans="1:13" x14ac:dyDescent="0.3">
      <c r="A548">
        <v>49</v>
      </c>
      <c r="B548" t="s">
        <v>18</v>
      </c>
      <c r="C548" s="1">
        <v>2</v>
      </c>
      <c r="D548" t="s">
        <v>13</v>
      </c>
      <c r="E548" t="s">
        <v>26</v>
      </c>
      <c r="F548" t="s">
        <v>22</v>
      </c>
      <c r="G548" t="s">
        <v>16</v>
      </c>
      <c r="H548" t="s">
        <v>24</v>
      </c>
      <c r="I548" s="3">
        <v>10659</v>
      </c>
      <c r="J548" s="3" t="str">
        <f t="shared" si="8"/>
        <v>Low</v>
      </c>
      <c r="K548" t="b">
        <v>1</v>
      </c>
      <c r="L548" t="b">
        <v>1</v>
      </c>
      <c r="M548" t="b">
        <v>0</v>
      </c>
    </row>
    <row r="549" spans="1:13" x14ac:dyDescent="0.3">
      <c r="A549">
        <v>41</v>
      </c>
      <c r="B549" t="s">
        <v>12</v>
      </c>
      <c r="C549" s="1">
        <v>5</v>
      </c>
      <c r="D549" t="s">
        <v>28</v>
      </c>
      <c r="E549" t="s">
        <v>20</v>
      </c>
      <c r="F549" t="s">
        <v>27</v>
      </c>
      <c r="G549" t="s">
        <v>23</v>
      </c>
      <c r="H549" t="s">
        <v>24</v>
      </c>
      <c r="I549" s="3">
        <v>19752</v>
      </c>
      <c r="J549" s="3" t="str">
        <f t="shared" si="8"/>
        <v>High</v>
      </c>
      <c r="K549" t="b">
        <v>1</v>
      </c>
      <c r="L549" t="b">
        <v>1</v>
      </c>
      <c r="M549" t="b">
        <v>1</v>
      </c>
    </row>
    <row r="550" spans="1:13" x14ac:dyDescent="0.3">
      <c r="A550">
        <v>40</v>
      </c>
      <c r="B550" t="s">
        <v>12</v>
      </c>
      <c r="C550" s="1">
        <v>4</v>
      </c>
      <c r="D550" t="s">
        <v>28</v>
      </c>
      <c r="E550" t="s">
        <v>26</v>
      </c>
      <c r="F550" t="s">
        <v>22</v>
      </c>
      <c r="G550" t="s">
        <v>16</v>
      </c>
      <c r="H550" t="s">
        <v>21</v>
      </c>
      <c r="I550" s="3">
        <v>13457</v>
      </c>
      <c r="J550" s="3" t="str">
        <f t="shared" si="8"/>
        <v>Medium</v>
      </c>
      <c r="K550" t="b">
        <v>1</v>
      </c>
      <c r="L550" t="b">
        <v>1</v>
      </c>
      <c r="M550" t="b">
        <v>1</v>
      </c>
    </row>
    <row r="551" spans="1:13" x14ac:dyDescent="0.3">
      <c r="A551">
        <v>49</v>
      </c>
      <c r="B551" t="s">
        <v>18</v>
      </c>
      <c r="C551" s="1">
        <v>8</v>
      </c>
      <c r="D551" t="s">
        <v>19</v>
      </c>
      <c r="E551" t="s">
        <v>20</v>
      </c>
      <c r="F551" t="s">
        <v>15</v>
      </c>
      <c r="G551" t="s">
        <v>16</v>
      </c>
      <c r="H551" t="s">
        <v>24</v>
      </c>
      <c r="I551" s="3">
        <v>19848</v>
      </c>
      <c r="J551" s="3" t="str">
        <f t="shared" si="8"/>
        <v>High</v>
      </c>
      <c r="K551" t="b">
        <v>1</v>
      </c>
      <c r="L551" t="b">
        <v>1</v>
      </c>
      <c r="M551" t="b">
        <v>1</v>
      </c>
    </row>
    <row r="552" spans="1:13" x14ac:dyDescent="0.3">
      <c r="A552">
        <v>54</v>
      </c>
      <c r="B552" t="s">
        <v>12</v>
      </c>
      <c r="C552" s="1">
        <v>2</v>
      </c>
      <c r="D552" t="s">
        <v>19</v>
      </c>
      <c r="E552" t="s">
        <v>14</v>
      </c>
      <c r="F552" t="s">
        <v>22</v>
      </c>
      <c r="G552" t="s">
        <v>23</v>
      </c>
      <c r="H552" t="s">
        <v>17</v>
      </c>
      <c r="I552" s="3">
        <v>12975</v>
      </c>
      <c r="J552" s="3" t="str">
        <f t="shared" si="8"/>
        <v>Medium</v>
      </c>
      <c r="K552" t="b">
        <v>0</v>
      </c>
      <c r="L552" t="b">
        <v>1</v>
      </c>
      <c r="M552" t="b">
        <v>1</v>
      </c>
    </row>
    <row r="553" spans="1:13" x14ac:dyDescent="0.3">
      <c r="A553">
        <v>29</v>
      </c>
      <c r="B553" t="s">
        <v>12</v>
      </c>
      <c r="C553" s="1">
        <v>6</v>
      </c>
      <c r="D553" t="s">
        <v>19</v>
      </c>
      <c r="E553" t="s">
        <v>14</v>
      </c>
      <c r="F553" t="s">
        <v>27</v>
      </c>
      <c r="G553" t="s">
        <v>29</v>
      </c>
      <c r="H553" t="s">
        <v>24</v>
      </c>
      <c r="I553" s="3">
        <v>19241</v>
      </c>
      <c r="J553" s="3" t="str">
        <f t="shared" si="8"/>
        <v>High</v>
      </c>
      <c r="K553" t="b">
        <v>0</v>
      </c>
      <c r="L553" t="b">
        <v>1</v>
      </c>
      <c r="M553" t="b">
        <v>0</v>
      </c>
    </row>
    <row r="554" spans="1:13" x14ac:dyDescent="0.3">
      <c r="A554">
        <v>30</v>
      </c>
      <c r="B554" t="s">
        <v>25</v>
      </c>
      <c r="C554" s="1">
        <v>5</v>
      </c>
      <c r="D554" t="s">
        <v>19</v>
      </c>
      <c r="E554" t="s">
        <v>20</v>
      </c>
      <c r="F554" t="s">
        <v>22</v>
      </c>
      <c r="G554" t="s">
        <v>23</v>
      </c>
      <c r="H554" t="s">
        <v>24</v>
      </c>
      <c r="I554" s="3">
        <v>10453</v>
      </c>
      <c r="J554" s="3" t="str">
        <f t="shared" si="8"/>
        <v>Low</v>
      </c>
      <c r="K554" t="b">
        <v>0</v>
      </c>
      <c r="L554" t="b">
        <v>0</v>
      </c>
      <c r="M554" t="b">
        <v>0</v>
      </c>
    </row>
    <row r="555" spans="1:13" x14ac:dyDescent="0.3">
      <c r="A555">
        <v>40</v>
      </c>
      <c r="B555" t="s">
        <v>12</v>
      </c>
      <c r="C555" s="1">
        <v>2</v>
      </c>
      <c r="D555" t="s">
        <v>19</v>
      </c>
      <c r="E555" t="s">
        <v>20</v>
      </c>
      <c r="F555" t="s">
        <v>15</v>
      </c>
      <c r="G555" t="s">
        <v>29</v>
      </c>
      <c r="H555" t="s">
        <v>17</v>
      </c>
      <c r="I555" s="3">
        <v>19896</v>
      </c>
      <c r="J555" s="3" t="str">
        <f t="shared" si="8"/>
        <v>High</v>
      </c>
      <c r="K555" t="b">
        <v>0</v>
      </c>
      <c r="L555" t="b">
        <v>1</v>
      </c>
      <c r="M555" t="b">
        <v>1</v>
      </c>
    </row>
    <row r="556" spans="1:13" x14ac:dyDescent="0.3">
      <c r="A556">
        <v>42</v>
      </c>
      <c r="B556" t="s">
        <v>18</v>
      </c>
      <c r="C556" s="1">
        <v>1</v>
      </c>
      <c r="D556" t="s">
        <v>19</v>
      </c>
      <c r="E556" t="s">
        <v>26</v>
      </c>
      <c r="F556" t="s">
        <v>27</v>
      </c>
      <c r="G556" t="s">
        <v>23</v>
      </c>
      <c r="H556" t="s">
        <v>24</v>
      </c>
      <c r="I556" s="3">
        <v>18184</v>
      </c>
      <c r="J556" s="3" t="str">
        <f t="shared" si="8"/>
        <v>High</v>
      </c>
      <c r="K556" t="b">
        <v>1</v>
      </c>
      <c r="L556" t="b">
        <v>1</v>
      </c>
      <c r="M556" t="b">
        <v>1</v>
      </c>
    </row>
    <row r="557" spans="1:13" x14ac:dyDescent="0.3">
      <c r="A557">
        <v>52</v>
      </c>
      <c r="B557" t="s">
        <v>18</v>
      </c>
      <c r="C557" s="1">
        <v>8</v>
      </c>
      <c r="D557" t="s">
        <v>19</v>
      </c>
      <c r="E557" t="s">
        <v>14</v>
      </c>
      <c r="F557" t="s">
        <v>15</v>
      </c>
      <c r="G557" t="s">
        <v>29</v>
      </c>
      <c r="H557" t="s">
        <v>21</v>
      </c>
      <c r="I557" s="3">
        <v>15442</v>
      </c>
      <c r="J557" s="3" t="str">
        <f t="shared" si="8"/>
        <v>High</v>
      </c>
      <c r="K557" t="b">
        <v>1</v>
      </c>
      <c r="L557" t="b">
        <v>1</v>
      </c>
      <c r="M557" t="b">
        <v>0</v>
      </c>
    </row>
    <row r="558" spans="1:13" x14ac:dyDescent="0.3">
      <c r="A558">
        <v>58</v>
      </c>
      <c r="B558" t="s">
        <v>12</v>
      </c>
      <c r="C558" s="1">
        <v>2</v>
      </c>
      <c r="D558" t="s">
        <v>19</v>
      </c>
      <c r="E558" t="s">
        <v>20</v>
      </c>
      <c r="F558" t="s">
        <v>27</v>
      </c>
      <c r="G558" t="s">
        <v>23</v>
      </c>
      <c r="H558" t="s">
        <v>17</v>
      </c>
      <c r="I558" s="3">
        <v>10818</v>
      </c>
      <c r="J558" s="3" t="str">
        <f t="shared" si="8"/>
        <v>Low</v>
      </c>
      <c r="K558" t="b">
        <v>1</v>
      </c>
      <c r="L558" t="b">
        <v>1</v>
      </c>
      <c r="M558" t="b">
        <v>1</v>
      </c>
    </row>
    <row r="559" spans="1:13" x14ac:dyDescent="0.3">
      <c r="A559">
        <v>47</v>
      </c>
      <c r="B559" t="s">
        <v>25</v>
      </c>
      <c r="C559" s="1">
        <v>7</v>
      </c>
      <c r="D559" t="s">
        <v>13</v>
      </c>
      <c r="E559" t="s">
        <v>14</v>
      </c>
      <c r="F559" t="s">
        <v>22</v>
      </c>
      <c r="G559" t="s">
        <v>29</v>
      </c>
      <c r="H559" t="s">
        <v>21</v>
      </c>
      <c r="I559" s="3">
        <v>14868</v>
      </c>
      <c r="J559" s="3" t="str">
        <f t="shared" si="8"/>
        <v>Medium</v>
      </c>
      <c r="K559" t="b">
        <v>1</v>
      </c>
      <c r="L559" t="b">
        <v>0</v>
      </c>
      <c r="M559" t="b">
        <v>0</v>
      </c>
    </row>
    <row r="560" spans="1:13" x14ac:dyDescent="0.3">
      <c r="A560">
        <v>34</v>
      </c>
      <c r="B560" t="s">
        <v>25</v>
      </c>
      <c r="C560" s="1">
        <v>9</v>
      </c>
      <c r="D560" t="s">
        <v>28</v>
      </c>
      <c r="E560" t="s">
        <v>20</v>
      </c>
      <c r="F560" t="s">
        <v>27</v>
      </c>
      <c r="G560" t="s">
        <v>23</v>
      </c>
      <c r="H560" t="s">
        <v>17</v>
      </c>
      <c r="I560" s="3">
        <v>10012</v>
      </c>
      <c r="J560" s="3" t="str">
        <f t="shared" si="8"/>
        <v>Low</v>
      </c>
      <c r="K560" t="b">
        <v>0</v>
      </c>
      <c r="L560" t="b">
        <v>1</v>
      </c>
      <c r="M560" t="b">
        <v>1</v>
      </c>
    </row>
    <row r="561" spans="1:13" x14ac:dyDescent="0.3">
      <c r="A561">
        <v>37</v>
      </c>
      <c r="B561" t="s">
        <v>12</v>
      </c>
      <c r="C561" s="1">
        <v>9</v>
      </c>
      <c r="D561" t="s">
        <v>19</v>
      </c>
      <c r="E561" t="s">
        <v>14</v>
      </c>
      <c r="F561" t="s">
        <v>27</v>
      </c>
      <c r="G561" t="s">
        <v>29</v>
      </c>
      <c r="H561" t="s">
        <v>21</v>
      </c>
      <c r="I561" s="3">
        <v>17727</v>
      </c>
      <c r="J561" s="3" t="str">
        <f t="shared" si="8"/>
        <v>High</v>
      </c>
      <c r="K561" t="b">
        <v>1</v>
      </c>
      <c r="L561" t="b">
        <v>0</v>
      </c>
      <c r="M561" t="b">
        <v>0</v>
      </c>
    </row>
    <row r="562" spans="1:13" x14ac:dyDescent="0.3">
      <c r="A562">
        <v>42</v>
      </c>
      <c r="B562" t="s">
        <v>12</v>
      </c>
      <c r="C562" s="1">
        <v>8</v>
      </c>
      <c r="D562" t="s">
        <v>19</v>
      </c>
      <c r="E562" t="s">
        <v>26</v>
      </c>
      <c r="F562" t="s">
        <v>22</v>
      </c>
      <c r="G562" t="s">
        <v>23</v>
      </c>
      <c r="H562" t="s">
        <v>21</v>
      </c>
      <c r="I562" s="3">
        <v>10920</v>
      </c>
      <c r="J562" s="3" t="str">
        <f t="shared" si="8"/>
        <v>Low</v>
      </c>
      <c r="K562" t="b">
        <v>0</v>
      </c>
      <c r="L562" t="b">
        <v>0</v>
      </c>
      <c r="M562" t="b">
        <v>1</v>
      </c>
    </row>
    <row r="563" spans="1:13" x14ac:dyDescent="0.3">
      <c r="A563">
        <v>39</v>
      </c>
      <c r="B563" t="s">
        <v>18</v>
      </c>
      <c r="C563" s="1">
        <v>9</v>
      </c>
      <c r="D563" t="s">
        <v>28</v>
      </c>
      <c r="E563" t="s">
        <v>14</v>
      </c>
      <c r="F563" t="s">
        <v>15</v>
      </c>
      <c r="G563" t="s">
        <v>16</v>
      </c>
      <c r="H563" t="s">
        <v>24</v>
      </c>
      <c r="I563" s="3">
        <v>14920</v>
      </c>
      <c r="J563" s="3" t="str">
        <f t="shared" si="8"/>
        <v>Medium</v>
      </c>
      <c r="K563" t="b">
        <v>1</v>
      </c>
      <c r="L563" t="b">
        <v>0</v>
      </c>
      <c r="M563" t="b">
        <v>1</v>
      </c>
    </row>
    <row r="564" spans="1:13" x14ac:dyDescent="0.3">
      <c r="A564">
        <v>30</v>
      </c>
      <c r="B564" t="s">
        <v>12</v>
      </c>
      <c r="C564" s="1">
        <v>2</v>
      </c>
      <c r="D564" t="s">
        <v>13</v>
      </c>
      <c r="E564" t="s">
        <v>14</v>
      </c>
      <c r="F564" t="s">
        <v>22</v>
      </c>
      <c r="G564" t="s">
        <v>29</v>
      </c>
      <c r="H564" t="s">
        <v>21</v>
      </c>
      <c r="I564" s="3">
        <v>12418</v>
      </c>
      <c r="J564" s="3" t="str">
        <f t="shared" si="8"/>
        <v>Medium</v>
      </c>
      <c r="K564" t="b">
        <v>1</v>
      </c>
      <c r="L564" t="b">
        <v>1</v>
      </c>
      <c r="M564" t="b">
        <v>0</v>
      </c>
    </row>
    <row r="565" spans="1:13" x14ac:dyDescent="0.3">
      <c r="A565">
        <v>36</v>
      </c>
      <c r="B565" t="s">
        <v>25</v>
      </c>
      <c r="C565" s="1">
        <v>6</v>
      </c>
      <c r="D565" t="s">
        <v>28</v>
      </c>
      <c r="E565" t="s">
        <v>14</v>
      </c>
      <c r="F565" t="s">
        <v>27</v>
      </c>
      <c r="G565" t="s">
        <v>23</v>
      </c>
      <c r="H565" t="s">
        <v>24</v>
      </c>
      <c r="I565" s="3">
        <v>19506</v>
      </c>
      <c r="J565" s="3" t="str">
        <f t="shared" si="8"/>
        <v>High</v>
      </c>
      <c r="K565" t="b">
        <v>1</v>
      </c>
      <c r="L565" t="b">
        <v>1</v>
      </c>
      <c r="M565" t="b">
        <v>0</v>
      </c>
    </row>
    <row r="566" spans="1:13" x14ac:dyDescent="0.3">
      <c r="A566">
        <v>53</v>
      </c>
      <c r="B566" t="s">
        <v>12</v>
      </c>
      <c r="C566" s="1">
        <v>4</v>
      </c>
      <c r="D566" t="s">
        <v>28</v>
      </c>
      <c r="E566" t="s">
        <v>14</v>
      </c>
      <c r="F566" t="s">
        <v>22</v>
      </c>
      <c r="G566" t="s">
        <v>29</v>
      </c>
      <c r="H566" t="s">
        <v>17</v>
      </c>
      <c r="I566" s="3">
        <v>16475</v>
      </c>
      <c r="J566" s="3" t="str">
        <f t="shared" si="8"/>
        <v>High</v>
      </c>
      <c r="K566" t="b">
        <v>1</v>
      </c>
      <c r="L566" t="b">
        <v>1</v>
      </c>
      <c r="M566" t="b">
        <v>1</v>
      </c>
    </row>
    <row r="567" spans="1:13" x14ac:dyDescent="0.3">
      <c r="A567">
        <v>29</v>
      </c>
      <c r="B567" t="s">
        <v>18</v>
      </c>
      <c r="C567" s="1">
        <v>4</v>
      </c>
      <c r="D567" t="s">
        <v>19</v>
      </c>
      <c r="E567" t="s">
        <v>14</v>
      </c>
      <c r="F567" t="s">
        <v>27</v>
      </c>
      <c r="G567" t="s">
        <v>29</v>
      </c>
      <c r="H567" t="s">
        <v>21</v>
      </c>
      <c r="I567" s="3">
        <v>12017</v>
      </c>
      <c r="J567" s="3" t="str">
        <f t="shared" si="8"/>
        <v>Medium</v>
      </c>
      <c r="K567" t="b">
        <v>0</v>
      </c>
      <c r="L567" t="b">
        <v>0</v>
      </c>
      <c r="M567" t="b">
        <v>1</v>
      </c>
    </row>
    <row r="568" spans="1:13" x14ac:dyDescent="0.3">
      <c r="A568">
        <v>58</v>
      </c>
      <c r="B568" t="s">
        <v>18</v>
      </c>
      <c r="C568" s="1">
        <v>5</v>
      </c>
      <c r="D568" t="s">
        <v>28</v>
      </c>
      <c r="E568" t="s">
        <v>26</v>
      </c>
      <c r="F568" t="s">
        <v>22</v>
      </c>
      <c r="G568" t="s">
        <v>23</v>
      </c>
      <c r="H568" t="s">
        <v>21</v>
      </c>
      <c r="I568" s="3">
        <v>17957</v>
      </c>
      <c r="J568" s="3" t="str">
        <f t="shared" si="8"/>
        <v>High</v>
      </c>
      <c r="K568" t="b">
        <v>0</v>
      </c>
      <c r="L568" t="b">
        <v>0</v>
      </c>
      <c r="M568" t="b">
        <v>0</v>
      </c>
    </row>
    <row r="569" spans="1:13" x14ac:dyDescent="0.3">
      <c r="A569">
        <v>36</v>
      </c>
      <c r="B569" t="s">
        <v>18</v>
      </c>
      <c r="C569" s="1">
        <v>3</v>
      </c>
      <c r="D569" t="s">
        <v>28</v>
      </c>
      <c r="E569" t="s">
        <v>20</v>
      </c>
      <c r="F569" t="s">
        <v>22</v>
      </c>
      <c r="G569" t="s">
        <v>29</v>
      </c>
      <c r="H569" t="s">
        <v>17</v>
      </c>
      <c r="I569" s="3">
        <v>19420</v>
      </c>
      <c r="J569" s="3" t="str">
        <f t="shared" si="8"/>
        <v>High</v>
      </c>
      <c r="K569" t="b">
        <v>0</v>
      </c>
      <c r="L569" t="b">
        <v>0</v>
      </c>
      <c r="M569" t="b">
        <v>0</v>
      </c>
    </row>
    <row r="570" spans="1:13" x14ac:dyDescent="0.3">
      <c r="A570">
        <v>29</v>
      </c>
      <c r="B570" t="s">
        <v>18</v>
      </c>
      <c r="C570" s="1">
        <v>1</v>
      </c>
      <c r="D570" t="s">
        <v>19</v>
      </c>
      <c r="E570" t="s">
        <v>14</v>
      </c>
      <c r="F570" t="s">
        <v>15</v>
      </c>
      <c r="G570" t="s">
        <v>23</v>
      </c>
      <c r="H570" t="s">
        <v>17</v>
      </c>
      <c r="I570" s="3">
        <v>14792</v>
      </c>
      <c r="J570" s="3" t="str">
        <f t="shared" si="8"/>
        <v>Medium</v>
      </c>
      <c r="K570" t="b">
        <v>0</v>
      </c>
      <c r="L570" t="b">
        <v>0</v>
      </c>
      <c r="M570" t="b">
        <v>1</v>
      </c>
    </row>
    <row r="571" spans="1:13" x14ac:dyDescent="0.3">
      <c r="A571">
        <v>26</v>
      </c>
      <c r="B571" t="s">
        <v>18</v>
      </c>
      <c r="C571" s="1">
        <v>8</v>
      </c>
      <c r="D571" t="s">
        <v>19</v>
      </c>
      <c r="E571" t="s">
        <v>26</v>
      </c>
      <c r="F571" t="s">
        <v>27</v>
      </c>
      <c r="G571" t="s">
        <v>16</v>
      </c>
      <c r="H571" t="s">
        <v>21</v>
      </c>
      <c r="I571" s="3">
        <v>16830</v>
      </c>
      <c r="J571" s="3" t="str">
        <f t="shared" si="8"/>
        <v>High</v>
      </c>
      <c r="K571" t="b">
        <v>1</v>
      </c>
      <c r="L571" t="b">
        <v>1</v>
      </c>
      <c r="M571" t="b">
        <v>1</v>
      </c>
    </row>
    <row r="572" spans="1:13" x14ac:dyDescent="0.3">
      <c r="A572">
        <v>24</v>
      </c>
      <c r="B572" t="s">
        <v>12</v>
      </c>
      <c r="C572" s="1">
        <v>5</v>
      </c>
      <c r="D572" t="s">
        <v>19</v>
      </c>
      <c r="E572" t="s">
        <v>14</v>
      </c>
      <c r="F572" t="s">
        <v>15</v>
      </c>
      <c r="G572" t="s">
        <v>29</v>
      </c>
      <c r="H572" t="s">
        <v>17</v>
      </c>
      <c r="I572" s="3">
        <v>12434</v>
      </c>
      <c r="J572" s="3" t="str">
        <f t="shared" si="8"/>
        <v>Medium</v>
      </c>
      <c r="K572" t="b">
        <v>1</v>
      </c>
      <c r="L572" t="b">
        <v>1</v>
      </c>
      <c r="M572" t="b">
        <v>0</v>
      </c>
    </row>
    <row r="573" spans="1:13" x14ac:dyDescent="0.3">
      <c r="A573">
        <v>45</v>
      </c>
      <c r="B573" t="s">
        <v>12</v>
      </c>
      <c r="C573" s="1">
        <v>3</v>
      </c>
      <c r="D573" t="s">
        <v>19</v>
      </c>
      <c r="E573" t="s">
        <v>14</v>
      </c>
      <c r="F573" t="s">
        <v>27</v>
      </c>
      <c r="G573" t="s">
        <v>16</v>
      </c>
      <c r="H573" t="s">
        <v>24</v>
      </c>
      <c r="I573" s="3">
        <v>12868</v>
      </c>
      <c r="J573" s="3" t="str">
        <f t="shared" si="8"/>
        <v>Medium</v>
      </c>
      <c r="K573" t="b">
        <v>0</v>
      </c>
      <c r="L573" t="b">
        <v>1</v>
      </c>
      <c r="M573" t="b">
        <v>0</v>
      </c>
    </row>
    <row r="574" spans="1:13" x14ac:dyDescent="0.3">
      <c r="A574">
        <v>31</v>
      </c>
      <c r="B574" t="s">
        <v>12</v>
      </c>
      <c r="C574" s="1">
        <v>7</v>
      </c>
      <c r="D574" t="s">
        <v>28</v>
      </c>
      <c r="E574" t="s">
        <v>20</v>
      </c>
      <c r="F574" t="s">
        <v>22</v>
      </c>
      <c r="G574" t="s">
        <v>29</v>
      </c>
      <c r="H574" t="s">
        <v>17</v>
      </c>
      <c r="I574" s="3">
        <v>11438</v>
      </c>
      <c r="J574" s="3" t="str">
        <f t="shared" si="8"/>
        <v>Low</v>
      </c>
      <c r="K574" t="b">
        <v>0</v>
      </c>
      <c r="L574" t="b">
        <v>0</v>
      </c>
      <c r="M574" t="b">
        <v>0</v>
      </c>
    </row>
    <row r="575" spans="1:13" x14ac:dyDescent="0.3">
      <c r="A575">
        <v>48</v>
      </c>
      <c r="B575" t="s">
        <v>12</v>
      </c>
      <c r="C575" s="1">
        <v>7</v>
      </c>
      <c r="D575" t="s">
        <v>28</v>
      </c>
      <c r="E575" t="s">
        <v>14</v>
      </c>
      <c r="F575" t="s">
        <v>27</v>
      </c>
      <c r="G575" t="s">
        <v>29</v>
      </c>
      <c r="H575" t="s">
        <v>17</v>
      </c>
      <c r="I575" s="3">
        <v>13543</v>
      </c>
      <c r="J575" s="3" t="str">
        <f t="shared" si="8"/>
        <v>Medium</v>
      </c>
      <c r="K575" t="b">
        <v>1</v>
      </c>
      <c r="L575" t="b">
        <v>0</v>
      </c>
      <c r="M575" t="b">
        <v>0</v>
      </c>
    </row>
    <row r="576" spans="1:13" x14ac:dyDescent="0.3">
      <c r="A576">
        <v>36</v>
      </c>
      <c r="B576" t="s">
        <v>18</v>
      </c>
      <c r="C576" s="1">
        <v>1</v>
      </c>
      <c r="D576" t="s">
        <v>13</v>
      </c>
      <c r="E576" t="s">
        <v>26</v>
      </c>
      <c r="F576" t="s">
        <v>15</v>
      </c>
      <c r="G576" t="s">
        <v>29</v>
      </c>
      <c r="H576" t="s">
        <v>21</v>
      </c>
      <c r="I576" s="3">
        <v>11781</v>
      </c>
      <c r="J576" s="3" t="str">
        <f t="shared" si="8"/>
        <v>Low</v>
      </c>
      <c r="K576" t="b">
        <v>1</v>
      </c>
      <c r="L576" t="b">
        <v>1</v>
      </c>
      <c r="M576" t="b">
        <v>0</v>
      </c>
    </row>
    <row r="577" spans="1:13" x14ac:dyDescent="0.3">
      <c r="A577">
        <v>64</v>
      </c>
      <c r="B577" t="s">
        <v>25</v>
      </c>
      <c r="C577" s="1">
        <v>9</v>
      </c>
      <c r="D577" t="s">
        <v>13</v>
      </c>
      <c r="E577" t="s">
        <v>26</v>
      </c>
      <c r="F577" t="s">
        <v>15</v>
      </c>
      <c r="G577" t="s">
        <v>23</v>
      </c>
      <c r="H577" t="s">
        <v>24</v>
      </c>
      <c r="I577" s="3">
        <v>16343</v>
      </c>
      <c r="J577" s="3" t="str">
        <f t="shared" si="8"/>
        <v>High</v>
      </c>
      <c r="K577" t="b">
        <v>0</v>
      </c>
      <c r="L577" t="b">
        <v>1</v>
      </c>
      <c r="M577" t="b">
        <v>1</v>
      </c>
    </row>
    <row r="578" spans="1:13" x14ac:dyDescent="0.3">
      <c r="A578">
        <v>33</v>
      </c>
      <c r="B578" t="s">
        <v>12</v>
      </c>
      <c r="C578" s="1">
        <v>2</v>
      </c>
      <c r="D578" t="s">
        <v>28</v>
      </c>
      <c r="E578" t="s">
        <v>20</v>
      </c>
      <c r="F578" t="s">
        <v>15</v>
      </c>
      <c r="G578" t="s">
        <v>16</v>
      </c>
      <c r="H578" t="s">
        <v>17</v>
      </c>
      <c r="I578" s="3">
        <v>12263</v>
      </c>
      <c r="J578" s="3" t="str">
        <f t="shared" si="8"/>
        <v>Medium</v>
      </c>
      <c r="K578" t="b">
        <v>0</v>
      </c>
      <c r="L578" t="b">
        <v>0</v>
      </c>
      <c r="M578" t="b">
        <v>1</v>
      </c>
    </row>
    <row r="579" spans="1:13" x14ac:dyDescent="0.3">
      <c r="A579">
        <v>22</v>
      </c>
      <c r="B579" t="s">
        <v>25</v>
      </c>
      <c r="C579" s="1">
        <v>5</v>
      </c>
      <c r="D579" t="s">
        <v>13</v>
      </c>
      <c r="E579" t="s">
        <v>14</v>
      </c>
      <c r="F579" t="s">
        <v>27</v>
      </c>
      <c r="G579" t="s">
        <v>29</v>
      </c>
      <c r="H579" t="s">
        <v>24</v>
      </c>
      <c r="I579" s="3">
        <v>10211</v>
      </c>
      <c r="J579" s="3" t="str">
        <f t="shared" ref="J579:J642" si="9">IF(I579&gt;16000, "High", IF(I579&gt;=12000, IF(I579&lt;=15000, "Medium", "High"), "Low"))</f>
        <v>Low</v>
      </c>
      <c r="K579" t="b">
        <v>0</v>
      </c>
      <c r="L579" t="b">
        <v>1</v>
      </c>
      <c r="M579" t="b">
        <v>0</v>
      </c>
    </row>
    <row r="580" spans="1:13" x14ac:dyDescent="0.3">
      <c r="A580">
        <v>52</v>
      </c>
      <c r="B580" t="s">
        <v>12</v>
      </c>
      <c r="C580" s="1">
        <v>5</v>
      </c>
      <c r="D580" t="s">
        <v>28</v>
      </c>
      <c r="E580" t="s">
        <v>26</v>
      </c>
      <c r="F580" t="s">
        <v>15</v>
      </c>
      <c r="G580" t="s">
        <v>23</v>
      </c>
      <c r="H580" t="s">
        <v>24</v>
      </c>
      <c r="I580" s="3">
        <v>18699</v>
      </c>
      <c r="J580" s="3" t="str">
        <f t="shared" si="9"/>
        <v>High</v>
      </c>
      <c r="K580" t="b">
        <v>1</v>
      </c>
      <c r="L580" t="b">
        <v>1</v>
      </c>
      <c r="M580" t="b">
        <v>1</v>
      </c>
    </row>
    <row r="581" spans="1:13" x14ac:dyDescent="0.3">
      <c r="A581">
        <v>29</v>
      </c>
      <c r="B581" t="s">
        <v>12</v>
      </c>
      <c r="C581" s="1">
        <v>8</v>
      </c>
      <c r="D581" t="s">
        <v>13</v>
      </c>
      <c r="E581" t="s">
        <v>14</v>
      </c>
      <c r="F581" t="s">
        <v>15</v>
      </c>
      <c r="G581" t="s">
        <v>29</v>
      </c>
      <c r="H581" t="s">
        <v>24</v>
      </c>
      <c r="I581" s="3">
        <v>16159</v>
      </c>
      <c r="J581" s="3" t="str">
        <f t="shared" si="9"/>
        <v>High</v>
      </c>
      <c r="K581" t="b">
        <v>0</v>
      </c>
      <c r="L581" t="b">
        <v>0</v>
      </c>
      <c r="M581" t="b">
        <v>1</v>
      </c>
    </row>
    <row r="582" spans="1:13" x14ac:dyDescent="0.3">
      <c r="A582">
        <v>42</v>
      </c>
      <c r="B582" t="s">
        <v>25</v>
      </c>
      <c r="C582" s="1">
        <v>8</v>
      </c>
      <c r="D582" t="s">
        <v>19</v>
      </c>
      <c r="E582" t="s">
        <v>14</v>
      </c>
      <c r="F582" t="s">
        <v>15</v>
      </c>
      <c r="G582" t="s">
        <v>23</v>
      </c>
      <c r="H582" t="s">
        <v>21</v>
      </c>
      <c r="I582" s="3">
        <v>17027</v>
      </c>
      <c r="J582" s="3" t="str">
        <f t="shared" si="9"/>
        <v>High</v>
      </c>
      <c r="K582" t="b">
        <v>0</v>
      </c>
      <c r="L582" t="b">
        <v>0</v>
      </c>
      <c r="M582" t="b">
        <v>0</v>
      </c>
    </row>
    <row r="583" spans="1:13" x14ac:dyDescent="0.3">
      <c r="A583">
        <v>38</v>
      </c>
      <c r="B583" t="s">
        <v>18</v>
      </c>
      <c r="C583" s="1">
        <v>7</v>
      </c>
      <c r="D583" t="s">
        <v>13</v>
      </c>
      <c r="E583" t="s">
        <v>14</v>
      </c>
      <c r="F583" t="s">
        <v>22</v>
      </c>
      <c r="G583" t="s">
        <v>29</v>
      </c>
      <c r="H583" t="s">
        <v>17</v>
      </c>
      <c r="I583" s="3">
        <v>10331</v>
      </c>
      <c r="J583" s="3" t="str">
        <f t="shared" si="9"/>
        <v>Low</v>
      </c>
      <c r="K583" t="b">
        <v>0</v>
      </c>
      <c r="L583" t="b">
        <v>0</v>
      </c>
      <c r="M583" t="b">
        <v>1</v>
      </c>
    </row>
    <row r="584" spans="1:13" x14ac:dyDescent="0.3">
      <c r="A584">
        <v>53</v>
      </c>
      <c r="B584" t="s">
        <v>12</v>
      </c>
      <c r="C584" s="1">
        <v>7</v>
      </c>
      <c r="D584" t="s">
        <v>19</v>
      </c>
      <c r="E584" t="s">
        <v>20</v>
      </c>
      <c r="F584" t="s">
        <v>22</v>
      </c>
      <c r="G584" t="s">
        <v>16</v>
      </c>
      <c r="H584" t="s">
        <v>21</v>
      </c>
      <c r="I584" s="3">
        <v>16860</v>
      </c>
      <c r="J584" s="3" t="str">
        <f t="shared" si="9"/>
        <v>High</v>
      </c>
      <c r="K584" t="b">
        <v>0</v>
      </c>
      <c r="L584" t="b">
        <v>1</v>
      </c>
      <c r="M584" t="b">
        <v>1</v>
      </c>
    </row>
    <row r="585" spans="1:13" x14ac:dyDescent="0.3">
      <c r="A585">
        <v>40</v>
      </c>
      <c r="B585" t="s">
        <v>12</v>
      </c>
      <c r="C585" s="1">
        <v>6</v>
      </c>
      <c r="D585" t="s">
        <v>19</v>
      </c>
      <c r="E585" t="s">
        <v>14</v>
      </c>
      <c r="F585" t="s">
        <v>27</v>
      </c>
      <c r="G585" t="s">
        <v>16</v>
      </c>
      <c r="H585" t="s">
        <v>17</v>
      </c>
      <c r="I585" s="3">
        <v>18044</v>
      </c>
      <c r="J585" s="3" t="str">
        <f t="shared" si="9"/>
        <v>High</v>
      </c>
      <c r="K585" t="b">
        <v>0</v>
      </c>
      <c r="L585" t="b">
        <v>0</v>
      </c>
      <c r="M585" t="b">
        <v>1</v>
      </c>
    </row>
    <row r="586" spans="1:13" x14ac:dyDescent="0.3">
      <c r="A586">
        <v>33</v>
      </c>
      <c r="B586" t="s">
        <v>12</v>
      </c>
      <c r="C586" s="1">
        <v>6</v>
      </c>
      <c r="D586" t="s">
        <v>19</v>
      </c>
      <c r="E586" t="s">
        <v>26</v>
      </c>
      <c r="F586" t="s">
        <v>27</v>
      </c>
      <c r="G586" t="s">
        <v>29</v>
      </c>
      <c r="H586" t="s">
        <v>17</v>
      </c>
      <c r="I586" s="3">
        <v>18169</v>
      </c>
      <c r="J586" s="3" t="str">
        <f t="shared" si="9"/>
        <v>High</v>
      </c>
      <c r="K586" t="b">
        <v>1</v>
      </c>
      <c r="L586" t="b">
        <v>1</v>
      </c>
      <c r="M586" t="b">
        <v>0</v>
      </c>
    </row>
    <row r="587" spans="1:13" x14ac:dyDescent="0.3">
      <c r="A587">
        <v>56</v>
      </c>
      <c r="B587" t="s">
        <v>25</v>
      </c>
      <c r="C587" s="1">
        <v>9</v>
      </c>
      <c r="D587" t="s">
        <v>19</v>
      </c>
      <c r="E587" t="s">
        <v>14</v>
      </c>
      <c r="F587" t="s">
        <v>15</v>
      </c>
      <c r="G587" t="s">
        <v>23</v>
      </c>
      <c r="H587" t="s">
        <v>21</v>
      </c>
      <c r="I587" s="3">
        <v>18742</v>
      </c>
      <c r="J587" s="3" t="str">
        <f t="shared" si="9"/>
        <v>High</v>
      </c>
      <c r="K587" t="b">
        <v>0</v>
      </c>
      <c r="L587" t="b">
        <v>1</v>
      </c>
      <c r="M587" t="b">
        <v>0</v>
      </c>
    </row>
    <row r="588" spans="1:13" x14ac:dyDescent="0.3">
      <c r="A588">
        <v>62</v>
      </c>
      <c r="B588" t="s">
        <v>18</v>
      </c>
      <c r="C588" s="1">
        <v>6</v>
      </c>
      <c r="D588" t="s">
        <v>13</v>
      </c>
      <c r="E588" t="s">
        <v>26</v>
      </c>
      <c r="F588" t="s">
        <v>22</v>
      </c>
      <c r="G588" t="s">
        <v>29</v>
      </c>
      <c r="H588" t="s">
        <v>24</v>
      </c>
      <c r="I588" s="3">
        <v>15720</v>
      </c>
      <c r="J588" s="3" t="str">
        <f t="shared" si="9"/>
        <v>High</v>
      </c>
      <c r="K588" t="b">
        <v>1</v>
      </c>
      <c r="L588" t="b">
        <v>0</v>
      </c>
      <c r="M588" t="b">
        <v>1</v>
      </c>
    </row>
    <row r="589" spans="1:13" x14ac:dyDescent="0.3">
      <c r="A589">
        <v>59</v>
      </c>
      <c r="B589" t="s">
        <v>25</v>
      </c>
      <c r="C589" s="1">
        <v>2</v>
      </c>
      <c r="D589" t="s">
        <v>28</v>
      </c>
      <c r="E589" t="s">
        <v>14</v>
      </c>
      <c r="F589" t="s">
        <v>15</v>
      </c>
      <c r="G589" t="s">
        <v>23</v>
      </c>
      <c r="H589" t="s">
        <v>24</v>
      </c>
      <c r="I589" s="3">
        <v>19133</v>
      </c>
      <c r="J589" s="3" t="str">
        <f t="shared" si="9"/>
        <v>High</v>
      </c>
      <c r="K589" t="b">
        <v>0</v>
      </c>
      <c r="L589" t="b">
        <v>1</v>
      </c>
      <c r="M589" t="b">
        <v>1</v>
      </c>
    </row>
    <row r="590" spans="1:13" x14ac:dyDescent="0.3">
      <c r="A590">
        <v>56</v>
      </c>
      <c r="B590" t="s">
        <v>25</v>
      </c>
      <c r="C590" s="1">
        <v>2</v>
      </c>
      <c r="D590" t="s">
        <v>19</v>
      </c>
      <c r="E590" t="s">
        <v>26</v>
      </c>
      <c r="F590" t="s">
        <v>15</v>
      </c>
      <c r="G590" t="s">
        <v>29</v>
      </c>
      <c r="H590" t="s">
        <v>17</v>
      </c>
      <c r="I590" s="3">
        <v>10727</v>
      </c>
      <c r="J590" s="3" t="str">
        <f t="shared" si="9"/>
        <v>Low</v>
      </c>
      <c r="K590" t="b">
        <v>0</v>
      </c>
      <c r="L590" t="b">
        <v>0</v>
      </c>
      <c r="M590" t="b">
        <v>1</v>
      </c>
    </row>
    <row r="591" spans="1:13" x14ac:dyDescent="0.3">
      <c r="A591">
        <v>31</v>
      </c>
      <c r="B591" t="s">
        <v>18</v>
      </c>
      <c r="C591" s="1">
        <v>5</v>
      </c>
      <c r="D591" t="s">
        <v>13</v>
      </c>
      <c r="E591" t="s">
        <v>26</v>
      </c>
      <c r="F591" t="s">
        <v>22</v>
      </c>
      <c r="G591" t="s">
        <v>23</v>
      </c>
      <c r="H591" t="s">
        <v>21</v>
      </c>
      <c r="I591" s="3">
        <v>14975</v>
      </c>
      <c r="J591" s="3" t="str">
        <f t="shared" si="9"/>
        <v>Medium</v>
      </c>
      <c r="K591" t="b">
        <v>0</v>
      </c>
      <c r="L591" t="b">
        <v>0</v>
      </c>
      <c r="M591" t="b">
        <v>1</v>
      </c>
    </row>
    <row r="592" spans="1:13" x14ac:dyDescent="0.3">
      <c r="A592">
        <v>48</v>
      </c>
      <c r="B592" t="s">
        <v>25</v>
      </c>
      <c r="C592" s="1">
        <v>4</v>
      </c>
      <c r="D592" t="s">
        <v>19</v>
      </c>
      <c r="E592" t="s">
        <v>14</v>
      </c>
      <c r="F592" t="s">
        <v>22</v>
      </c>
      <c r="G592" t="s">
        <v>16</v>
      </c>
      <c r="H592" t="s">
        <v>24</v>
      </c>
      <c r="I592" s="3">
        <v>13243</v>
      </c>
      <c r="J592" s="3" t="str">
        <f t="shared" si="9"/>
        <v>Medium</v>
      </c>
      <c r="K592" t="b">
        <v>1</v>
      </c>
      <c r="L592" t="b">
        <v>1</v>
      </c>
      <c r="M592" t="b">
        <v>1</v>
      </c>
    </row>
    <row r="593" spans="1:13" x14ac:dyDescent="0.3">
      <c r="A593">
        <v>22</v>
      </c>
      <c r="B593" t="s">
        <v>18</v>
      </c>
      <c r="C593" s="1">
        <v>2</v>
      </c>
      <c r="D593" t="s">
        <v>13</v>
      </c>
      <c r="E593" t="s">
        <v>14</v>
      </c>
      <c r="F593" t="s">
        <v>22</v>
      </c>
      <c r="G593" t="s">
        <v>29</v>
      </c>
      <c r="H593" t="s">
        <v>24</v>
      </c>
      <c r="I593" s="3">
        <v>10648</v>
      </c>
      <c r="J593" s="3" t="str">
        <f t="shared" si="9"/>
        <v>Low</v>
      </c>
      <c r="K593" t="b">
        <v>1</v>
      </c>
      <c r="L593" t="b">
        <v>1</v>
      </c>
      <c r="M593" t="b">
        <v>1</v>
      </c>
    </row>
    <row r="594" spans="1:13" x14ac:dyDescent="0.3">
      <c r="A594">
        <v>52</v>
      </c>
      <c r="B594" t="s">
        <v>12</v>
      </c>
      <c r="C594" s="1">
        <v>3</v>
      </c>
      <c r="D594" t="s">
        <v>13</v>
      </c>
      <c r="E594" t="s">
        <v>26</v>
      </c>
      <c r="F594" t="s">
        <v>27</v>
      </c>
      <c r="G594" t="s">
        <v>16</v>
      </c>
      <c r="H594" t="s">
        <v>17</v>
      </c>
      <c r="I594" s="3">
        <v>15095</v>
      </c>
      <c r="J594" s="3" t="str">
        <f t="shared" si="9"/>
        <v>High</v>
      </c>
      <c r="K594" t="b">
        <v>1</v>
      </c>
      <c r="L594" t="b">
        <v>0</v>
      </c>
      <c r="M594" t="b">
        <v>0</v>
      </c>
    </row>
    <row r="595" spans="1:13" x14ac:dyDescent="0.3">
      <c r="A595">
        <v>40</v>
      </c>
      <c r="B595" t="s">
        <v>18</v>
      </c>
      <c r="C595" s="1">
        <v>7</v>
      </c>
      <c r="D595" t="s">
        <v>13</v>
      </c>
      <c r="E595" t="s">
        <v>20</v>
      </c>
      <c r="F595" t="s">
        <v>27</v>
      </c>
      <c r="G595" t="s">
        <v>16</v>
      </c>
      <c r="H595" t="s">
        <v>17</v>
      </c>
      <c r="I595" s="3">
        <v>16614</v>
      </c>
      <c r="J595" s="3" t="str">
        <f t="shared" si="9"/>
        <v>High</v>
      </c>
      <c r="K595" t="b">
        <v>0</v>
      </c>
      <c r="L595" t="b">
        <v>0</v>
      </c>
      <c r="M595" t="b">
        <v>1</v>
      </c>
    </row>
    <row r="596" spans="1:13" x14ac:dyDescent="0.3">
      <c r="A596">
        <v>46</v>
      </c>
      <c r="B596" t="s">
        <v>12</v>
      </c>
      <c r="C596" s="1">
        <v>8</v>
      </c>
      <c r="D596" t="s">
        <v>28</v>
      </c>
      <c r="E596" t="s">
        <v>14</v>
      </c>
      <c r="F596" t="s">
        <v>15</v>
      </c>
      <c r="G596" t="s">
        <v>29</v>
      </c>
      <c r="H596" t="s">
        <v>21</v>
      </c>
      <c r="I596" s="3">
        <v>17135</v>
      </c>
      <c r="J596" s="3" t="str">
        <f t="shared" si="9"/>
        <v>High</v>
      </c>
      <c r="K596" t="b">
        <v>0</v>
      </c>
      <c r="L596" t="b">
        <v>0</v>
      </c>
      <c r="M596" t="b">
        <v>1</v>
      </c>
    </row>
    <row r="597" spans="1:13" x14ac:dyDescent="0.3">
      <c r="A597">
        <v>60</v>
      </c>
      <c r="B597" t="s">
        <v>25</v>
      </c>
      <c r="C597" s="1">
        <v>6</v>
      </c>
      <c r="D597" t="s">
        <v>13</v>
      </c>
      <c r="E597" t="s">
        <v>20</v>
      </c>
      <c r="F597" t="s">
        <v>27</v>
      </c>
      <c r="G597" t="s">
        <v>29</v>
      </c>
      <c r="H597" t="s">
        <v>17</v>
      </c>
      <c r="I597" s="3">
        <v>11009</v>
      </c>
      <c r="J597" s="3" t="str">
        <f t="shared" si="9"/>
        <v>Low</v>
      </c>
      <c r="K597" t="b">
        <v>1</v>
      </c>
      <c r="L597" t="b">
        <v>0</v>
      </c>
      <c r="M597" t="b">
        <v>0</v>
      </c>
    </row>
    <row r="598" spans="1:13" x14ac:dyDescent="0.3">
      <c r="A598">
        <v>28</v>
      </c>
      <c r="B598" t="s">
        <v>25</v>
      </c>
      <c r="C598" s="1">
        <v>5</v>
      </c>
      <c r="D598" t="s">
        <v>13</v>
      </c>
      <c r="E598" t="s">
        <v>14</v>
      </c>
      <c r="F598" t="s">
        <v>22</v>
      </c>
      <c r="G598" t="s">
        <v>23</v>
      </c>
      <c r="H598" t="s">
        <v>24</v>
      </c>
      <c r="I598" s="3">
        <v>11550</v>
      </c>
      <c r="J598" s="3" t="str">
        <f t="shared" si="9"/>
        <v>Low</v>
      </c>
      <c r="K598" t="b">
        <v>1</v>
      </c>
      <c r="L598" t="b">
        <v>0</v>
      </c>
      <c r="M598" t="b">
        <v>1</v>
      </c>
    </row>
    <row r="599" spans="1:13" x14ac:dyDescent="0.3">
      <c r="A599">
        <v>35</v>
      </c>
      <c r="B599" t="s">
        <v>12</v>
      </c>
      <c r="C599" s="1">
        <v>1</v>
      </c>
      <c r="D599" t="s">
        <v>28</v>
      </c>
      <c r="E599" t="s">
        <v>14</v>
      </c>
      <c r="F599" t="s">
        <v>22</v>
      </c>
      <c r="G599" t="s">
        <v>23</v>
      </c>
      <c r="H599" t="s">
        <v>24</v>
      </c>
      <c r="I599" s="3">
        <v>18995</v>
      </c>
      <c r="J599" s="3" t="str">
        <f t="shared" si="9"/>
        <v>High</v>
      </c>
      <c r="K599" t="b">
        <v>0</v>
      </c>
      <c r="L599" t="b">
        <v>0</v>
      </c>
      <c r="M599" t="b">
        <v>1</v>
      </c>
    </row>
    <row r="600" spans="1:13" x14ac:dyDescent="0.3">
      <c r="A600">
        <v>64</v>
      </c>
      <c r="B600" t="s">
        <v>25</v>
      </c>
      <c r="C600" s="1">
        <v>8</v>
      </c>
      <c r="D600" t="s">
        <v>28</v>
      </c>
      <c r="E600" t="s">
        <v>14</v>
      </c>
      <c r="F600" t="s">
        <v>27</v>
      </c>
      <c r="G600" t="s">
        <v>16</v>
      </c>
      <c r="H600" t="s">
        <v>24</v>
      </c>
      <c r="I600" s="3">
        <v>17492</v>
      </c>
      <c r="J600" s="3" t="str">
        <f t="shared" si="9"/>
        <v>High</v>
      </c>
      <c r="K600" t="b">
        <v>1</v>
      </c>
      <c r="L600" t="b">
        <v>1</v>
      </c>
      <c r="M600" t="b">
        <v>1</v>
      </c>
    </row>
    <row r="601" spans="1:13" x14ac:dyDescent="0.3">
      <c r="A601">
        <v>29</v>
      </c>
      <c r="B601" t="s">
        <v>18</v>
      </c>
      <c r="C601" s="1">
        <v>3</v>
      </c>
      <c r="D601" t="s">
        <v>13</v>
      </c>
      <c r="E601" t="s">
        <v>14</v>
      </c>
      <c r="F601" t="s">
        <v>15</v>
      </c>
      <c r="G601" t="s">
        <v>23</v>
      </c>
      <c r="H601" t="s">
        <v>24</v>
      </c>
      <c r="I601" s="3">
        <v>13401</v>
      </c>
      <c r="J601" s="3" t="str">
        <f t="shared" si="9"/>
        <v>Medium</v>
      </c>
      <c r="K601" t="b">
        <v>0</v>
      </c>
      <c r="L601" t="b">
        <v>1</v>
      </c>
      <c r="M601" t="b">
        <v>1</v>
      </c>
    </row>
    <row r="602" spans="1:13" x14ac:dyDescent="0.3">
      <c r="A602">
        <v>26</v>
      </c>
      <c r="B602" t="s">
        <v>12</v>
      </c>
      <c r="C602" s="1">
        <v>6</v>
      </c>
      <c r="D602" t="s">
        <v>28</v>
      </c>
      <c r="E602" t="s">
        <v>20</v>
      </c>
      <c r="F602" t="s">
        <v>15</v>
      </c>
      <c r="G602" t="s">
        <v>23</v>
      </c>
      <c r="H602" t="s">
        <v>21</v>
      </c>
      <c r="I602" s="3">
        <v>17447</v>
      </c>
      <c r="J602" s="3" t="str">
        <f t="shared" si="9"/>
        <v>High</v>
      </c>
      <c r="K602" t="b">
        <v>1</v>
      </c>
      <c r="L602" t="b">
        <v>1</v>
      </c>
      <c r="M602" t="b">
        <v>0</v>
      </c>
    </row>
    <row r="603" spans="1:13" x14ac:dyDescent="0.3">
      <c r="A603">
        <v>27</v>
      </c>
      <c r="B603" t="s">
        <v>25</v>
      </c>
      <c r="C603" s="1">
        <v>3</v>
      </c>
      <c r="D603" t="s">
        <v>19</v>
      </c>
      <c r="E603" t="s">
        <v>14</v>
      </c>
      <c r="F603" t="s">
        <v>27</v>
      </c>
      <c r="G603" t="s">
        <v>29</v>
      </c>
      <c r="H603" t="s">
        <v>21</v>
      </c>
      <c r="I603" s="3">
        <v>15424</v>
      </c>
      <c r="J603" s="3" t="str">
        <f t="shared" si="9"/>
        <v>High</v>
      </c>
      <c r="K603" t="b">
        <v>1</v>
      </c>
      <c r="L603" t="b">
        <v>1</v>
      </c>
      <c r="M603" t="b">
        <v>1</v>
      </c>
    </row>
    <row r="604" spans="1:13" x14ac:dyDescent="0.3">
      <c r="A604">
        <v>61</v>
      </c>
      <c r="B604" t="s">
        <v>12</v>
      </c>
      <c r="C604" s="1">
        <v>7</v>
      </c>
      <c r="D604" t="s">
        <v>19</v>
      </c>
      <c r="E604" t="s">
        <v>26</v>
      </c>
      <c r="F604" t="s">
        <v>15</v>
      </c>
      <c r="G604" t="s">
        <v>23</v>
      </c>
      <c r="H604" t="s">
        <v>17</v>
      </c>
      <c r="I604" s="3">
        <v>14241</v>
      </c>
      <c r="J604" s="3" t="str">
        <f t="shared" si="9"/>
        <v>Medium</v>
      </c>
      <c r="K604" t="b">
        <v>1</v>
      </c>
      <c r="L604" t="b">
        <v>0</v>
      </c>
      <c r="M604" t="b">
        <v>0</v>
      </c>
    </row>
    <row r="605" spans="1:13" x14ac:dyDescent="0.3">
      <c r="A605">
        <v>34</v>
      </c>
      <c r="B605" t="s">
        <v>18</v>
      </c>
      <c r="C605" s="1">
        <v>7</v>
      </c>
      <c r="D605" t="s">
        <v>28</v>
      </c>
      <c r="E605" t="s">
        <v>26</v>
      </c>
      <c r="F605" t="s">
        <v>15</v>
      </c>
      <c r="G605" t="s">
        <v>16</v>
      </c>
      <c r="H605" t="s">
        <v>17</v>
      </c>
      <c r="I605" s="3">
        <v>13161</v>
      </c>
      <c r="J605" s="3" t="str">
        <f t="shared" si="9"/>
        <v>Medium</v>
      </c>
      <c r="K605" t="b">
        <v>0</v>
      </c>
      <c r="L605" t="b">
        <v>1</v>
      </c>
      <c r="M605" t="b">
        <v>1</v>
      </c>
    </row>
    <row r="606" spans="1:13" x14ac:dyDescent="0.3">
      <c r="A606">
        <v>55</v>
      </c>
      <c r="B606" t="s">
        <v>18</v>
      </c>
      <c r="C606" s="1">
        <v>9</v>
      </c>
      <c r="D606" t="s">
        <v>28</v>
      </c>
      <c r="E606" t="s">
        <v>20</v>
      </c>
      <c r="F606" t="s">
        <v>15</v>
      </c>
      <c r="G606" t="s">
        <v>23</v>
      </c>
      <c r="H606" t="s">
        <v>17</v>
      </c>
      <c r="I606" s="3">
        <v>14155</v>
      </c>
      <c r="J606" s="3" t="str">
        <f t="shared" si="9"/>
        <v>Medium</v>
      </c>
      <c r="K606" t="b">
        <v>0</v>
      </c>
      <c r="L606" t="b">
        <v>1</v>
      </c>
      <c r="M606" t="b">
        <v>1</v>
      </c>
    </row>
    <row r="607" spans="1:13" x14ac:dyDescent="0.3">
      <c r="A607">
        <v>24</v>
      </c>
      <c r="B607" t="s">
        <v>25</v>
      </c>
      <c r="C607" s="1">
        <v>5</v>
      </c>
      <c r="D607" t="s">
        <v>13</v>
      </c>
      <c r="E607" t="s">
        <v>14</v>
      </c>
      <c r="F607" t="s">
        <v>22</v>
      </c>
      <c r="G607" t="s">
        <v>16</v>
      </c>
      <c r="H607" t="s">
        <v>21</v>
      </c>
      <c r="I607" s="3">
        <v>17478</v>
      </c>
      <c r="J607" s="3" t="str">
        <f t="shared" si="9"/>
        <v>High</v>
      </c>
      <c r="K607" t="b">
        <v>1</v>
      </c>
      <c r="L607" t="b">
        <v>0</v>
      </c>
      <c r="M607" t="b">
        <v>0</v>
      </c>
    </row>
    <row r="608" spans="1:13" x14ac:dyDescent="0.3">
      <c r="A608">
        <v>63</v>
      </c>
      <c r="B608" t="s">
        <v>18</v>
      </c>
      <c r="C608" s="1">
        <v>8</v>
      </c>
      <c r="D608" t="s">
        <v>28</v>
      </c>
      <c r="E608" t="s">
        <v>26</v>
      </c>
      <c r="F608" t="s">
        <v>22</v>
      </c>
      <c r="G608" t="s">
        <v>29</v>
      </c>
      <c r="H608" t="s">
        <v>24</v>
      </c>
      <c r="I608" s="3">
        <v>18719</v>
      </c>
      <c r="J608" s="3" t="str">
        <f t="shared" si="9"/>
        <v>High</v>
      </c>
      <c r="K608" t="b">
        <v>0</v>
      </c>
      <c r="L608" t="b">
        <v>1</v>
      </c>
      <c r="M608" t="b">
        <v>1</v>
      </c>
    </row>
    <row r="609" spans="1:13" x14ac:dyDescent="0.3">
      <c r="A609">
        <v>30</v>
      </c>
      <c r="B609" t="s">
        <v>12</v>
      </c>
      <c r="C609" s="1">
        <v>8</v>
      </c>
      <c r="D609" t="s">
        <v>13</v>
      </c>
      <c r="E609" t="s">
        <v>20</v>
      </c>
      <c r="F609" t="s">
        <v>27</v>
      </c>
      <c r="G609" t="s">
        <v>16</v>
      </c>
      <c r="H609" t="s">
        <v>17</v>
      </c>
      <c r="I609" s="3">
        <v>19215</v>
      </c>
      <c r="J609" s="3" t="str">
        <f t="shared" si="9"/>
        <v>High</v>
      </c>
      <c r="K609" t="b">
        <v>0</v>
      </c>
      <c r="L609" t="b">
        <v>0</v>
      </c>
      <c r="M609" t="b">
        <v>0</v>
      </c>
    </row>
    <row r="610" spans="1:13" x14ac:dyDescent="0.3">
      <c r="A610">
        <v>57</v>
      </c>
      <c r="B610" t="s">
        <v>18</v>
      </c>
      <c r="C610" s="1">
        <v>1</v>
      </c>
      <c r="D610" t="s">
        <v>19</v>
      </c>
      <c r="E610" t="s">
        <v>14</v>
      </c>
      <c r="F610" t="s">
        <v>22</v>
      </c>
      <c r="G610" t="s">
        <v>23</v>
      </c>
      <c r="H610" t="s">
        <v>24</v>
      </c>
      <c r="I610" s="3">
        <v>16617</v>
      </c>
      <c r="J610" s="3" t="str">
        <f t="shared" si="9"/>
        <v>High</v>
      </c>
      <c r="K610" t="b">
        <v>0</v>
      </c>
      <c r="L610" t="b">
        <v>0</v>
      </c>
      <c r="M610" t="b">
        <v>0</v>
      </c>
    </row>
    <row r="611" spans="1:13" x14ac:dyDescent="0.3">
      <c r="A611">
        <v>59</v>
      </c>
      <c r="B611" t="s">
        <v>12</v>
      </c>
      <c r="C611" s="1">
        <v>5</v>
      </c>
      <c r="D611" t="s">
        <v>28</v>
      </c>
      <c r="E611" t="s">
        <v>26</v>
      </c>
      <c r="F611" t="s">
        <v>15</v>
      </c>
      <c r="G611" t="s">
        <v>29</v>
      </c>
      <c r="H611" t="s">
        <v>17</v>
      </c>
      <c r="I611" s="3">
        <v>15660</v>
      </c>
      <c r="J611" s="3" t="str">
        <f t="shared" si="9"/>
        <v>High</v>
      </c>
      <c r="K611" t="b">
        <v>0</v>
      </c>
      <c r="L611" t="b">
        <v>0</v>
      </c>
      <c r="M611" t="b">
        <v>0</v>
      </c>
    </row>
    <row r="612" spans="1:13" x14ac:dyDescent="0.3">
      <c r="A612">
        <v>26</v>
      </c>
      <c r="B612" t="s">
        <v>12</v>
      </c>
      <c r="C612" s="1">
        <v>3</v>
      </c>
      <c r="D612" t="s">
        <v>13</v>
      </c>
      <c r="E612" t="s">
        <v>26</v>
      </c>
      <c r="F612" t="s">
        <v>22</v>
      </c>
      <c r="G612" t="s">
        <v>23</v>
      </c>
      <c r="H612" t="s">
        <v>17</v>
      </c>
      <c r="I612" s="3">
        <v>18624</v>
      </c>
      <c r="J612" s="3" t="str">
        <f t="shared" si="9"/>
        <v>High</v>
      </c>
      <c r="K612" t="b">
        <v>1</v>
      </c>
      <c r="L612" t="b">
        <v>0</v>
      </c>
      <c r="M612" t="b">
        <v>1</v>
      </c>
    </row>
    <row r="613" spans="1:13" x14ac:dyDescent="0.3">
      <c r="A613">
        <v>44</v>
      </c>
      <c r="B613" t="s">
        <v>18</v>
      </c>
      <c r="C613" s="1">
        <v>1</v>
      </c>
      <c r="D613" t="s">
        <v>13</v>
      </c>
      <c r="E613" t="s">
        <v>20</v>
      </c>
      <c r="F613" t="s">
        <v>27</v>
      </c>
      <c r="G613" t="s">
        <v>29</v>
      </c>
      <c r="H613" t="s">
        <v>17</v>
      </c>
      <c r="I613" s="3">
        <v>11176</v>
      </c>
      <c r="J613" s="3" t="str">
        <f t="shared" si="9"/>
        <v>Low</v>
      </c>
      <c r="K613" t="b">
        <v>0</v>
      </c>
      <c r="L613" t="b">
        <v>0</v>
      </c>
      <c r="M613" t="b">
        <v>1</v>
      </c>
    </row>
    <row r="614" spans="1:13" x14ac:dyDescent="0.3">
      <c r="A614">
        <v>19</v>
      </c>
      <c r="B614" t="s">
        <v>25</v>
      </c>
      <c r="C614" s="1">
        <v>4</v>
      </c>
      <c r="D614" t="s">
        <v>19</v>
      </c>
      <c r="E614" t="s">
        <v>14</v>
      </c>
      <c r="F614" t="s">
        <v>22</v>
      </c>
      <c r="G614" t="s">
        <v>29</v>
      </c>
      <c r="H614" t="s">
        <v>17</v>
      </c>
      <c r="I614" s="3">
        <v>17956</v>
      </c>
      <c r="J614" s="3" t="str">
        <f t="shared" si="9"/>
        <v>High</v>
      </c>
      <c r="K614" t="b">
        <v>0</v>
      </c>
      <c r="L614" t="b">
        <v>1</v>
      </c>
      <c r="M614" t="b">
        <v>1</v>
      </c>
    </row>
    <row r="615" spans="1:13" x14ac:dyDescent="0.3">
      <c r="A615">
        <v>22</v>
      </c>
      <c r="B615" t="s">
        <v>18</v>
      </c>
      <c r="C615" s="1">
        <v>8</v>
      </c>
      <c r="D615" t="s">
        <v>28</v>
      </c>
      <c r="E615" t="s">
        <v>14</v>
      </c>
      <c r="F615" t="s">
        <v>15</v>
      </c>
      <c r="G615" t="s">
        <v>23</v>
      </c>
      <c r="H615" t="s">
        <v>17</v>
      </c>
      <c r="I615" s="3">
        <v>18592</v>
      </c>
      <c r="J615" s="3" t="str">
        <f t="shared" si="9"/>
        <v>High</v>
      </c>
      <c r="K615" t="b">
        <v>1</v>
      </c>
      <c r="L615" t="b">
        <v>1</v>
      </c>
      <c r="M615" t="b">
        <v>1</v>
      </c>
    </row>
    <row r="616" spans="1:13" x14ac:dyDescent="0.3">
      <c r="A616">
        <v>46</v>
      </c>
      <c r="B616" t="s">
        <v>12</v>
      </c>
      <c r="C616" s="1">
        <v>3</v>
      </c>
      <c r="D616" t="s">
        <v>19</v>
      </c>
      <c r="E616" t="s">
        <v>26</v>
      </c>
      <c r="F616" t="s">
        <v>15</v>
      </c>
      <c r="G616" t="s">
        <v>23</v>
      </c>
      <c r="H616" t="s">
        <v>24</v>
      </c>
      <c r="I616" s="3">
        <v>12233</v>
      </c>
      <c r="J616" s="3" t="str">
        <f t="shared" si="9"/>
        <v>Medium</v>
      </c>
      <c r="K616" t="b">
        <v>0</v>
      </c>
      <c r="L616" t="b">
        <v>1</v>
      </c>
      <c r="M616" t="b">
        <v>0</v>
      </c>
    </row>
    <row r="617" spans="1:13" x14ac:dyDescent="0.3">
      <c r="A617">
        <v>54</v>
      </c>
      <c r="B617" t="s">
        <v>12</v>
      </c>
      <c r="C617" s="1">
        <v>2</v>
      </c>
      <c r="D617" t="s">
        <v>13</v>
      </c>
      <c r="E617" t="s">
        <v>26</v>
      </c>
      <c r="F617" t="s">
        <v>27</v>
      </c>
      <c r="G617" t="s">
        <v>29</v>
      </c>
      <c r="H617" t="s">
        <v>17</v>
      </c>
      <c r="I617" s="3">
        <v>14700</v>
      </c>
      <c r="J617" s="3" t="str">
        <f t="shared" si="9"/>
        <v>Medium</v>
      </c>
      <c r="K617" t="b">
        <v>0</v>
      </c>
      <c r="L617" t="b">
        <v>0</v>
      </c>
      <c r="M617" t="b">
        <v>1</v>
      </c>
    </row>
    <row r="618" spans="1:13" x14ac:dyDescent="0.3">
      <c r="A618">
        <v>55</v>
      </c>
      <c r="B618" t="s">
        <v>18</v>
      </c>
      <c r="C618" s="1">
        <v>9</v>
      </c>
      <c r="D618" t="s">
        <v>13</v>
      </c>
      <c r="E618" t="s">
        <v>26</v>
      </c>
      <c r="F618" t="s">
        <v>22</v>
      </c>
      <c r="G618" t="s">
        <v>29</v>
      </c>
      <c r="H618" t="s">
        <v>24</v>
      </c>
      <c r="I618" s="3">
        <v>15906</v>
      </c>
      <c r="J618" s="3" t="str">
        <f t="shared" si="9"/>
        <v>High</v>
      </c>
      <c r="K618" t="b">
        <v>0</v>
      </c>
      <c r="L618" t="b">
        <v>1</v>
      </c>
      <c r="M618" t="b">
        <v>1</v>
      </c>
    </row>
    <row r="619" spans="1:13" x14ac:dyDescent="0.3">
      <c r="A619">
        <v>36</v>
      </c>
      <c r="B619" t="s">
        <v>25</v>
      </c>
      <c r="C619" s="1">
        <v>5</v>
      </c>
      <c r="D619" t="s">
        <v>28</v>
      </c>
      <c r="E619" t="s">
        <v>14</v>
      </c>
      <c r="F619" t="s">
        <v>22</v>
      </c>
      <c r="G619" t="s">
        <v>23</v>
      </c>
      <c r="H619" t="s">
        <v>21</v>
      </c>
      <c r="I619" s="3">
        <v>17860</v>
      </c>
      <c r="J619" s="3" t="str">
        <f t="shared" si="9"/>
        <v>High</v>
      </c>
      <c r="K619" t="b">
        <v>1</v>
      </c>
      <c r="L619" t="b">
        <v>1</v>
      </c>
      <c r="M619" t="b">
        <v>0</v>
      </c>
    </row>
    <row r="620" spans="1:13" x14ac:dyDescent="0.3">
      <c r="A620">
        <v>25</v>
      </c>
      <c r="B620" t="s">
        <v>25</v>
      </c>
      <c r="C620" s="1">
        <v>7</v>
      </c>
      <c r="D620" t="s">
        <v>13</v>
      </c>
      <c r="E620" t="s">
        <v>20</v>
      </c>
      <c r="F620" t="s">
        <v>22</v>
      </c>
      <c r="G620" t="s">
        <v>16</v>
      </c>
      <c r="H620" t="s">
        <v>17</v>
      </c>
      <c r="I620" s="3">
        <v>17526</v>
      </c>
      <c r="J620" s="3" t="str">
        <f t="shared" si="9"/>
        <v>High</v>
      </c>
      <c r="K620" t="b">
        <v>1</v>
      </c>
      <c r="L620" t="b">
        <v>1</v>
      </c>
      <c r="M620" t="b">
        <v>0</v>
      </c>
    </row>
    <row r="621" spans="1:13" x14ac:dyDescent="0.3">
      <c r="A621">
        <v>62</v>
      </c>
      <c r="B621" t="s">
        <v>12</v>
      </c>
      <c r="C621" s="1">
        <v>2</v>
      </c>
      <c r="D621" t="s">
        <v>28</v>
      </c>
      <c r="E621" t="s">
        <v>20</v>
      </c>
      <c r="F621" t="s">
        <v>15</v>
      </c>
      <c r="G621" t="s">
        <v>23</v>
      </c>
      <c r="H621" t="s">
        <v>24</v>
      </c>
      <c r="I621" s="3">
        <v>15559</v>
      </c>
      <c r="J621" s="3" t="str">
        <f t="shared" si="9"/>
        <v>High</v>
      </c>
      <c r="K621" t="b">
        <v>0</v>
      </c>
      <c r="L621" t="b">
        <v>1</v>
      </c>
      <c r="M621" t="b">
        <v>1</v>
      </c>
    </row>
    <row r="622" spans="1:13" x14ac:dyDescent="0.3">
      <c r="A622">
        <v>18</v>
      </c>
      <c r="B622" t="s">
        <v>12</v>
      </c>
      <c r="C622" s="1">
        <v>9</v>
      </c>
      <c r="D622" t="s">
        <v>19</v>
      </c>
      <c r="E622" t="s">
        <v>14</v>
      </c>
      <c r="F622" t="s">
        <v>27</v>
      </c>
      <c r="G622" t="s">
        <v>29</v>
      </c>
      <c r="H622" t="s">
        <v>21</v>
      </c>
      <c r="I622" s="3">
        <v>16732</v>
      </c>
      <c r="J622" s="3" t="str">
        <f t="shared" si="9"/>
        <v>High</v>
      </c>
      <c r="K622" t="b">
        <v>0</v>
      </c>
      <c r="L622" t="b">
        <v>0</v>
      </c>
      <c r="M622" t="b">
        <v>0</v>
      </c>
    </row>
    <row r="623" spans="1:13" x14ac:dyDescent="0.3">
      <c r="A623">
        <v>39</v>
      </c>
      <c r="B623" t="s">
        <v>25</v>
      </c>
      <c r="C623" s="1">
        <v>9</v>
      </c>
      <c r="D623" t="s">
        <v>28</v>
      </c>
      <c r="E623" t="s">
        <v>20</v>
      </c>
      <c r="F623" t="s">
        <v>22</v>
      </c>
      <c r="G623" t="s">
        <v>23</v>
      </c>
      <c r="H623" t="s">
        <v>21</v>
      </c>
      <c r="I623" s="3">
        <v>12513</v>
      </c>
      <c r="J623" s="3" t="str">
        <f t="shared" si="9"/>
        <v>Medium</v>
      </c>
      <c r="K623" t="b">
        <v>1</v>
      </c>
      <c r="L623" t="b">
        <v>1</v>
      </c>
      <c r="M623" t="b">
        <v>0</v>
      </c>
    </row>
    <row r="624" spans="1:13" x14ac:dyDescent="0.3">
      <c r="A624">
        <v>34</v>
      </c>
      <c r="B624" t="s">
        <v>18</v>
      </c>
      <c r="C624" s="1">
        <v>4</v>
      </c>
      <c r="D624" t="s">
        <v>28</v>
      </c>
      <c r="E624" t="s">
        <v>26</v>
      </c>
      <c r="F624" t="s">
        <v>15</v>
      </c>
      <c r="G624" t="s">
        <v>16</v>
      </c>
      <c r="H624" t="s">
        <v>21</v>
      </c>
      <c r="I624" s="3">
        <v>17830</v>
      </c>
      <c r="J624" s="3" t="str">
        <f t="shared" si="9"/>
        <v>High</v>
      </c>
      <c r="K624" t="b">
        <v>1</v>
      </c>
      <c r="L624" t="b">
        <v>0</v>
      </c>
      <c r="M624" t="b">
        <v>0</v>
      </c>
    </row>
    <row r="625" spans="1:13" x14ac:dyDescent="0.3">
      <c r="A625">
        <v>24</v>
      </c>
      <c r="B625" t="s">
        <v>12</v>
      </c>
      <c r="C625" s="1">
        <v>4</v>
      </c>
      <c r="D625" t="s">
        <v>13</v>
      </c>
      <c r="E625" t="s">
        <v>20</v>
      </c>
      <c r="F625" t="s">
        <v>15</v>
      </c>
      <c r="G625" t="s">
        <v>23</v>
      </c>
      <c r="H625" t="s">
        <v>24</v>
      </c>
      <c r="I625" s="3">
        <v>19965</v>
      </c>
      <c r="J625" s="3" t="str">
        <f t="shared" si="9"/>
        <v>High</v>
      </c>
      <c r="K625" t="b">
        <v>1</v>
      </c>
      <c r="L625" t="b">
        <v>0</v>
      </c>
      <c r="M625" t="b">
        <v>0</v>
      </c>
    </row>
    <row r="626" spans="1:13" x14ac:dyDescent="0.3">
      <c r="A626">
        <v>42</v>
      </c>
      <c r="B626" t="s">
        <v>12</v>
      </c>
      <c r="C626" s="1">
        <v>6</v>
      </c>
      <c r="D626" t="s">
        <v>13</v>
      </c>
      <c r="E626" t="s">
        <v>20</v>
      </c>
      <c r="F626" t="s">
        <v>15</v>
      </c>
      <c r="G626" t="s">
        <v>29</v>
      </c>
      <c r="H626" t="s">
        <v>17</v>
      </c>
      <c r="I626" s="3">
        <v>16944</v>
      </c>
      <c r="J626" s="3" t="str">
        <f t="shared" si="9"/>
        <v>High</v>
      </c>
      <c r="K626" t="b">
        <v>0</v>
      </c>
      <c r="L626" t="b">
        <v>1</v>
      </c>
      <c r="M626" t="b">
        <v>0</v>
      </c>
    </row>
    <row r="627" spans="1:13" x14ac:dyDescent="0.3">
      <c r="A627">
        <v>62</v>
      </c>
      <c r="B627" t="s">
        <v>25</v>
      </c>
      <c r="C627" s="1">
        <v>6</v>
      </c>
      <c r="D627" t="s">
        <v>28</v>
      </c>
      <c r="E627" t="s">
        <v>20</v>
      </c>
      <c r="F627" t="s">
        <v>22</v>
      </c>
      <c r="G627" t="s">
        <v>23</v>
      </c>
      <c r="H627" t="s">
        <v>17</v>
      </c>
      <c r="I627" s="3">
        <v>17910</v>
      </c>
      <c r="J627" s="3" t="str">
        <f t="shared" si="9"/>
        <v>High</v>
      </c>
      <c r="K627" t="b">
        <v>0</v>
      </c>
      <c r="L627" t="b">
        <v>0</v>
      </c>
      <c r="M627" t="b">
        <v>1</v>
      </c>
    </row>
    <row r="628" spans="1:13" x14ac:dyDescent="0.3">
      <c r="A628">
        <v>21</v>
      </c>
      <c r="B628" t="s">
        <v>18</v>
      </c>
      <c r="C628" s="1">
        <v>1</v>
      </c>
      <c r="D628" t="s">
        <v>13</v>
      </c>
      <c r="E628" t="s">
        <v>26</v>
      </c>
      <c r="F628" t="s">
        <v>22</v>
      </c>
      <c r="G628" t="s">
        <v>29</v>
      </c>
      <c r="H628" t="s">
        <v>24</v>
      </c>
      <c r="I628" s="3">
        <v>15649</v>
      </c>
      <c r="J628" s="3" t="str">
        <f t="shared" si="9"/>
        <v>High</v>
      </c>
      <c r="K628" t="b">
        <v>1</v>
      </c>
      <c r="L628" t="b">
        <v>0</v>
      </c>
      <c r="M628" t="b">
        <v>1</v>
      </c>
    </row>
    <row r="629" spans="1:13" x14ac:dyDescent="0.3">
      <c r="A629">
        <v>53</v>
      </c>
      <c r="B629" t="s">
        <v>25</v>
      </c>
      <c r="C629" s="1">
        <v>9</v>
      </c>
      <c r="D629" t="s">
        <v>13</v>
      </c>
      <c r="E629" t="s">
        <v>14</v>
      </c>
      <c r="F629" t="s">
        <v>22</v>
      </c>
      <c r="G629" t="s">
        <v>29</v>
      </c>
      <c r="H629" t="s">
        <v>17</v>
      </c>
      <c r="I629" s="3">
        <v>11096</v>
      </c>
      <c r="J629" s="3" t="str">
        <f t="shared" si="9"/>
        <v>Low</v>
      </c>
      <c r="K629" t="b">
        <v>0</v>
      </c>
      <c r="L629" t="b">
        <v>0</v>
      </c>
      <c r="M629" t="b">
        <v>1</v>
      </c>
    </row>
    <row r="630" spans="1:13" x14ac:dyDescent="0.3">
      <c r="A630">
        <v>23</v>
      </c>
      <c r="B630" t="s">
        <v>18</v>
      </c>
      <c r="C630" s="1">
        <v>2</v>
      </c>
      <c r="D630" t="s">
        <v>13</v>
      </c>
      <c r="E630" t="s">
        <v>26</v>
      </c>
      <c r="F630" t="s">
        <v>22</v>
      </c>
      <c r="G630" t="s">
        <v>23</v>
      </c>
      <c r="H630" t="s">
        <v>24</v>
      </c>
      <c r="I630" s="3">
        <v>19120</v>
      </c>
      <c r="J630" s="3" t="str">
        <f t="shared" si="9"/>
        <v>High</v>
      </c>
      <c r="K630" t="b">
        <v>0</v>
      </c>
      <c r="L630" t="b">
        <v>0</v>
      </c>
      <c r="M630" t="b">
        <v>1</v>
      </c>
    </row>
    <row r="631" spans="1:13" x14ac:dyDescent="0.3">
      <c r="A631">
        <v>48</v>
      </c>
      <c r="B631" t="s">
        <v>18</v>
      </c>
      <c r="C631" s="1">
        <v>5</v>
      </c>
      <c r="D631" t="s">
        <v>28</v>
      </c>
      <c r="E631" t="s">
        <v>14</v>
      </c>
      <c r="F631" t="s">
        <v>22</v>
      </c>
      <c r="G631" t="s">
        <v>29</v>
      </c>
      <c r="H631" t="s">
        <v>17</v>
      </c>
      <c r="I631" s="3">
        <v>11951</v>
      </c>
      <c r="J631" s="3" t="str">
        <f t="shared" si="9"/>
        <v>Low</v>
      </c>
      <c r="K631" t="b">
        <v>0</v>
      </c>
      <c r="L631" t="b">
        <v>0</v>
      </c>
      <c r="M631" t="b">
        <v>1</v>
      </c>
    </row>
    <row r="632" spans="1:13" x14ac:dyDescent="0.3">
      <c r="A632">
        <v>36</v>
      </c>
      <c r="B632" t="s">
        <v>18</v>
      </c>
      <c r="C632" s="1">
        <v>9</v>
      </c>
      <c r="D632" t="s">
        <v>13</v>
      </c>
      <c r="E632" t="s">
        <v>14</v>
      </c>
      <c r="F632" t="s">
        <v>22</v>
      </c>
      <c r="G632" t="s">
        <v>29</v>
      </c>
      <c r="H632" t="s">
        <v>21</v>
      </c>
      <c r="I632" s="3">
        <v>19746</v>
      </c>
      <c r="J632" s="3" t="str">
        <f t="shared" si="9"/>
        <v>High</v>
      </c>
      <c r="K632" t="b">
        <v>0</v>
      </c>
      <c r="L632" t="b">
        <v>0</v>
      </c>
      <c r="M632" t="b">
        <v>1</v>
      </c>
    </row>
    <row r="633" spans="1:13" x14ac:dyDescent="0.3">
      <c r="A633">
        <v>61</v>
      </c>
      <c r="B633" t="s">
        <v>12</v>
      </c>
      <c r="C633" s="1">
        <v>4</v>
      </c>
      <c r="D633" t="s">
        <v>28</v>
      </c>
      <c r="E633" t="s">
        <v>14</v>
      </c>
      <c r="F633" t="s">
        <v>22</v>
      </c>
      <c r="G633" t="s">
        <v>16</v>
      </c>
      <c r="H633" t="s">
        <v>17</v>
      </c>
      <c r="I633" s="3">
        <v>19186</v>
      </c>
      <c r="J633" s="3" t="str">
        <f t="shared" si="9"/>
        <v>High</v>
      </c>
      <c r="K633" t="b">
        <v>0</v>
      </c>
      <c r="L633" t="b">
        <v>0</v>
      </c>
      <c r="M633" t="b">
        <v>1</v>
      </c>
    </row>
    <row r="634" spans="1:13" x14ac:dyDescent="0.3">
      <c r="A634">
        <v>56</v>
      </c>
      <c r="B634" t="s">
        <v>25</v>
      </c>
      <c r="C634" s="1">
        <v>3</v>
      </c>
      <c r="D634" t="s">
        <v>13</v>
      </c>
      <c r="E634" t="s">
        <v>20</v>
      </c>
      <c r="F634" t="s">
        <v>22</v>
      </c>
      <c r="G634" t="s">
        <v>16</v>
      </c>
      <c r="H634" t="s">
        <v>24</v>
      </c>
      <c r="I634" s="3">
        <v>17799</v>
      </c>
      <c r="J634" s="3" t="str">
        <f t="shared" si="9"/>
        <v>High</v>
      </c>
      <c r="K634" t="b">
        <v>0</v>
      </c>
      <c r="L634" t="b">
        <v>1</v>
      </c>
      <c r="M634" t="b">
        <v>0</v>
      </c>
    </row>
    <row r="635" spans="1:13" x14ac:dyDescent="0.3">
      <c r="A635">
        <v>44</v>
      </c>
      <c r="B635" t="s">
        <v>25</v>
      </c>
      <c r="C635" s="1">
        <v>7</v>
      </c>
      <c r="D635" t="s">
        <v>19</v>
      </c>
      <c r="E635" t="s">
        <v>20</v>
      </c>
      <c r="F635" t="s">
        <v>22</v>
      </c>
      <c r="G635" t="s">
        <v>16</v>
      </c>
      <c r="H635" t="s">
        <v>24</v>
      </c>
      <c r="I635" s="3">
        <v>18804</v>
      </c>
      <c r="J635" s="3" t="str">
        <f t="shared" si="9"/>
        <v>High</v>
      </c>
      <c r="K635" t="b">
        <v>0</v>
      </c>
      <c r="L635" t="b">
        <v>1</v>
      </c>
      <c r="M635" t="b">
        <v>1</v>
      </c>
    </row>
    <row r="636" spans="1:13" x14ac:dyDescent="0.3">
      <c r="A636">
        <v>27</v>
      </c>
      <c r="B636" t="s">
        <v>18</v>
      </c>
      <c r="C636" s="1">
        <v>6</v>
      </c>
      <c r="D636" t="s">
        <v>13</v>
      </c>
      <c r="E636" t="s">
        <v>14</v>
      </c>
      <c r="F636" t="s">
        <v>15</v>
      </c>
      <c r="G636" t="s">
        <v>16</v>
      </c>
      <c r="H636" t="s">
        <v>21</v>
      </c>
      <c r="I636" s="3">
        <v>10595</v>
      </c>
      <c r="J636" s="3" t="str">
        <f t="shared" si="9"/>
        <v>Low</v>
      </c>
      <c r="K636" t="b">
        <v>1</v>
      </c>
      <c r="L636" t="b">
        <v>0</v>
      </c>
      <c r="M636" t="b">
        <v>1</v>
      </c>
    </row>
    <row r="637" spans="1:13" x14ac:dyDescent="0.3">
      <c r="A637">
        <v>43</v>
      </c>
      <c r="B637" t="s">
        <v>12</v>
      </c>
      <c r="C637" s="1">
        <v>8</v>
      </c>
      <c r="D637" t="s">
        <v>13</v>
      </c>
      <c r="E637" t="s">
        <v>14</v>
      </c>
      <c r="F637" t="s">
        <v>22</v>
      </c>
      <c r="G637" t="s">
        <v>29</v>
      </c>
      <c r="H637" t="s">
        <v>24</v>
      </c>
      <c r="I637" s="3">
        <v>17875</v>
      </c>
      <c r="J637" s="3" t="str">
        <f t="shared" si="9"/>
        <v>High</v>
      </c>
      <c r="K637" t="b">
        <v>1</v>
      </c>
      <c r="L637" t="b">
        <v>0</v>
      </c>
      <c r="M637" t="b">
        <v>1</v>
      </c>
    </row>
    <row r="638" spans="1:13" x14ac:dyDescent="0.3">
      <c r="A638">
        <v>36</v>
      </c>
      <c r="B638" t="s">
        <v>12</v>
      </c>
      <c r="C638" s="1">
        <v>3</v>
      </c>
      <c r="D638" t="s">
        <v>28</v>
      </c>
      <c r="E638" t="s">
        <v>20</v>
      </c>
      <c r="F638" t="s">
        <v>27</v>
      </c>
      <c r="G638" t="s">
        <v>23</v>
      </c>
      <c r="H638" t="s">
        <v>17</v>
      </c>
      <c r="I638" s="3">
        <v>19033</v>
      </c>
      <c r="J638" s="3" t="str">
        <f t="shared" si="9"/>
        <v>High</v>
      </c>
      <c r="K638" t="b">
        <v>1</v>
      </c>
      <c r="L638" t="b">
        <v>1</v>
      </c>
      <c r="M638" t="b">
        <v>0</v>
      </c>
    </row>
    <row r="639" spans="1:13" x14ac:dyDescent="0.3">
      <c r="A639">
        <v>56</v>
      </c>
      <c r="B639" t="s">
        <v>25</v>
      </c>
      <c r="C639" s="1">
        <v>5</v>
      </c>
      <c r="D639" t="s">
        <v>28</v>
      </c>
      <c r="E639" t="s">
        <v>26</v>
      </c>
      <c r="F639" t="s">
        <v>15</v>
      </c>
      <c r="G639" t="s">
        <v>29</v>
      </c>
      <c r="H639" t="s">
        <v>17</v>
      </c>
      <c r="I639" s="3">
        <v>14439</v>
      </c>
      <c r="J639" s="3" t="str">
        <f t="shared" si="9"/>
        <v>Medium</v>
      </c>
      <c r="K639" t="b">
        <v>1</v>
      </c>
      <c r="L639" t="b">
        <v>1</v>
      </c>
      <c r="M639" t="b">
        <v>1</v>
      </c>
    </row>
    <row r="640" spans="1:13" x14ac:dyDescent="0.3">
      <c r="A640">
        <v>20</v>
      </c>
      <c r="B640" t="s">
        <v>12</v>
      </c>
      <c r="C640" s="1">
        <v>4</v>
      </c>
      <c r="D640" t="s">
        <v>13</v>
      </c>
      <c r="E640" t="s">
        <v>14</v>
      </c>
      <c r="F640" t="s">
        <v>22</v>
      </c>
      <c r="G640" t="s">
        <v>29</v>
      </c>
      <c r="H640" t="s">
        <v>21</v>
      </c>
      <c r="I640" s="3">
        <v>15972</v>
      </c>
      <c r="J640" s="3" t="str">
        <f t="shared" si="9"/>
        <v>High</v>
      </c>
      <c r="K640" t="b">
        <v>1</v>
      </c>
      <c r="L640" t="b">
        <v>1</v>
      </c>
      <c r="M640" t="b">
        <v>1</v>
      </c>
    </row>
    <row r="641" spans="1:13" x14ac:dyDescent="0.3">
      <c r="A641">
        <v>62</v>
      </c>
      <c r="B641" t="s">
        <v>12</v>
      </c>
      <c r="C641" s="1">
        <v>4</v>
      </c>
      <c r="D641" t="s">
        <v>19</v>
      </c>
      <c r="E641" t="s">
        <v>26</v>
      </c>
      <c r="F641" t="s">
        <v>27</v>
      </c>
      <c r="G641" t="s">
        <v>29</v>
      </c>
      <c r="H641" t="s">
        <v>24</v>
      </c>
      <c r="I641" s="3">
        <v>10858</v>
      </c>
      <c r="J641" s="3" t="str">
        <f t="shared" si="9"/>
        <v>Low</v>
      </c>
      <c r="K641" t="b">
        <v>1</v>
      </c>
      <c r="L641" t="b">
        <v>1</v>
      </c>
      <c r="M641" t="b">
        <v>0</v>
      </c>
    </row>
    <row r="642" spans="1:13" x14ac:dyDescent="0.3">
      <c r="A642">
        <v>30</v>
      </c>
      <c r="B642" t="s">
        <v>18</v>
      </c>
      <c r="C642" s="1">
        <v>4</v>
      </c>
      <c r="D642" t="s">
        <v>13</v>
      </c>
      <c r="E642" t="s">
        <v>20</v>
      </c>
      <c r="F642" t="s">
        <v>22</v>
      </c>
      <c r="G642" t="s">
        <v>23</v>
      </c>
      <c r="H642" t="s">
        <v>21</v>
      </c>
      <c r="I642" s="3">
        <v>15519</v>
      </c>
      <c r="J642" s="3" t="str">
        <f t="shared" si="9"/>
        <v>High</v>
      </c>
      <c r="K642" t="b">
        <v>1</v>
      </c>
      <c r="L642" t="b">
        <v>0</v>
      </c>
      <c r="M642" t="b">
        <v>1</v>
      </c>
    </row>
    <row r="643" spans="1:13" x14ac:dyDescent="0.3">
      <c r="A643">
        <v>45</v>
      </c>
      <c r="B643" t="s">
        <v>12</v>
      </c>
      <c r="C643" s="1">
        <v>8</v>
      </c>
      <c r="D643" t="s">
        <v>13</v>
      </c>
      <c r="E643" t="s">
        <v>14</v>
      </c>
      <c r="F643" t="s">
        <v>27</v>
      </c>
      <c r="G643" t="s">
        <v>16</v>
      </c>
      <c r="H643" t="s">
        <v>17</v>
      </c>
      <c r="I643" s="3">
        <v>17385</v>
      </c>
      <c r="J643" s="3" t="str">
        <f t="shared" ref="J643:J706" si="10">IF(I643&gt;16000, "High", IF(I643&gt;=12000, IF(I643&lt;=15000, "Medium", "High"), "Low"))</f>
        <v>High</v>
      </c>
      <c r="K643" t="b">
        <v>1</v>
      </c>
      <c r="L643" t="b">
        <v>0</v>
      </c>
      <c r="M643" t="b">
        <v>1</v>
      </c>
    </row>
    <row r="644" spans="1:13" x14ac:dyDescent="0.3">
      <c r="A644">
        <v>37</v>
      </c>
      <c r="B644" t="s">
        <v>18</v>
      </c>
      <c r="C644" s="1">
        <v>6</v>
      </c>
      <c r="D644" t="s">
        <v>19</v>
      </c>
      <c r="E644" t="s">
        <v>26</v>
      </c>
      <c r="F644" t="s">
        <v>27</v>
      </c>
      <c r="G644" t="s">
        <v>29</v>
      </c>
      <c r="H644" t="s">
        <v>21</v>
      </c>
      <c r="I644" s="3">
        <v>18636</v>
      </c>
      <c r="J644" s="3" t="str">
        <f t="shared" si="10"/>
        <v>High</v>
      </c>
      <c r="K644" t="b">
        <v>1</v>
      </c>
      <c r="L644" t="b">
        <v>1</v>
      </c>
      <c r="M644" t="b">
        <v>0</v>
      </c>
    </row>
    <row r="645" spans="1:13" x14ac:dyDescent="0.3">
      <c r="A645">
        <v>45</v>
      </c>
      <c r="B645" t="s">
        <v>25</v>
      </c>
      <c r="C645" s="1">
        <v>3</v>
      </c>
      <c r="D645" t="s">
        <v>28</v>
      </c>
      <c r="E645" t="s">
        <v>26</v>
      </c>
      <c r="F645" t="s">
        <v>27</v>
      </c>
      <c r="G645" t="s">
        <v>29</v>
      </c>
      <c r="H645" t="s">
        <v>24</v>
      </c>
      <c r="I645" s="3">
        <v>19980</v>
      </c>
      <c r="J645" s="3" t="str">
        <f t="shared" si="10"/>
        <v>High</v>
      </c>
      <c r="K645" t="b">
        <v>0</v>
      </c>
      <c r="L645" t="b">
        <v>1</v>
      </c>
      <c r="M645" t="b">
        <v>1</v>
      </c>
    </row>
    <row r="646" spans="1:13" x14ac:dyDescent="0.3">
      <c r="A646">
        <v>25</v>
      </c>
      <c r="B646" t="s">
        <v>12</v>
      </c>
      <c r="C646" s="1">
        <v>5</v>
      </c>
      <c r="D646" t="s">
        <v>13</v>
      </c>
      <c r="E646" t="s">
        <v>26</v>
      </c>
      <c r="F646" t="s">
        <v>27</v>
      </c>
      <c r="G646" t="s">
        <v>16</v>
      </c>
      <c r="H646" t="s">
        <v>21</v>
      </c>
      <c r="I646" s="3">
        <v>14317</v>
      </c>
      <c r="J646" s="3" t="str">
        <f t="shared" si="10"/>
        <v>Medium</v>
      </c>
      <c r="K646" t="b">
        <v>0</v>
      </c>
      <c r="L646" t="b">
        <v>1</v>
      </c>
      <c r="M646" t="b">
        <v>0</v>
      </c>
    </row>
    <row r="647" spans="1:13" x14ac:dyDescent="0.3">
      <c r="A647">
        <v>58</v>
      </c>
      <c r="B647" t="s">
        <v>25</v>
      </c>
      <c r="C647" s="1">
        <v>6</v>
      </c>
      <c r="D647" t="s">
        <v>28</v>
      </c>
      <c r="E647" t="s">
        <v>20</v>
      </c>
      <c r="F647" t="s">
        <v>15</v>
      </c>
      <c r="G647" t="s">
        <v>29</v>
      </c>
      <c r="H647" t="s">
        <v>24</v>
      </c>
      <c r="I647" s="3">
        <v>13454</v>
      </c>
      <c r="J647" s="3" t="str">
        <f t="shared" si="10"/>
        <v>Medium</v>
      </c>
      <c r="K647" t="b">
        <v>1</v>
      </c>
      <c r="L647" t="b">
        <v>1</v>
      </c>
      <c r="M647" t="b">
        <v>1</v>
      </c>
    </row>
    <row r="648" spans="1:13" x14ac:dyDescent="0.3">
      <c r="A648">
        <v>56</v>
      </c>
      <c r="B648" t="s">
        <v>25</v>
      </c>
      <c r="C648" s="1">
        <v>5</v>
      </c>
      <c r="D648" t="s">
        <v>28</v>
      </c>
      <c r="E648" t="s">
        <v>20</v>
      </c>
      <c r="F648" t="s">
        <v>15</v>
      </c>
      <c r="G648" t="s">
        <v>23</v>
      </c>
      <c r="H648" t="s">
        <v>24</v>
      </c>
      <c r="I648" s="3">
        <v>11030</v>
      </c>
      <c r="J648" s="3" t="str">
        <f t="shared" si="10"/>
        <v>Low</v>
      </c>
      <c r="K648" t="b">
        <v>0</v>
      </c>
      <c r="L648" t="b">
        <v>0</v>
      </c>
      <c r="M648" t="b">
        <v>1</v>
      </c>
    </row>
    <row r="649" spans="1:13" x14ac:dyDescent="0.3">
      <c r="A649">
        <v>18</v>
      </c>
      <c r="B649" t="s">
        <v>12</v>
      </c>
      <c r="C649" s="1">
        <v>6</v>
      </c>
      <c r="D649" t="s">
        <v>19</v>
      </c>
      <c r="E649" t="s">
        <v>26</v>
      </c>
      <c r="F649" t="s">
        <v>27</v>
      </c>
      <c r="G649" t="s">
        <v>29</v>
      </c>
      <c r="H649" t="s">
        <v>17</v>
      </c>
      <c r="I649" s="3">
        <v>19487</v>
      </c>
      <c r="J649" s="3" t="str">
        <f t="shared" si="10"/>
        <v>High</v>
      </c>
      <c r="K649" t="b">
        <v>0</v>
      </c>
      <c r="L649" t="b">
        <v>1</v>
      </c>
      <c r="M649" t="b">
        <v>1</v>
      </c>
    </row>
    <row r="650" spans="1:13" x14ac:dyDescent="0.3">
      <c r="A650">
        <v>20</v>
      </c>
      <c r="B650" t="s">
        <v>12</v>
      </c>
      <c r="C650" s="1">
        <v>8</v>
      </c>
      <c r="D650" t="s">
        <v>19</v>
      </c>
      <c r="E650" t="s">
        <v>26</v>
      </c>
      <c r="F650" t="s">
        <v>22</v>
      </c>
      <c r="G650" t="s">
        <v>29</v>
      </c>
      <c r="H650" t="s">
        <v>17</v>
      </c>
      <c r="I650" s="3">
        <v>17906</v>
      </c>
      <c r="J650" s="3" t="str">
        <f t="shared" si="10"/>
        <v>High</v>
      </c>
      <c r="K650" t="b">
        <v>1</v>
      </c>
      <c r="L650" t="b">
        <v>1</v>
      </c>
      <c r="M650" t="b">
        <v>0</v>
      </c>
    </row>
    <row r="651" spans="1:13" x14ac:dyDescent="0.3">
      <c r="A651">
        <v>30</v>
      </c>
      <c r="B651" t="s">
        <v>25</v>
      </c>
      <c r="C651" s="1">
        <v>7</v>
      </c>
      <c r="D651" t="s">
        <v>28</v>
      </c>
      <c r="E651" t="s">
        <v>20</v>
      </c>
      <c r="F651" t="s">
        <v>27</v>
      </c>
      <c r="G651" t="s">
        <v>16</v>
      </c>
      <c r="H651" t="s">
        <v>17</v>
      </c>
      <c r="I651" s="3">
        <v>11447</v>
      </c>
      <c r="J651" s="3" t="str">
        <f t="shared" si="10"/>
        <v>Low</v>
      </c>
      <c r="K651" t="b">
        <v>1</v>
      </c>
      <c r="L651" t="b">
        <v>1</v>
      </c>
      <c r="M651" t="b">
        <v>0</v>
      </c>
    </row>
    <row r="652" spans="1:13" x14ac:dyDescent="0.3">
      <c r="A652">
        <v>45</v>
      </c>
      <c r="B652" t="s">
        <v>12</v>
      </c>
      <c r="C652" s="1">
        <v>5</v>
      </c>
      <c r="D652" t="s">
        <v>13</v>
      </c>
      <c r="E652" t="s">
        <v>26</v>
      </c>
      <c r="F652" t="s">
        <v>15</v>
      </c>
      <c r="G652" t="s">
        <v>29</v>
      </c>
      <c r="H652" t="s">
        <v>24</v>
      </c>
      <c r="I652" s="3">
        <v>12850</v>
      </c>
      <c r="J652" s="3" t="str">
        <f t="shared" si="10"/>
        <v>Medium</v>
      </c>
      <c r="K652" t="b">
        <v>1</v>
      </c>
      <c r="L652" t="b">
        <v>0</v>
      </c>
      <c r="M652" t="b">
        <v>0</v>
      </c>
    </row>
    <row r="653" spans="1:13" x14ac:dyDescent="0.3">
      <c r="A653">
        <v>42</v>
      </c>
      <c r="B653" t="s">
        <v>18</v>
      </c>
      <c r="C653" s="1">
        <v>6</v>
      </c>
      <c r="D653" t="s">
        <v>28</v>
      </c>
      <c r="E653" t="s">
        <v>26</v>
      </c>
      <c r="F653" t="s">
        <v>22</v>
      </c>
      <c r="G653" t="s">
        <v>29</v>
      </c>
      <c r="H653" t="s">
        <v>21</v>
      </c>
      <c r="I653" s="3">
        <v>18106</v>
      </c>
      <c r="J653" s="3" t="str">
        <f t="shared" si="10"/>
        <v>High</v>
      </c>
      <c r="K653" t="b">
        <v>0</v>
      </c>
      <c r="L653" t="b">
        <v>0</v>
      </c>
      <c r="M653" t="b">
        <v>1</v>
      </c>
    </row>
    <row r="654" spans="1:13" x14ac:dyDescent="0.3">
      <c r="A654">
        <v>50</v>
      </c>
      <c r="B654" t="s">
        <v>18</v>
      </c>
      <c r="C654" s="1">
        <v>4</v>
      </c>
      <c r="D654" t="s">
        <v>13</v>
      </c>
      <c r="E654" t="s">
        <v>20</v>
      </c>
      <c r="F654" t="s">
        <v>15</v>
      </c>
      <c r="G654" t="s">
        <v>23</v>
      </c>
      <c r="H654" t="s">
        <v>24</v>
      </c>
      <c r="I654" s="3">
        <v>17151</v>
      </c>
      <c r="J654" s="3" t="str">
        <f t="shared" si="10"/>
        <v>High</v>
      </c>
      <c r="K654" t="b">
        <v>0</v>
      </c>
      <c r="L654" t="b">
        <v>0</v>
      </c>
      <c r="M654" t="b">
        <v>1</v>
      </c>
    </row>
    <row r="655" spans="1:13" x14ac:dyDescent="0.3">
      <c r="A655">
        <v>55</v>
      </c>
      <c r="B655" t="s">
        <v>12</v>
      </c>
      <c r="C655" s="1">
        <v>9</v>
      </c>
      <c r="D655" t="s">
        <v>13</v>
      </c>
      <c r="E655" t="s">
        <v>26</v>
      </c>
      <c r="F655" t="s">
        <v>15</v>
      </c>
      <c r="G655" t="s">
        <v>16</v>
      </c>
      <c r="H655" t="s">
        <v>17</v>
      </c>
      <c r="I655" s="3">
        <v>19503</v>
      </c>
      <c r="J655" s="3" t="str">
        <f t="shared" si="10"/>
        <v>High</v>
      </c>
      <c r="K655" t="b">
        <v>1</v>
      </c>
      <c r="L655" t="b">
        <v>1</v>
      </c>
      <c r="M655" t="b">
        <v>0</v>
      </c>
    </row>
    <row r="656" spans="1:13" x14ac:dyDescent="0.3">
      <c r="A656">
        <v>23</v>
      </c>
      <c r="B656" t="s">
        <v>25</v>
      </c>
      <c r="C656" s="1">
        <v>4</v>
      </c>
      <c r="D656" t="s">
        <v>19</v>
      </c>
      <c r="E656" t="s">
        <v>26</v>
      </c>
      <c r="F656" t="s">
        <v>22</v>
      </c>
      <c r="G656" t="s">
        <v>16</v>
      </c>
      <c r="H656" t="s">
        <v>17</v>
      </c>
      <c r="I656" s="3">
        <v>16952</v>
      </c>
      <c r="J656" s="3" t="str">
        <f t="shared" si="10"/>
        <v>High</v>
      </c>
      <c r="K656" t="b">
        <v>0</v>
      </c>
      <c r="L656" t="b">
        <v>1</v>
      </c>
      <c r="M656" t="b">
        <v>0</v>
      </c>
    </row>
    <row r="657" spans="1:13" x14ac:dyDescent="0.3">
      <c r="A657">
        <v>61</v>
      </c>
      <c r="B657" t="s">
        <v>12</v>
      </c>
      <c r="C657" s="1">
        <v>1</v>
      </c>
      <c r="D657" t="s">
        <v>13</v>
      </c>
      <c r="E657" t="s">
        <v>26</v>
      </c>
      <c r="F657" t="s">
        <v>27</v>
      </c>
      <c r="G657" t="s">
        <v>23</v>
      </c>
      <c r="H657" t="s">
        <v>21</v>
      </c>
      <c r="I657" s="3">
        <v>14055</v>
      </c>
      <c r="J657" s="3" t="str">
        <f t="shared" si="10"/>
        <v>Medium</v>
      </c>
      <c r="K657" t="b">
        <v>0</v>
      </c>
      <c r="L657" t="b">
        <v>1</v>
      </c>
      <c r="M657" t="b">
        <v>1</v>
      </c>
    </row>
    <row r="658" spans="1:13" x14ac:dyDescent="0.3">
      <c r="A658">
        <v>62</v>
      </c>
      <c r="B658" t="s">
        <v>12</v>
      </c>
      <c r="C658" s="1">
        <v>7</v>
      </c>
      <c r="D658" t="s">
        <v>13</v>
      </c>
      <c r="E658" t="s">
        <v>20</v>
      </c>
      <c r="F658" t="s">
        <v>27</v>
      </c>
      <c r="G658" t="s">
        <v>29</v>
      </c>
      <c r="H658" t="s">
        <v>17</v>
      </c>
      <c r="I658" s="3">
        <v>15402</v>
      </c>
      <c r="J658" s="3" t="str">
        <f t="shared" si="10"/>
        <v>High</v>
      </c>
      <c r="K658" t="b">
        <v>0</v>
      </c>
      <c r="L658" t="b">
        <v>0</v>
      </c>
      <c r="M658" t="b">
        <v>1</v>
      </c>
    </row>
    <row r="659" spans="1:13" x14ac:dyDescent="0.3">
      <c r="A659">
        <v>49</v>
      </c>
      <c r="B659" t="s">
        <v>25</v>
      </c>
      <c r="C659" s="1">
        <v>7</v>
      </c>
      <c r="D659" t="s">
        <v>28</v>
      </c>
      <c r="E659" t="s">
        <v>26</v>
      </c>
      <c r="F659" t="s">
        <v>27</v>
      </c>
      <c r="G659" t="s">
        <v>16</v>
      </c>
      <c r="H659" t="s">
        <v>17</v>
      </c>
      <c r="I659" s="3">
        <v>19281</v>
      </c>
      <c r="J659" s="3" t="str">
        <f t="shared" si="10"/>
        <v>High</v>
      </c>
      <c r="K659" t="b">
        <v>1</v>
      </c>
      <c r="L659" t="b">
        <v>0</v>
      </c>
      <c r="M659" t="b">
        <v>1</v>
      </c>
    </row>
    <row r="660" spans="1:13" x14ac:dyDescent="0.3">
      <c r="A660">
        <v>62</v>
      </c>
      <c r="B660" t="s">
        <v>25</v>
      </c>
      <c r="C660" s="1">
        <v>4</v>
      </c>
      <c r="D660" t="s">
        <v>19</v>
      </c>
      <c r="E660" t="s">
        <v>20</v>
      </c>
      <c r="F660" t="s">
        <v>27</v>
      </c>
      <c r="G660" t="s">
        <v>16</v>
      </c>
      <c r="H660" t="s">
        <v>17</v>
      </c>
      <c r="I660" s="3">
        <v>11672</v>
      </c>
      <c r="J660" s="3" t="str">
        <f t="shared" si="10"/>
        <v>Low</v>
      </c>
      <c r="K660" t="b">
        <v>0</v>
      </c>
      <c r="L660" t="b">
        <v>1</v>
      </c>
      <c r="M660" t="b">
        <v>1</v>
      </c>
    </row>
    <row r="661" spans="1:13" x14ac:dyDescent="0.3">
      <c r="A661">
        <v>64</v>
      </c>
      <c r="B661" t="s">
        <v>18</v>
      </c>
      <c r="C661" s="1">
        <v>3</v>
      </c>
      <c r="D661" t="s">
        <v>13</v>
      </c>
      <c r="E661" t="s">
        <v>20</v>
      </c>
      <c r="F661" t="s">
        <v>22</v>
      </c>
      <c r="G661" t="s">
        <v>29</v>
      </c>
      <c r="H661" t="s">
        <v>21</v>
      </c>
      <c r="I661" s="3">
        <v>14532</v>
      </c>
      <c r="J661" s="3" t="str">
        <f t="shared" si="10"/>
        <v>Medium</v>
      </c>
      <c r="K661" t="b">
        <v>0</v>
      </c>
      <c r="L661" t="b">
        <v>1</v>
      </c>
      <c r="M661" t="b">
        <v>0</v>
      </c>
    </row>
    <row r="662" spans="1:13" x14ac:dyDescent="0.3">
      <c r="A662">
        <v>38</v>
      </c>
      <c r="B662" t="s">
        <v>25</v>
      </c>
      <c r="C662" s="1">
        <v>8</v>
      </c>
      <c r="D662" t="s">
        <v>13</v>
      </c>
      <c r="E662" t="s">
        <v>14</v>
      </c>
      <c r="F662" t="s">
        <v>22</v>
      </c>
      <c r="G662" t="s">
        <v>29</v>
      </c>
      <c r="H662" t="s">
        <v>24</v>
      </c>
      <c r="I662" s="3">
        <v>14924</v>
      </c>
      <c r="J662" s="3" t="str">
        <f t="shared" si="10"/>
        <v>Medium</v>
      </c>
      <c r="K662" t="b">
        <v>0</v>
      </c>
      <c r="L662" t="b">
        <v>0</v>
      </c>
      <c r="M662" t="b">
        <v>1</v>
      </c>
    </row>
    <row r="663" spans="1:13" x14ac:dyDescent="0.3">
      <c r="A663">
        <v>33</v>
      </c>
      <c r="B663" t="s">
        <v>18</v>
      </c>
      <c r="C663" s="1">
        <v>5</v>
      </c>
      <c r="D663" t="s">
        <v>19</v>
      </c>
      <c r="E663" t="s">
        <v>14</v>
      </c>
      <c r="F663" t="s">
        <v>22</v>
      </c>
      <c r="G663" t="s">
        <v>16</v>
      </c>
      <c r="H663" t="s">
        <v>17</v>
      </c>
      <c r="I663" s="3">
        <v>16085</v>
      </c>
      <c r="J663" s="3" t="str">
        <f t="shared" si="10"/>
        <v>High</v>
      </c>
      <c r="K663" t="b">
        <v>0</v>
      </c>
      <c r="L663" t="b">
        <v>1</v>
      </c>
      <c r="M663" t="b">
        <v>1</v>
      </c>
    </row>
    <row r="664" spans="1:13" x14ac:dyDescent="0.3">
      <c r="A664">
        <v>38</v>
      </c>
      <c r="B664" t="s">
        <v>25</v>
      </c>
      <c r="C664" s="1">
        <v>7</v>
      </c>
      <c r="D664" t="s">
        <v>28</v>
      </c>
      <c r="E664" t="s">
        <v>26</v>
      </c>
      <c r="F664" t="s">
        <v>15</v>
      </c>
      <c r="G664" t="s">
        <v>29</v>
      </c>
      <c r="H664" t="s">
        <v>21</v>
      </c>
      <c r="I664" s="3">
        <v>17734</v>
      </c>
      <c r="J664" s="3" t="str">
        <f t="shared" si="10"/>
        <v>High</v>
      </c>
      <c r="K664" t="b">
        <v>0</v>
      </c>
      <c r="L664" t="b">
        <v>1</v>
      </c>
      <c r="M664" t="b">
        <v>1</v>
      </c>
    </row>
    <row r="665" spans="1:13" x14ac:dyDescent="0.3">
      <c r="A665">
        <v>28</v>
      </c>
      <c r="B665" t="s">
        <v>12</v>
      </c>
      <c r="C665" s="1">
        <v>4</v>
      </c>
      <c r="D665" t="s">
        <v>19</v>
      </c>
      <c r="E665" t="s">
        <v>20</v>
      </c>
      <c r="F665" t="s">
        <v>22</v>
      </c>
      <c r="G665" t="s">
        <v>16</v>
      </c>
      <c r="H665" t="s">
        <v>17</v>
      </c>
      <c r="I665" s="3">
        <v>14864</v>
      </c>
      <c r="J665" s="3" t="str">
        <f t="shared" si="10"/>
        <v>Medium</v>
      </c>
      <c r="K665" t="b">
        <v>0</v>
      </c>
      <c r="L665" t="b">
        <v>1</v>
      </c>
      <c r="M665" t="b">
        <v>1</v>
      </c>
    </row>
    <row r="666" spans="1:13" x14ac:dyDescent="0.3">
      <c r="A666">
        <v>54</v>
      </c>
      <c r="B666" t="s">
        <v>18</v>
      </c>
      <c r="C666" s="1">
        <v>4</v>
      </c>
      <c r="D666" t="s">
        <v>19</v>
      </c>
      <c r="E666" t="s">
        <v>14</v>
      </c>
      <c r="F666" t="s">
        <v>27</v>
      </c>
      <c r="G666" t="s">
        <v>29</v>
      </c>
      <c r="H666" t="s">
        <v>21</v>
      </c>
      <c r="I666" s="3">
        <v>19316</v>
      </c>
      <c r="J666" s="3" t="str">
        <f t="shared" si="10"/>
        <v>High</v>
      </c>
      <c r="K666" t="b">
        <v>0</v>
      </c>
      <c r="L666" t="b">
        <v>0</v>
      </c>
      <c r="M666" t="b">
        <v>1</v>
      </c>
    </row>
    <row r="667" spans="1:13" x14ac:dyDescent="0.3">
      <c r="A667">
        <v>53</v>
      </c>
      <c r="B667" t="s">
        <v>18</v>
      </c>
      <c r="C667" s="1">
        <v>8</v>
      </c>
      <c r="D667" t="s">
        <v>13</v>
      </c>
      <c r="E667" t="s">
        <v>26</v>
      </c>
      <c r="F667" t="s">
        <v>15</v>
      </c>
      <c r="G667" t="s">
        <v>29</v>
      </c>
      <c r="H667" t="s">
        <v>17</v>
      </c>
      <c r="I667" s="3">
        <v>11221</v>
      </c>
      <c r="J667" s="3" t="str">
        <f t="shared" si="10"/>
        <v>Low</v>
      </c>
      <c r="K667" t="b">
        <v>1</v>
      </c>
      <c r="L667" t="b">
        <v>1</v>
      </c>
      <c r="M667" t="b">
        <v>1</v>
      </c>
    </row>
    <row r="668" spans="1:13" x14ac:dyDescent="0.3">
      <c r="A668">
        <v>52</v>
      </c>
      <c r="B668" t="s">
        <v>18</v>
      </c>
      <c r="C668" s="1">
        <v>8</v>
      </c>
      <c r="D668" t="s">
        <v>13</v>
      </c>
      <c r="E668" t="s">
        <v>14</v>
      </c>
      <c r="F668" t="s">
        <v>27</v>
      </c>
      <c r="G668" t="s">
        <v>23</v>
      </c>
      <c r="H668" t="s">
        <v>21</v>
      </c>
      <c r="I668" s="3">
        <v>12860</v>
      </c>
      <c r="J668" s="3" t="str">
        <f t="shared" si="10"/>
        <v>Medium</v>
      </c>
      <c r="K668" t="b">
        <v>1</v>
      </c>
      <c r="L668" t="b">
        <v>1</v>
      </c>
      <c r="M668" t="b">
        <v>1</v>
      </c>
    </row>
    <row r="669" spans="1:13" x14ac:dyDescent="0.3">
      <c r="A669">
        <v>36</v>
      </c>
      <c r="B669" t="s">
        <v>12</v>
      </c>
      <c r="C669" s="1">
        <v>2</v>
      </c>
      <c r="D669" t="s">
        <v>28</v>
      </c>
      <c r="E669" t="s">
        <v>14</v>
      </c>
      <c r="F669" t="s">
        <v>27</v>
      </c>
      <c r="G669" t="s">
        <v>29</v>
      </c>
      <c r="H669" t="s">
        <v>17</v>
      </c>
      <c r="I669" s="3">
        <v>18428</v>
      </c>
      <c r="J669" s="3" t="str">
        <f t="shared" si="10"/>
        <v>High</v>
      </c>
      <c r="K669" t="b">
        <v>0</v>
      </c>
      <c r="L669" t="b">
        <v>1</v>
      </c>
      <c r="M669" t="b">
        <v>0</v>
      </c>
    </row>
    <row r="670" spans="1:13" x14ac:dyDescent="0.3">
      <c r="A670">
        <v>37</v>
      </c>
      <c r="B670" t="s">
        <v>12</v>
      </c>
      <c r="C670" s="1">
        <v>2</v>
      </c>
      <c r="D670" t="s">
        <v>13</v>
      </c>
      <c r="E670" t="s">
        <v>20</v>
      </c>
      <c r="F670" t="s">
        <v>22</v>
      </c>
      <c r="G670" t="s">
        <v>23</v>
      </c>
      <c r="H670" t="s">
        <v>24</v>
      </c>
      <c r="I670" s="3">
        <v>19336</v>
      </c>
      <c r="J670" s="3" t="str">
        <f t="shared" si="10"/>
        <v>High</v>
      </c>
      <c r="K670" t="b">
        <v>1</v>
      </c>
      <c r="L670" t="b">
        <v>1</v>
      </c>
      <c r="M670" t="b">
        <v>0</v>
      </c>
    </row>
    <row r="671" spans="1:13" x14ac:dyDescent="0.3">
      <c r="A671">
        <v>35</v>
      </c>
      <c r="B671" t="s">
        <v>12</v>
      </c>
      <c r="C671" s="1">
        <v>3</v>
      </c>
      <c r="D671" t="s">
        <v>13</v>
      </c>
      <c r="E671" t="s">
        <v>20</v>
      </c>
      <c r="F671" t="s">
        <v>22</v>
      </c>
      <c r="G671" t="s">
        <v>29</v>
      </c>
      <c r="H671" t="s">
        <v>17</v>
      </c>
      <c r="I671" s="3">
        <v>13253</v>
      </c>
      <c r="J671" s="3" t="str">
        <f t="shared" si="10"/>
        <v>Medium</v>
      </c>
      <c r="K671" t="b">
        <v>0</v>
      </c>
      <c r="L671" t="b">
        <v>0</v>
      </c>
      <c r="M671" t="b">
        <v>0</v>
      </c>
    </row>
    <row r="672" spans="1:13" x14ac:dyDescent="0.3">
      <c r="A672">
        <v>64</v>
      </c>
      <c r="B672" t="s">
        <v>12</v>
      </c>
      <c r="C672" s="1">
        <v>3</v>
      </c>
      <c r="D672" t="s">
        <v>19</v>
      </c>
      <c r="E672" t="s">
        <v>14</v>
      </c>
      <c r="F672" t="s">
        <v>27</v>
      </c>
      <c r="G672" t="s">
        <v>16</v>
      </c>
      <c r="H672" t="s">
        <v>21</v>
      </c>
      <c r="I672" s="3">
        <v>13782</v>
      </c>
      <c r="J672" s="3" t="str">
        <f t="shared" si="10"/>
        <v>Medium</v>
      </c>
      <c r="K672" t="b">
        <v>0</v>
      </c>
      <c r="L672" t="b">
        <v>0</v>
      </c>
      <c r="M672" t="b">
        <v>1</v>
      </c>
    </row>
    <row r="673" spans="1:13" x14ac:dyDescent="0.3">
      <c r="A673">
        <v>58</v>
      </c>
      <c r="B673" t="s">
        <v>12</v>
      </c>
      <c r="C673" s="1">
        <v>1</v>
      </c>
      <c r="D673" t="s">
        <v>13</v>
      </c>
      <c r="E673" t="s">
        <v>14</v>
      </c>
      <c r="F673" t="s">
        <v>27</v>
      </c>
      <c r="G673" t="s">
        <v>16</v>
      </c>
      <c r="H673" t="s">
        <v>17</v>
      </c>
      <c r="I673" s="3">
        <v>16957</v>
      </c>
      <c r="J673" s="3" t="str">
        <f t="shared" si="10"/>
        <v>High</v>
      </c>
      <c r="K673" t="b">
        <v>0</v>
      </c>
      <c r="L673" t="b">
        <v>0</v>
      </c>
      <c r="M673" t="b">
        <v>0</v>
      </c>
    </row>
    <row r="674" spans="1:13" x14ac:dyDescent="0.3">
      <c r="A674">
        <v>31</v>
      </c>
      <c r="B674" t="s">
        <v>18</v>
      </c>
      <c r="C674" s="1">
        <v>3</v>
      </c>
      <c r="D674" t="s">
        <v>28</v>
      </c>
      <c r="E674" t="s">
        <v>20</v>
      </c>
      <c r="F674" t="s">
        <v>15</v>
      </c>
      <c r="G674" t="s">
        <v>29</v>
      </c>
      <c r="H674" t="s">
        <v>24</v>
      </c>
      <c r="I674" s="3">
        <v>10766</v>
      </c>
      <c r="J674" s="3" t="str">
        <f t="shared" si="10"/>
        <v>Low</v>
      </c>
      <c r="K674" t="b">
        <v>1</v>
      </c>
      <c r="L674" t="b">
        <v>1</v>
      </c>
      <c r="M674" t="b">
        <v>1</v>
      </c>
    </row>
    <row r="675" spans="1:13" x14ac:dyDescent="0.3">
      <c r="A675">
        <v>32</v>
      </c>
      <c r="B675" t="s">
        <v>12</v>
      </c>
      <c r="C675" s="1">
        <v>6</v>
      </c>
      <c r="D675" t="s">
        <v>19</v>
      </c>
      <c r="E675" t="s">
        <v>26</v>
      </c>
      <c r="F675" t="s">
        <v>22</v>
      </c>
      <c r="G675" t="s">
        <v>29</v>
      </c>
      <c r="H675" t="s">
        <v>17</v>
      </c>
      <c r="I675" s="3">
        <v>12681</v>
      </c>
      <c r="J675" s="3" t="str">
        <f t="shared" si="10"/>
        <v>Medium</v>
      </c>
      <c r="K675" t="b">
        <v>0</v>
      </c>
      <c r="L675" t="b">
        <v>0</v>
      </c>
      <c r="M675" t="b">
        <v>1</v>
      </c>
    </row>
    <row r="676" spans="1:13" x14ac:dyDescent="0.3">
      <c r="A676">
        <v>48</v>
      </c>
      <c r="B676" t="s">
        <v>18</v>
      </c>
      <c r="C676" s="1">
        <v>8</v>
      </c>
      <c r="D676" t="s">
        <v>28</v>
      </c>
      <c r="E676" t="s">
        <v>20</v>
      </c>
      <c r="F676" t="s">
        <v>15</v>
      </c>
      <c r="G676" t="s">
        <v>16</v>
      </c>
      <c r="H676" t="s">
        <v>21</v>
      </c>
      <c r="I676" s="3">
        <v>17710</v>
      </c>
      <c r="J676" s="3" t="str">
        <f t="shared" si="10"/>
        <v>High</v>
      </c>
      <c r="K676" t="b">
        <v>0</v>
      </c>
      <c r="L676" t="b">
        <v>1</v>
      </c>
      <c r="M676" t="b">
        <v>1</v>
      </c>
    </row>
    <row r="677" spans="1:13" x14ac:dyDescent="0.3">
      <c r="A677">
        <v>18</v>
      </c>
      <c r="B677" t="s">
        <v>12</v>
      </c>
      <c r="C677" s="1">
        <v>6</v>
      </c>
      <c r="D677" t="s">
        <v>19</v>
      </c>
      <c r="E677" t="s">
        <v>14</v>
      </c>
      <c r="F677" t="s">
        <v>15</v>
      </c>
      <c r="G677" t="s">
        <v>29</v>
      </c>
      <c r="H677" t="s">
        <v>21</v>
      </c>
      <c r="I677" s="3">
        <v>17482</v>
      </c>
      <c r="J677" s="3" t="str">
        <f t="shared" si="10"/>
        <v>High</v>
      </c>
      <c r="K677" t="b">
        <v>1</v>
      </c>
      <c r="L677" t="b">
        <v>0</v>
      </c>
      <c r="M677" t="b">
        <v>1</v>
      </c>
    </row>
    <row r="678" spans="1:13" x14ac:dyDescent="0.3">
      <c r="A678">
        <v>20</v>
      </c>
      <c r="B678" t="s">
        <v>25</v>
      </c>
      <c r="C678" s="1">
        <v>5</v>
      </c>
      <c r="D678" t="s">
        <v>13</v>
      </c>
      <c r="E678" t="s">
        <v>26</v>
      </c>
      <c r="F678" t="s">
        <v>15</v>
      </c>
      <c r="G678" t="s">
        <v>23</v>
      </c>
      <c r="H678" t="s">
        <v>24</v>
      </c>
      <c r="I678" s="3">
        <v>15086</v>
      </c>
      <c r="J678" s="3" t="str">
        <f t="shared" si="10"/>
        <v>High</v>
      </c>
      <c r="K678" t="b">
        <v>1</v>
      </c>
      <c r="L678" t="b">
        <v>1</v>
      </c>
      <c r="M678" t="b">
        <v>0</v>
      </c>
    </row>
    <row r="679" spans="1:13" x14ac:dyDescent="0.3">
      <c r="A679">
        <v>33</v>
      </c>
      <c r="B679" t="s">
        <v>18</v>
      </c>
      <c r="C679" s="1">
        <v>4</v>
      </c>
      <c r="D679" t="s">
        <v>19</v>
      </c>
      <c r="E679" t="s">
        <v>14</v>
      </c>
      <c r="F679" t="s">
        <v>27</v>
      </c>
      <c r="G679" t="s">
        <v>23</v>
      </c>
      <c r="H679" t="s">
        <v>21</v>
      </c>
      <c r="I679" s="3">
        <v>17964</v>
      </c>
      <c r="J679" s="3" t="str">
        <f t="shared" si="10"/>
        <v>High</v>
      </c>
      <c r="K679" t="b">
        <v>0</v>
      </c>
      <c r="L679" t="b">
        <v>0</v>
      </c>
      <c r="M679" t="b">
        <v>1</v>
      </c>
    </row>
    <row r="680" spans="1:13" x14ac:dyDescent="0.3">
      <c r="A680">
        <v>40</v>
      </c>
      <c r="B680" t="s">
        <v>25</v>
      </c>
      <c r="C680" s="1">
        <v>3</v>
      </c>
      <c r="D680" t="s">
        <v>19</v>
      </c>
      <c r="E680" t="s">
        <v>26</v>
      </c>
      <c r="F680" t="s">
        <v>15</v>
      </c>
      <c r="G680" t="s">
        <v>23</v>
      </c>
      <c r="H680" t="s">
        <v>17</v>
      </c>
      <c r="I680" s="3">
        <v>12665</v>
      </c>
      <c r="J680" s="3" t="str">
        <f t="shared" si="10"/>
        <v>Medium</v>
      </c>
      <c r="K680" t="b">
        <v>1</v>
      </c>
      <c r="L680" t="b">
        <v>0</v>
      </c>
      <c r="M680" t="b">
        <v>1</v>
      </c>
    </row>
    <row r="681" spans="1:13" x14ac:dyDescent="0.3">
      <c r="A681">
        <v>28</v>
      </c>
      <c r="B681" t="s">
        <v>18</v>
      </c>
      <c r="C681" s="1">
        <v>4</v>
      </c>
      <c r="D681" t="s">
        <v>13</v>
      </c>
      <c r="E681" t="s">
        <v>14</v>
      </c>
      <c r="F681" t="s">
        <v>15</v>
      </c>
      <c r="G681" t="s">
        <v>23</v>
      </c>
      <c r="H681" t="s">
        <v>17</v>
      </c>
      <c r="I681" s="3">
        <v>19951</v>
      </c>
      <c r="J681" s="3" t="str">
        <f t="shared" si="10"/>
        <v>High</v>
      </c>
      <c r="K681" t="b">
        <v>1</v>
      </c>
      <c r="L681" t="b">
        <v>0</v>
      </c>
      <c r="M681" t="b">
        <v>0</v>
      </c>
    </row>
    <row r="682" spans="1:13" x14ac:dyDescent="0.3">
      <c r="A682">
        <v>29</v>
      </c>
      <c r="B682" t="s">
        <v>25</v>
      </c>
      <c r="C682" s="1">
        <v>7</v>
      </c>
      <c r="D682" t="s">
        <v>13</v>
      </c>
      <c r="E682" t="s">
        <v>26</v>
      </c>
      <c r="F682" t="s">
        <v>27</v>
      </c>
      <c r="G682" t="s">
        <v>23</v>
      </c>
      <c r="H682" t="s">
        <v>17</v>
      </c>
      <c r="I682" s="3">
        <v>13513</v>
      </c>
      <c r="J682" s="3" t="str">
        <f t="shared" si="10"/>
        <v>Medium</v>
      </c>
      <c r="K682" t="b">
        <v>0</v>
      </c>
      <c r="L682" t="b">
        <v>1</v>
      </c>
      <c r="M682" t="b">
        <v>0</v>
      </c>
    </row>
    <row r="683" spans="1:13" x14ac:dyDescent="0.3">
      <c r="A683">
        <v>27</v>
      </c>
      <c r="B683" t="s">
        <v>12</v>
      </c>
      <c r="C683" s="1">
        <v>1</v>
      </c>
      <c r="D683" t="s">
        <v>28</v>
      </c>
      <c r="E683" t="s">
        <v>26</v>
      </c>
      <c r="F683" t="s">
        <v>22</v>
      </c>
      <c r="G683" t="s">
        <v>29</v>
      </c>
      <c r="H683" t="s">
        <v>21</v>
      </c>
      <c r="I683" s="3">
        <v>10495</v>
      </c>
      <c r="J683" s="3" t="str">
        <f t="shared" si="10"/>
        <v>Low</v>
      </c>
      <c r="K683" t="b">
        <v>0</v>
      </c>
      <c r="L683" t="b">
        <v>1</v>
      </c>
      <c r="M683" t="b">
        <v>0</v>
      </c>
    </row>
    <row r="684" spans="1:13" x14ac:dyDescent="0.3">
      <c r="A684">
        <v>49</v>
      </c>
      <c r="B684" t="s">
        <v>12</v>
      </c>
      <c r="C684" s="1">
        <v>7</v>
      </c>
      <c r="D684" t="s">
        <v>28</v>
      </c>
      <c r="E684" t="s">
        <v>14</v>
      </c>
      <c r="F684" t="s">
        <v>22</v>
      </c>
      <c r="G684" t="s">
        <v>29</v>
      </c>
      <c r="H684" t="s">
        <v>17</v>
      </c>
      <c r="I684" s="3">
        <v>15822</v>
      </c>
      <c r="J684" s="3" t="str">
        <f t="shared" si="10"/>
        <v>High</v>
      </c>
      <c r="K684" t="b">
        <v>0</v>
      </c>
      <c r="L684" t="b">
        <v>1</v>
      </c>
      <c r="M684" t="b">
        <v>1</v>
      </c>
    </row>
    <row r="685" spans="1:13" x14ac:dyDescent="0.3">
      <c r="A685">
        <v>33</v>
      </c>
      <c r="B685" t="s">
        <v>12</v>
      </c>
      <c r="C685" s="1">
        <v>1</v>
      </c>
      <c r="D685" t="s">
        <v>13</v>
      </c>
      <c r="E685" t="s">
        <v>26</v>
      </c>
      <c r="F685" t="s">
        <v>15</v>
      </c>
      <c r="G685" t="s">
        <v>23</v>
      </c>
      <c r="H685" t="s">
        <v>17</v>
      </c>
      <c r="I685" s="3">
        <v>12072</v>
      </c>
      <c r="J685" s="3" t="str">
        <f t="shared" si="10"/>
        <v>Medium</v>
      </c>
      <c r="K685" t="b">
        <v>1</v>
      </c>
      <c r="L685" t="b">
        <v>0</v>
      </c>
      <c r="M685" t="b">
        <v>0</v>
      </c>
    </row>
    <row r="686" spans="1:13" x14ac:dyDescent="0.3">
      <c r="A686">
        <v>25</v>
      </c>
      <c r="B686" t="s">
        <v>18</v>
      </c>
      <c r="C686" s="1">
        <v>2</v>
      </c>
      <c r="D686" t="s">
        <v>13</v>
      </c>
      <c r="E686" t="s">
        <v>20</v>
      </c>
      <c r="F686" t="s">
        <v>27</v>
      </c>
      <c r="G686" t="s">
        <v>29</v>
      </c>
      <c r="H686" t="s">
        <v>17</v>
      </c>
      <c r="I686" s="3">
        <v>17795</v>
      </c>
      <c r="J686" s="3" t="str">
        <f t="shared" si="10"/>
        <v>High</v>
      </c>
      <c r="K686" t="b">
        <v>1</v>
      </c>
      <c r="L686" t="b">
        <v>1</v>
      </c>
      <c r="M686" t="b">
        <v>1</v>
      </c>
    </row>
    <row r="687" spans="1:13" x14ac:dyDescent="0.3">
      <c r="A687">
        <v>55</v>
      </c>
      <c r="B687" t="s">
        <v>25</v>
      </c>
      <c r="C687" s="1">
        <v>4</v>
      </c>
      <c r="D687" t="s">
        <v>13</v>
      </c>
      <c r="E687" t="s">
        <v>14</v>
      </c>
      <c r="F687" t="s">
        <v>22</v>
      </c>
      <c r="G687" t="s">
        <v>29</v>
      </c>
      <c r="H687" t="s">
        <v>24</v>
      </c>
      <c r="I687" s="3">
        <v>18529</v>
      </c>
      <c r="J687" s="3" t="str">
        <f t="shared" si="10"/>
        <v>High</v>
      </c>
      <c r="K687" t="b">
        <v>1</v>
      </c>
      <c r="L687" t="b">
        <v>1</v>
      </c>
      <c r="M687" t="b">
        <v>1</v>
      </c>
    </row>
    <row r="688" spans="1:13" x14ac:dyDescent="0.3">
      <c r="A688">
        <v>29</v>
      </c>
      <c r="B688" t="s">
        <v>12</v>
      </c>
      <c r="C688" s="1">
        <v>1</v>
      </c>
      <c r="D688" t="s">
        <v>19</v>
      </c>
      <c r="E688" t="s">
        <v>20</v>
      </c>
      <c r="F688" t="s">
        <v>15</v>
      </c>
      <c r="G688" t="s">
        <v>23</v>
      </c>
      <c r="H688" t="s">
        <v>21</v>
      </c>
      <c r="I688" s="3">
        <v>13949</v>
      </c>
      <c r="J688" s="3" t="str">
        <f t="shared" si="10"/>
        <v>Medium</v>
      </c>
      <c r="K688" t="b">
        <v>0</v>
      </c>
      <c r="L688" t="b">
        <v>1</v>
      </c>
      <c r="M688" t="b">
        <v>0</v>
      </c>
    </row>
    <row r="689" spans="1:13" x14ac:dyDescent="0.3">
      <c r="A689">
        <v>41</v>
      </c>
      <c r="B689" t="s">
        <v>25</v>
      </c>
      <c r="C689" s="1">
        <v>9</v>
      </c>
      <c r="D689" t="s">
        <v>19</v>
      </c>
      <c r="E689" t="s">
        <v>14</v>
      </c>
      <c r="F689" t="s">
        <v>15</v>
      </c>
      <c r="G689" t="s">
        <v>29</v>
      </c>
      <c r="H689" t="s">
        <v>21</v>
      </c>
      <c r="I689" s="3">
        <v>16033</v>
      </c>
      <c r="J689" s="3" t="str">
        <f t="shared" si="10"/>
        <v>High</v>
      </c>
      <c r="K689" t="b">
        <v>1</v>
      </c>
      <c r="L689" t="b">
        <v>1</v>
      </c>
      <c r="M689" t="b">
        <v>0</v>
      </c>
    </row>
    <row r="690" spans="1:13" x14ac:dyDescent="0.3">
      <c r="A690">
        <v>45</v>
      </c>
      <c r="B690" t="s">
        <v>25</v>
      </c>
      <c r="C690" s="1">
        <v>6</v>
      </c>
      <c r="D690" t="s">
        <v>19</v>
      </c>
      <c r="E690" t="s">
        <v>26</v>
      </c>
      <c r="F690" t="s">
        <v>27</v>
      </c>
      <c r="G690" t="s">
        <v>29</v>
      </c>
      <c r="H690" t="s">
        <v>21</v>
      </c>
      <c r="I690" s="3">
        <v>18328</v>
      </c>
      <c r="J690" s="3" t="str">
        <f t="shared" si="10"/>
        <v>High</v>
      </c>
      <c r="K690" t="b">
        <v>1</v>
      </c>
      <c r="L690" t="b">
        <v>1</v>
      </c>
      <c r="M690" t="b">
        <v>0</v>
      </c>
    </row>
    <row r="691" spans="1:13" x14ac:dyDescent="0.3">
      <c r="A691">
        <v>25</v>
      </c>
      <c r="B691" t="s">
        <v>12</v>
      </c>
      <c r="C691" s="1">
        <v>1</v>
      </c>
      <c r="D691" t="s">
        <v>13</v>
      </c>
      <c r="E691" t="s">
        <v>26</v>
      </c>
      <c r="F691" t="s">
        <v>15</v>
      </c>
      <c r="G691" t="s">
        <v>29</v>
      </c>
      <c r="H691" t="s">
        <v>24</v>
      </c>
      <c r="I691" s="3">
        <v>12555</v>
      </c>
      <c r="J691" s="3" t="str">
        <f t="shared" si="10"/>
        <v>Medium</v>
      </c>
      <c r="K691" t="b">
        <v>0</v>
      </c>
      <c r="L691" t="b">
        <v>1</v>
      </c>
      <c r="M691" t="b">
        <v>1</v>
      </c>
    </row>
    <row r="692" spans="1:13" x14ac:dyDescent="0.3">
      <c r="A692">
        <v>45</v>
      </c>
      <c r="B692" t="s">
        <v>12</v>
      </c>
      <c r="C692" s="1">
        <v>1</v>
      </c>
      <c r="D692" t="s">
        <v>28</v>
      </c>
      <c r="E692" t="s">
        <v>26</v>
      </c>
      <c r="F692" t="s">
        <v>22</v>
      </c>
      <c r="G692" t="s">
        <v>23</v>
      </c>
      <c r="H692" t="s">
        <v>21</v>
      </c>
      <c r="I692" s="3">
        <v>16370</v>
      </c>
      <c r="J692" s="3" t="str">
        <f t="shared" si="10"/>
        <v>High</v>
      </c>
      <c r="K692" t="b">
        <v>0</v>
      </c>
      <c r="L692" t="b">
        <v>0</v>
      </c>
      <c r="M692" t="b">
        <v>1</v>
      </c>
    </row>
    <row r="693" spans="1:13" x14ac:dyDescent="0.3">
      <c r="A693">
        <v>53</v>
      </c>
      <c r="B693" t="s">
        <v>25</v>
      </c>
      <c r="C693" s="1">
        <v>6</v>
      </c>
      <c r="D693" t="s">
        <v>13</v>
      </c>
      <c r="E693" t="s">
        <v>14</v>
      </c>
      <c r="F693" t="s">
        <v>27</v>
      </c>
      <c r="G693" t="s">
        <v>29</v>
      </c>
      <c r="H693" t="s">
        <v>24</v>
      </c>
      <c r="I693" s="3">
        <v>14415</v>
      </c>
      <c r="J693" s="3" t="str">
        <f t="shared" si="10"/>
        <v>Medium</v>
      </c>
      <c r="K693" t="b">
        <v>0</v>
      </c>
      <c r="L693" t="b">
        <v>0</v>
      </c>
      <c r="M693" t="b">
        <v>1</v>
      </c>
    </row>
    <row r="694" spans="1:13" x14ac:dyDescent="0.3">
      <c r="A694">
        <v>43</v>
      </c>
      <c r="B694" t="s">
        <v>12</v>
      </c>
      <c r="C694" s="1">
        <v>4</v>
      </c>
      <c r="D694" t="s">
        <v>19</v>
      </c>
      <c r="E694" t="s">
        <v>20</v>
      </c>
      <c r="F694" t="s">
        <v>22</v>
      </c>
      <c r="G694" t="s">
        <v>16</v>
      </c>
      <c r="H694" t="s">
        <v>24</v>
      </c>
      <c r="I694" s="3">
        <v>15959</v>
      </c>
      <c r="J694" s="3" t="str">
        <f t="shared" si="10"/>
        <v>High</v>
      </c>
      <c r="K694" t="b">
        <v>1</v>
      </c>
      <c r="L694" t="b">
        <v>1</v>
      </c>
      <c r="M694" t="b">
        <v>1</v>
      </c>
    </row>
    <row r="695" spans="1:13" x14ac:dyDescent="0.3">
      <c r="A695">
        <v>25</v>
      </c>
      <c r="B695" t="s">
        <v>12</v>
      </c>
      <c r="C695" s="1">
        <v>4</v>
      </c>
      <c r="D695" t="s">
        <v>19</v>
      </c>
      <c r="E695" t="s">
        <v>20</v>
      </c>
      <c r="F695" t="s">
        <v>22</v>
      </c>
      <c r="G695" t="s">
        <v>16</v>
      </c>
      <c r="H695" t="s">
        <v>21</v>
      </c>
      <c r="I695" s="3">
        <v>19107</v>
      </c>
      <c r="J695" s="3" t="str">
        <f t="shared" si="10"/>
        <v>High</v>
      </c>
      <c r="K695" t="b">
        <v>0</v>
      </c>
      <c r="L695" t="b">
        <v>0</v>
      </c>
      <c r="M695" t="b">
        <v>1</v>
      </c>
    </row>
    <row r="696" spans="1:13" x14ac:dyDescent="0.3">
      <c r="A696">
        <v>45</v>
      </c>
      <c r="B696" t="s">
        <v>12</v>
      </c>
      <c r="C696" s="1">
        <v>6</v>
      </c>
      <c r="D696" t="s">
        <v>13</v>
      </c>
      <c r="E696" t="s">
        <v>14</v>
      </c>
      <c r="F696" t="s">
        <v>22</v>
      </c>
      <c r="G696" t="s">
        <v>23</v>
      </c>
      <c r="H696" t="s">
        <v>17</v>
      </c>
      <c r="I696" s="3">
        <v>15993</v>
      </c>
      <c r="J696" s="3" t="str">
        <f t="shared" si="10"/>
        <v>High</v>
      </c>
      <c r="K696" t="b">
        <v>1</v>
      </c>
      <c r="L696" t="b">
        <v>0</v>
      </c>
      <c r="M696" t="b">
        <v>1</v>
      </c>
    </row>
    <row r="697" spans="1:13" x14ac:dyDescent="0.3">
      <c r="A697">
        <v>45</v>
      </c>
      <c r="B697" t="s">
        <v>18</v>
      </c>
      <c r="C697" s="1">
        <v>7</v>
      </c>
      <c r="D697" t="s">
        <v>13</v>
      </c>
      <c r="E697" t="s">
        <v>14</v>
      </c>
      <c r="F697" t="s">
        <v>15</v>
      </c>
      <c r="G697" t="s">
        <v>16</v>
      </c>
      <c r="H697" t="s">
        <v>17</v>
      </c>
      <c r="I697" s="3">
        <v>15021</v>
      </c>
      <c r="J697" s="3" t="str">
        <f t="shared" si="10"/>
        <v>High</v>
      </c>
      <c r="K697" t="b">
        <v>1</v>
      </c>
      <c r="L697" t="b">
        <v>1</v>
      </c>
      <c r="M697" t="b">
        <v>0</v>
      </c>
    </row>
    <row r="698" spans="1:13" x14ac:dyDescent="0.3">
      <c r="A698">
        <v>54</v>
      </c>
      <c r="B698" t="s">
        <v>25</v>
      </c>
      <c r="C698" s="1">
        <v>9</v>
      </c>
      <c r="D698" t="s">
        <v>19</v>
      </c>
      <c r="E698" t="s">
        <v>20</v>
      </c>
      <c r="F698" t="s">
        <v>15</v>
      </c>
      <c r="G698" t="s">
        <v>23</v>
      </c>
      <c r="H698" t="s">
        <v>21</v>
      </c>
      <c r="I698" s="3">
        <v>12907</v>
      </c>
      <c r="J698" s="3" t="str">
        <f t="shared" si="10"/>
        <v>Medium</v>
      </c>
      <c r="K698" t="b">
        <v>0</v>
      </c>
      <c r="L698" t="b">
        <v>1</v>
      </c>
      <c r="M698" t="b">
        <v>1</v>
      </c>
    </row>
    <row r="699" spans="1:13" x14ac:dyDescent="0.3">
      <c r="A699">
        <v>58</v>
      </c>
      <c r="B699" t="s">
        <v>25</v>
      </c>
      <c r="C699" s="1">
        <v>5</v>
      </c>
      <c r="D699" t="s">
        <v>19</v>
      </c>
      <c r="E699" t="s">
        <v>20</v>
      </c>
      <c r="F699" t="s">
        <v>22</v>
      </c>
      <c r="G699" t="s">
        <v>16</v>
      </c>
      <c r="H699" t="s">
        <v>21</v>
      </c>
      <c r="I699" s="3">
        <v>12914</v>
      </c>
      <c r="J699" s="3" t="str">
        <f t="shared" si="10"/>
        <v>Medium</v>
      </c>
      <c r="K699" t="b">
        <v>0</v>
      </c>
      <c r="L699" t="b">
        <v>0</v>
      </c>
      <c r="M699" t="b">
        <v>0</v>
      </c>
    </row>
    <row r="700" spans="1:13" x14ac:dyDescent="0.3">
      <c r="A700">
        <v>53</v>
      </c>
      <c r="B700" t="s">
        <v>18</v>
      </c>
      <c r="C700" s="1">
        <v>9</v>
      </c>
      <c r="D700" t="s">
        <v>19</v>
      </c>
      <c r="E700" t="s">
        <v>20</v>
      </c>
      <c r="F700" t="s">
        <v>22</v>
      </c>
      <c r="G700" t="s">
        <v>16</v>
      </c>
      <c r="H700" t="s">
        <v>24</v>
      </c>
      <c r="I700" s="3">
        <v>13870</v>
      </c>
      <c r="J700" s="3" t="str">
        <f t="shared" si="10"/>
        <v>Medium</v>
      </c>
      <c r="K700" t="b">
        <v>0</v>
      </c>
      <c r="L700" t="b">
        <v>1</v>
      </c>
      <c r="M700" t="b">
        <v>0</v>
      </c>
    </row>
    <row r="701" spans="1:13" x14ac:dyDescent="0.3">
      <c r="A701">
        <v>44</v>
      </c>
      <c r="B701" t="s">
        <v>25</v>
      </c>
      <c r="C701" s="1">
        <v>4</v>
      </c>
      <c r="D701" t="s">
        <v>13</v>
      </c>
      <c r="E701" t="s">
        <v>20</v>
      </c>
      <c r="F701" t="s">
        <v>27</v>
      </c>
      <c r="G701" t="s">
        <v>16</v>
      </c>
      <c r="H701" t="s">
        <v>21</v>
      </c>
      <c r="I701" s="3">
        <v>19190</v>
      </c>
      <c r="J701" s="3" t="str">
        <f t="shared" si="10"/>
        <v>High</v>
      </c>
      <c r="K701" t="b">
        <v>0</v>
      </c>
      <c r="L701" t="b">
        <v>0</v>
      </c>
      <c r="M701" t="b">
        <v>0</v>
      </c>
    </row>
    <row r="702" spans="1:13" x14ac:dyDescent="0.3">
      <c r="A702">
        <v>34</v>
      </c>
      <c r="B702" t="s">
        <v>12</v>
      </c>
      <c r="C702" s="1">
        <v>2</v>
      </c>
      <c r="D702" t="s">
        <v>19</v>
      </c>
      <c r="E702" t="s">
        <v>14</v>
      </c>
      <c r="F702" t="s">
        <v>27</v>
      </c>
      <c r="G702" t="s">
        <v>23</v>
      </c>
      <c r="H702" t="s">
        <v>24</v>
      </c>
      <c r="I702" s="3">
        <v>15085</v>
      </c>
      <c r="J702" s="3" t="str">
        <f t="shared" si="10"/>
        <v>High</v>
      </c>
      <c r="K702" t="b">
        <v>0</v>
      </c>
      <c r="L702" t="b">
        <v>0</v>
      </c>
      <c r="M702" t="b">
        <v>0</v>
      </c>
    </row>
    <row r="703" spans="1:13" x14ac:dyDescent="0.3">
      <c r="A703">
        <v>26</v>
      </c>
      <c r="B703" t="s">
        <v>25</v>
      </c>
      <c r="C703" s="1">
        <v>3</v>
      </c>
      <c r="D703" t="s">
        <v>19</v>
      </c>
      <c r="E703" t="s">
        <v>14</v>
      </c>
      <c r="F703" t="s">
        <v>15</v>
      </c>
      <c r="G703" t="s">
        <v>23</v>
      </c>
      <c r="H703" t="s">
        <v>21</v>
      </c>
      <c r="I703" s="3">
        <v>16546</v>
      </c>
      <c r="J703" s="3" t="str">
        <f t="shared" si="10"/>
        <v>High</v>
      </c>
      <c r="K703" t="b">
        <v>1</v>
      </c>
      <c r="L703" t="b">
        <v>0</v>
      </c>
      <c r="M703" t="b">
        <v>0</v>
      </c>
    </row>
    <row r="704" spans="1:13" x14ac:dyDescent="0.3">
      <c r="A704">
        <v>50</v>
      </c>
      <c r="B704" t="s">
        <v>12</v>
      </c>
      <c r="C704" s="1">
        <v>1</v>
      </c>
      <c r="D704" t="s">
        <v>28</v>
      </c>
      <c r="E704" t="s">
        <v>26</v>
      </c>
      <c r="F704" t="s">
        <v>15</v>
      </c>
      <c r="G704" t="s">
        <v>29</v>
      </c>
      <c r="H704" t="s">
        <v>17</v>
      </c>
      <c r="I704" s="3">
        <v>10395</v>
      </c>
      <c r="J704" s="3" t="str">
        <f t="shared" si="10"/>
        <v>Low</v>
      </c>
      <c r="K704" t="b">
        <v>1</v>
      </c>
      <c r="L704" t="b">
        <v>1</v>
      </c>
      <c r="M704" t="b">
        <v>1</v>
      </c>
    </row>
    <row r="705" spans="1:13" x14ac:dyDescent="0.3">
      <c r="A705">
        <v>37</v>
      </c>
      <c r="B705" t="s">
        <v>18</v>
      </c>
      <c r="C705" s="1">
        <v>6</v>
      </c>
      <c r="D705" t="s">
        <v>13</v>
      </c>
      <c r="E705" t="s">
        <v>20</v>
      </c>
      <c r="F705" t="s">
        <v>27</v>
      </c>
      <c r="G705" t="s">
        <v>23</v>
      </c>
      <c r="H705" t="s">
        <v>17</v>
      </c>
      <c r="I705" s="3">
        <v>10938</v>
      </c>
      <c r="J705" s="3" t="str">
        <f t="shared" si="10"/>
        <v>Low</v>
      </c>
      <c r="K705" t="b">
        <v>1</v>
      </c>
      <c r="L705" t="b">
        <v>0</v>
      </c>
      <c r="M705" t="b">
        <v>1</v>
      </c>
    </row>
    <row r="706" spans="1:13" x14ac:dyDescent="0.3">
      <c r="A706">
        <v>30</v>
      </c>
      <c r="B706" t="s">
        <v>12</v>
      </c>
      <c r="C706" s="1">
        <v>6</v>
      </c>
      <c r="D706" t="s">
        <v>28</v>
      </c>
      <c r="E706" t="s">
        <v>26</v>
      </c>
      <c r="F706" t="s">
        <v>22</v>
      </c>
      <c r="G706" t="s">
        <v>16</v>
      </c>
      <c r="H706" t="s">
        <v>21</v>
      </c>
      <c r="I706" s="3">
        <v>19828</v>
      </c>
      <c r="J706" s="3" t="str">
        <f t="shared" si="10"/>
        <v>High</v>
      </c>
      <c r="K706" t="b">
        <v>0</v>
      </c>
      <c r="L706" t="b">
        <v>1</v>
      </c>
      <c r="M706" t="b">
        <v>1</v>
      </c>
    </row>
    <row r="707" spans="1:13" x14ac:dyDescent="0.3">
      <c r="A707">
        <v>45</v>
      </c>
      <c r="B707" t="s">
        <v>25</v>
      </c>
      <c r="C707" s="1">
        <v>1</v>
      </c>
      <c r="D707" t="s">
        <v>28</v>
      </c>
      <c r="E707" t="s">
        <v>14</v>
      </c>
      <c r="F707" t="s">
        <v>15</v>
      </c>
      <c r="G707" t="s">
        <v>16</v>
      </c>
      <c r="H707" t="s">
        <v>24</v>
      </c>
      <c r="I707" s="3">
        <v>12510</v>
      </c>
      <c r="J707" s="3" t="str">
        <f t="shared" ref="J707:J770" si="11">IF(I707&gt;16000, "High", IF(I707&gt;=12000, IF(I707&lt;=15000, "Medium", "High"), "Low"))</f>
        <v>Medium</v>
      </c>
      <c r="K707" t="b">
        <v>1</v>
      </c>
      <c r="L707" t="b">
        <v>1</v>
      </c>
      <c r="M707" t="b">
        <v>1</v>
      </c>
    </row>
    <row r="708" spans="1:13" x14ac:dyDescent="0.3">
      <c r="A708">
        <v>46</v>
      </c>
      <c r="B708" t="s">
        <v>25</v>
      </c>
      <c r="C708" s="1">
        <v>3</v>
      </c>
      <c r="D708" t="s">
        <v>19</v>
      </c>
      <c r="E708" t="s">
        <v>14</v>
      </c>
      <c r="F708" t="s">
        <v>22</v>
      </c>
      <c r="G708" t="s">
        <v>23</v>
      </c>
      <c r="H708" t="s">
        <v>17</v>
      </c>
      <c r="I708" s="3">
        <v>14636</v>
      </c>
      <c r="J708" s="3" t="str">
        <f t="shared" si="11"/>
        <v>Medium</v>
      </c>
      <c r="K708" t="b">
        <v>0</v>
      </c>
      <c r="L708" t="b">
        <v>1</v>
      </c>
      <c r="M708" t="b">
        <v>0</v>
      </c>
    </row>
    <row r="709" spans="1:13" x14ac:dyDescent="0.3">
      <c r="A709">
        <v>30</v>
      </c>
      <c r="B709" t="s">
        <v>25</v>
      </c>
      <c r="C709" s="1">
        <v>5</v>
      </c>
      <c r="D709" t="s">
        <v>13</v>
      </c>
      <c r="E709" t="s">
        <v>26</v>
      </c>
      <c r="F709" t="s">
        <v>27</v>
      </c>
      <c r="G709" t="s">
        <v>23</v>
      </c>
      <c r="H709" t="s">
        <v>24</v>
      </c>
      <c r="I709" s="3">
        <v>11649</v>
      </c>
      <c r="J709" s="3" t="str">
        <f t="shared" si="11"/>
        <v>Low</v>
      </c>
      <c r="K709" t="b">
        <v>0</v>
      </c>
      <c r="L709" t="b">
        <v>1</v>
      </c>
      <c r="M709" t="b">
        <v>0</v>
      </c>
    </row>
    <row r="710" spans="1:13" x14ac:dyDescent="0.3">
      <c r="A710">
        <v>63</v>
      </c>
      <c r="B710" t="s">
        <v>18</v>
      </c>
      <c r="C710" s="1">
        <v>3</v>
      </c>
      <c r="D710" t="s">
        <v>19</v>
      </c>
      <c r="E710" t="s">
        <v>20</v>
      </c>
      <c r="F710" t="s">
        <v>15</v>
      </c>
      <c r="G710" t="s">
        <v>23</v>
      </c>
      <c r="H710" t="s">
        <v>21</v>
      </c>
      <c r="I710" s="3">
        <v>13690</v>
      </c>
      <c r="J710" s="3" t="str">
        <f t="shared" si="11"/>
        <v>Medium</v>
      </c>
      <c r="K710" t="b">
        <v>1</v>
      </c>
      <c r="L710" t="b">
        <v>1</v>
      </c>
      <c r="M710" t="b">
        <v>0</v>
      </c>
    </row>
    <row r="711" spans="1:13" x14ac:dyDescent="0.3">
      <c r="A711">
        <v>52</v>
      </c>
      <c r="B711" t="s">
        <v>18</v>
      </c>
      <c r="C711" s="1">
        <v>3</v>
      </c>
      <c r="D711" t="s">
        <v>13</v>
      </c>
      <c r="E711" t="s">
        <v>20</v>
      </c>
      <c r="F711" t="s">
        <v>15</v>
      </c>
      <c r="G711" t="s">
        <v>29</v>
      </c>
      <c r="H711" t="s">
        <v>21</v>
      </c>
      <c r="I711" s="3">
        <v>13435</v>
      </c>
      <c r="J711" s="3" t="str">
        <f t="shared" si="11"/>
        <v>Medium</v>
      </c>
      <c r="K711" t="b">
        <v>1</v>
      </c>
      <c r="L711" t="b">
        <v>0</v>
      </c>
      <c r="M711" t="b">
        <v>1</v>
      </c>
    </row>
    <row r="712" spans="1:13" x14ac:dyDescent="0.3">
      <c r="A712">
        <v>23</v>
      </c>
      <c r="B712" t="s">
        <v>25</v>
      </c>
      <c r="C712" s="1">
        <v>3</v>
      </c>
      <c r="D712" t="s">
        <v>28</v>
      </c>
      <c r="E712" t="s">
        <v>20</v>
      </c>
      <c r="F712" t="s">
        <v>27</v>
      </c>
      <c r="G712" t="s">
        <v>16</v>
      </c>
      <c r="H712" t="s">
        <v>17</v>
      </c>
      <c r="I712" s="3">
        <v>13201</v>
      </c>
      <c r="J712" s="3" t="str">
        <f t="shared" si="11"/>
        <v>Medium</v>
      </c>
      <c r="K712" t="b">
        <v>0</v>
      </c>
      <c r="L712" t="b">
        <v>1</v>
      </c>
      <c r="M712" t="b">
        <v>1</v>
      </c>
    </row>
    <row r="713" spans="1:13" x14ac:dyDescent="0.3">
      <c r="A713">
        <v>35</v>
      </c>
      <c r="B713" t="s">
        <v>12</v>
      </c>
      <c r="C713" s="1">
        <v>5</v>
      </c>
      <c r="D713" t="s">
        <v>13</v>
      </c>
      <c r="E713" t="s">
        <v>20</v>
      </c>
      <c r="F713" t="s">
        <v>15</v>
      </c>
      <c r="G713" t="s">
        <v>29</v>
      </c>
      <c r="H713" t="s">
        <v>21</v>
      </c>
      <c r="I713" s="3">
        <v>14179</v>
      </c>
      <c r="J713" s="3" t="str">
        <f t="shared" si="11"/>
        <v>Medium</v>
      </c>
      <c r="K713" t="b">
        <v>1</v>
      </c>
      <c r="L713" t="b">
        <v>1</v>
      </c>
      <c r="M713" t="b">
        <v>1</v>
      </c>
    </row>
    <row r="714" spans="1:13" x14ac:dyDescent="0.3">
      <c r="A714">
        <v>22</v>
      </c>
      <c r="B714" t="s">
        <v>18</v>
      </c>
      <c r="C714" s="1">
        <v>5</v>
      </c>
      <c r="D714" t="s">
        <v>19</v>
      </c>
      <c r="E714" t="s">
        <v>26</v>
      </c>
      <c r="F714" t="s">
        <v>27</v>
      </c>
      <c r="G714" t="s">
        <v>29</v>
      </c>
      <c r="H714" t="s">
        <v>17</v>
      </c>
      <c r="I714" s="3">
        <v>18405</v>
      </c>
      <c r="J714" s="3" t="str">
        <f t="shared" si="11"/>
        <v>High</v>
      </c>
      <c r="K714" t="b">
        <v>0</v>
      </c>
      <c r="L714" t="b">
        <v>1</v>
      </c>
      <c r="M714" t="b">
        <v>1</v>
      </c>
    </row>
    <row r="715" spans="1:13" x14ac:dyDescent="0.3">
      <c r="A715">
        <v>64</v>
      </c>
      <c r="B715" t="s">
        <v>25</v>
      </c>
      <c r="C715" s="1">
        <v>4</v>
      </c>
      <c r="D715" t="s">
        <v>19</v>
      </c>
      <c r="E715" t="s">
        <v>26</v>
      </c>
      <c r="F715" t="s">
        <v>15</v>
      </c>
      <c r="G715" t="s">
        <v>16</v>
      </c>
      <c r="H715" t="s">
        <v>24</v>
      </c>
      <c r="I715" s="3">
        <v>13237</v>
      </c>
      <c r="J715" s="3" t="str">
        <f t="shared" si="11"/>
        <v>Medium</v>
      </c>
      <c r="K715" t="b">
        <v>1</v>
      </c>
      <c r="L715" t="b">
        <v>1</v>
      </c>
      <c r="M715" t="b">
        <v>0</v>
      </c>
    </row>
    <row r="716" spans="1:13" x14ac:dyDescent="0.3">
      <c r="A716">
        <v>42</v>
      </c>
      <c r="B716" t="s">
        <v>25</v>
      </c>
      <c r="C716" s="1">
        <v>1</v>
      </c>
      <c r="D716" t="s">
        <v>19</v>
      </c>
      <c r="E716" t="s">
        <v>14</v>
      </c>
      <c r="F716" t="s">
        <v>27</v>
      </c>
      <c r="G716" t="s">
        <v>16</v>
      </c>
      <c r="H716" t="s">
        <v>17</v>
      </c>
      <c r="I716" s="3">
        <v>13862</v>
      </c>
      <c r="J716" s="3" t="str">
        <f t="shared" si="11"/>
        <v>Medium</v>
      </c>
      <c r="K716" t="b">
        <v>1</v>
      </c>
      <c r="L716" t="b">
        <v>1</v>
      </c>
      <c r="M716" t="b">
        <v>0</v>
      </c>
    </row>
    <row r="717" spans="1:13" x14ac:dyDescent="0.3">
      <c r="A717">
        <v>19</v>
      </c>
      <c r="B717" t="s">
        <v>18</v>
      </c>
      <c r="C717" s="1">
        <v>5</v>
      </c>
      <c r="D717" t="s">
        <v>13</v>
      </c>
      <c r="E717" t="s">
        <v>20</v>
      </c>
      <c r="F717" t="s">
        <v>15</v>
      </c>
      <c r="G717" t="s">
        <v>23</v>
      </c>
      <c r="H717" t="s">
        <v>17</v>
      </c>
      <c r="I717" s="3">
        <v>10058</v>
      </c>
      <c r="J717" s="3" t="str">
        <f t="shared" si="11"/>
        <v>Low</v>
      </c>
      <c r="K717" t="b">
        <v>1</v>
      </c>
      <c r="L717" t="b">
        <v>0</v>
      </c>
      <c r="M717" t="b">
        <v>1</v>
      </c>
    </row>
    <row r="718" spans="1:13" x14ac:dyDescent="0.3">
      <c r="A718">
        <v>27</v>
      </c>
      <c r="B718" t="s">
        <v>18</v>
      </c>
      <c r="C718" s="1">
        <v>5</v>
      </c>
      <c r="D718" t="s">
        <v>28</v>
      </c>
      <c r="E718" t="s">
        <v>20</v>
      </c>
      <c r="F718" t="s">
        <v>22</v>
      </c>
      <c r="G718" t="s">
        <v>23</v>
      </c>
      <c r="H718" t="s">
        <v>24</v>
      </c>
      <c r="I718" s="3">
        <v>14938</v>
      </c>
      <c r="J718" s="3" t="str">
        <f t="shared" si="11"/>
        <v>Medium</v>
      </c>
      <c r="K718" t="b">
        <v>1</v>
      </c>
      <c r="L718" t="b">
        <v>1</v>
      </c>
      <c r="M718" t="b">
        <v>1</v>
      </c>
    </row>
    <row r="719" spans="1:13" x14ac:dyDescent="0.3">
      <c r="A719">
        <v>47</v>
      </c>
      <c r="B719" t="s">
        <v>18</v>
      </c>
      <c r="C719" s="1">
        <v>4</v>
      </c>
      <c r="D719" t="s">
        <v>28</v>
      </c>
      <c r="E719" t="s">
        <v>20</v>
      </c>
      <c r="F719" t="s">
        <v>22</v>
      </c>
      <c r="G719" t="s">
        <v>29</v>
      </c>
      <c r="H719" t="s">
        <v>17</v>
      </c>
      <c r="I719" s="3">
        <v>12971</v>
      </c>
      <c r="J719" s="3" t="str">
        <f t="shared" si="11"/>
        <v>Medium</v>
      </c>
      <c r="K719" t="b">
        <v>1</v>
      </c>
      <c r="L719" t="b">
        <v>1</v>
      </c>
      <c r="M719" t="b">
        <v>0</v>
      </c>
    </row>
    <row r="720" spans="1:13" x14ac:dyDescent="0.3">
      <c r="A720">
        <v>62</v>
      </c>
      <c r="B720" t="s">
        <v>12</v>
      </c>
      <c r="C720" s="1">
        <v>6</v>
      </c>
      <c r="D720" t="s">
        <v>13</v>
      </c>
      <c r="E720" t="s">
        <v>26</v>
      </c>
      <c r="F720" t="s">
        <v>22</v>
      </c>
      <c r="G720" t="s">
        <v>23</v>
      </c>
      <c r="H720" t="s">
        <v>17</v>
      </c>
      <c r="I720" s="3">
        <v>19719</v>
      </c>
      <c r="J720" s="3" t="str">
        <f t="shared" si="11"/>
        <v>High</v>
      </c>
      <c r="K720" t="b">
        <v>0</v>
      </c>
      <c r="L720" t="b">
        <v>0</v>
      </c>
      <c r="M720" t="b">
        <v>0</v>
      </c>
    </row>
    <row r="721" spans="1:13" x14ac:dyDescent="0.3">
      <c r="A721">
        <v>22</v>
      </c>
      <c r="B721" t="s">
        <v>12</v>
      </c>
      <c r="C721" s="1">
        <v>4</v>
      </c>
      <c r="D721" t="s">
        <v>19</v>
      </c>
      <c r="E721" t="s">
        <v>20</v>
      </c>
      <c r="F721" t="s">
        <v>15</v>
      </c>
      <c r="G721" t="s">
        <v>23</v>
      </c>
      <c r="H721" t="s">
        <v>21</v>
      </c>
      <c r="I721" s="3">
        <v>18314</v>
      </c>
      <c r="J721" s="3" t="str">
        <f t="shared" si="11"/>
        <v>High</v>
      </c>
      <c r="K721" t="b">
        <v>1</v>
      </c>
      <c r="L721" t="b">
        <v>1</v>
      </c>
      <c r="M721" t="b">
        <v>0</v>
      </c>
    </row>
    <row r="722" spans="1:13" x14ac:dyDescent="0.3">
      <c r="A722">
        <v>50</v>
      </c>
      <c r="B722" t="s">
        <v>25</v>
      </c>
      <c r="C722" s="1">
        <v>7</v>
      </c>
      <c r="D722" t="s">
        <v>28</v>
      </c>
      <c r="E722" t="s">
        <v>26</v>
      </c>
      <c r="F722" t="s">
        <v>15</v>
      </c>
      <c r="G722" t="s">
        <v>16</v>
      </c>
      <c r="H722" t="s">
        <v>24</v>
      </c>
      <c r="I722" s="3">
        <v>19628</v>
      </c>
      <c r="J722" s="3" t="str">
        <f t="shared" si="11"/>
        <v>High</v>
      </c>
      <c r="K722" t="b">
        <v>1</v>
      </c>
      <c r="L722" t="b">
        <v>0</v>
      </c>
      <c r="M722" t="b">
        <v>0</v>
      </c>
    </row>
    <row r="723" spans="1:13" x14ac:dyDescent="0.3">
      <c r="A723">
        <v>18</v>
      </c>
      <c r="B723" t="s">
        <v>18</v>
      </c>
      <c r="C723" s="1">
        <v>7</v>
      </c>
      <c r="D723" t="s">
        <v>19</v>
      </c>
      <c r="E723" t="s">
        <v>20</v>
      </c>
      <c r="F723" t="s">
        <v>22</v>
      </c>
      <c r="G723" t="s">
        <v>16</v>
      </c>
      <c r="H723" t="s">
        <v>17</v>
      </c>
      <c r="I723" s="3">
        <v>19354</v>
      </c>
      <c r="J723" s="3" t="str">
        <f t="shared" si="11"/>
        <v>High</v>
      </c>
      <c r="K723" t="b">
        <v>1</v>
      </c>
      <c r="L723" t="b">
        <v>0</v>
      </c>
      <c r="M723" t="b">
        <v>1</v>
      </c>
    </row>
    <row r="724" spans="1:13" x14ac:dyDescent="0.3">
      <c r="A724">
        <v>35</v>
      </c>
      <c r="B724" t="s">
        <v>12</v>
      </c>
      <c r="C724" s="1">
        <v>2</v>
      </c>
      <c r="D724" t="s">
        <v>13</v>
      </c>
      <c r="E724" t="s">
        <v>20</v>
      </c>
      <c r="F724" t="s">
        <v>22</v>
      </c>
      <c r="G724" t="s">
        <v>23</v>
      </c>
      <c r="H724" t="s">
        <v>24</v>
      </c>
      <c r="I724" s="3">
        <v>13345</v>
      </c>
      <c r="J724" s="3" t="str">
        <f t="shared" si="11"/>
        <v>Medium</v>
      </c>
      <c r="K724" t="b">
        <v>0</v>
      </c>
      <c r="L724" t="b">
        <v>0</v>
      </c>
      <c r="M724" t="b">
        <v>0</v>
      </c>
    </row>
    <row r="725" spans="1:13" x14ac:dyDescent="0.3">
      <c r="A725">
        <v>49</v>
      </c>
      <c r="B725" t="s">
        <v>18</v>
      </c>
      <c r="C725" s="1">
        <v>3</v>
      </c>
      <c r="D725" t="s">
        <v>19</v>
      </c>
      <c r="E725" t="s">
        <v>14</v>
      </c>
      <c r="F725" t="s">
        <v>27</v>
      </c>
      <c r="G725" t="s">
        <v>16</v>
      </c>
      <c r="H725" t="s">
        <v>24</v>
      </c>
      <c r="I725" s="3">
        <v>12486</v>
      </c>
      <c r="J725" s="3" t="str">
        <f t="shared" si="11"/>
        <v>Medium</v>
      </c>
      <c r="K725" t="b">
        <v>0</v>
      </c>
      <c r="L725" t="b">
        <v>0</v>
      </c>
      <c r="M725" t="b">
        <v>0</v>
      </c>
    </row>
    <row r="726" spans="1:13" x14ac:dyDescent="0.3">
      <c r="A726">
        <v>64</v>
      </c>
      <c r="B726" t="s">
        <v>25</v>
      </c>
      <c r="C726" s="1">
        <v>1</v>
      </c>
      <c r="D726" t="s">
        <v>28</v>
      </c>
      <c r="E726" t="s">
        <v>20</v>
      </c>
      <c r="F726" t="s">
        <v>27</v>
      </c>
      <c r="G726" t="s">
        <v>23</v>
      </c>
      <c r="H726" t="s">
        <v>17</v>
      </c>
      <c r="I726" s="3">
        <v>10561</v>
      </c>
      <c r="J726" s="3" t="str">
        <f t="shared" si="11"/>
        <v>Low</v>
      </c>
      <c r="K726" t="b">
        <v>0</v>
      </c>
      <c r="L726" t="b">
        <v>1</v>
      </c>
      <c r="M726" t="b">
        <v>0</v>
      </c>
    </row>
    <row r="727" spans="1:13" x14ac:dyDescent="0.3">
      <c r="A727">
        <v>28</v>
      </c>
      <c r="B727" t="s">
        <v>12</v>
      </c>
      <c r="C727" s="1">
        <v>8</v>
      </c>
      <c r="D727" t="s">
        <v>28</v>
      </c>
      <c r="E727" t="s">
        <v>20</v>
      </c>
      <c r="F727" t="s">
        <v>27</v>
      </c>
      <c r="G727" t="s">
        <v>16</v>
      </c>
      <c r="H727" t="s">
        <v>21</v>
      </c>
      <c r="I727" s="3">
        <v>13981</v>
      </c>
      <c r="J727" s="3" t="str">
        <f t="shared" si="11"/>
        <v>Medium</v>
      </c>
      <c r="K727" t="b">
        <v>0</v>
      </c>
      <c r="L727" t="b">
        <v>1</v>
      </c>
      <c r="M727" t="b">
        <v>0</v>
      </c>
    </row>
    <row r="728" spans="1:13" x14ac:dyDescent="0.3">
      <c r="A728">
        <v>38</v>
      </c>
      <c r="B728" t="s">
        <v>12</v>
      </c>
      <c r="C728" s="1">
        <v>9</v>
      </c>
      <c r="D728" t="s">
        <v>19</v>
      </c>
      <c r="E728" t="s">
        <v>14</v>
      </c>
      <c r="F728" t="s">
        <v>22</v>
      </c>
      <c r="G728" t="s">
        <v>16</v>
      </c>
      <c r="H728" t="s">
        <v>24</v>
      </c>
      <c r="I728" s="3">
        <v>16261</v>
      </c>
      <c r="J728" s="3" t="str">
        <f t="shared" si="11"/>
        <v>High</v>
      </c>
      <c r="K728" t="b">
        <v>0</v>
      </c>
      <c r="L728" t="b">
        <v>0</v>
      </c>
      <c r="M728" t="b">
        <v>1</v>
      </c>
    </row>
    <row r="729" spans="1:13" x14ac:dyDescent="0.3">
      <c r="A729">
        <v>43</v>
      </c>
      <c r="B729" t="s">
        <v>12</v>
      </c>
      <c r="C729" s="1">
        <v>4</v>
      </c>
      <c r="D729" t="s">
        <v>13</v>
      </c>
      <c r="E729" t="s">
        <v>26</v>
      </c>
      <c r="F729" t="s">
        <v>22</v>
      </c>
      <c r="G729" t="s">
        <v>16</v>
      </c>
      <c r="H729" t="s">
        <v>17</v>
      </c>
      <c r="I729" s="3">
        <v>11737</v>
      </c>
      <c r="J729" s="3" t="str">
        <f t="shared" si="11"/>
        <v>Low</v>
      </c>
      <c r="K729" t="b">
        <v>1</v>
      </c>
      <c r="L729" t="b">
        <v>0</v>
      </c>
      <c r="M729" t="b">
        <v>1</v>
      </c>
    </row>
    <row r="730" spans="1:13" x14ac:dyDescent="0.3">
      <c r="A730">
        <v>42</v>
      </c>
      <c r="B730" t="s">
        <v>25</v>
      </c>
      <c r="C730" s="1">
        <v>6</v>
      </c>
      <c r="D730" t="s">
        <v>19</v>
      </c>
      <c r="E730" t="s">
        <v>26</v>
      </c>
      <c r="F730" t="s">
        <v>22</v>
      </c>
      <c r="G730" t="s">
        <v>16</v>
      </c>
      <c r="H730" t="s">
        <v>24</v>
      </c>
      <c r="I730" s="3">
        <v>19096</v>
      </c>
      <c r="J730" s="3" t="str">
        <f t="shared" si="11"/>
        <v>High</v>
      </c>
      <c r="K730" t="b">
        <v>1</v>
      </c>
      <c r="L730" t="b">
        <v>1</v>
      </c>
      <c r="M730" t="b">
        <v>1</v>
      </c>
    </row>
    <row r="731" spans="1:13" x14ac:dyDescent="0.3">
      <c r="A731">
        <v>39</v>
      </c>
      <c r="B731" t="s">
        <v>18</v>
      </c>
      <c r="C731" s="1">
        <v>9</v>
      </c>
      <c r="D731" t="s">
        <v>13</v>
      </c>
      <c r="E731" t="s">
        <v>20</v>
      </c>
      <c r="F731" t="s">
        <v>27</v>
      </c>
      <c r="G731" t="s">
        <v>23</v>
      </c>
      <c r="H731" t="s">
        <v>21</v>
      </c>
      <c r="I731" s="3">
        <v>13554</v>
      </c>
      <c r="J731" s="3" t="str">
        <f t="shared" si="11"/>
        <v>Medium</v>
      </c>
      <c r="K731" t="b">
        <v>1</v>
      </c>
      <c r="L731" t="b">
        <v>0</v>
      </c>
      <c r="M731" t="b">
        <v>1</v>
      </c>
    </row>
    <row r="732" spans="1:13" x14ac:dyDescent="0.3">
      <c r="A732">
        <v>44</v>
      </c>
      <c r="B732" t="s">
        <v>12</v>
      </c>
      <c r="C732" s="1">
        <v>6</v>
      </c>
      <c r="D732" t="s">
        <v>19</v>
      </c>
      <c r="E732" t="s">
        <v>26</v>
      </c>
      <c r="F732" t="s">
        <v>15</v>
      </c>
      <c r="G732" t="s">
        <v>29</v>
      </c>
      <c r="H732" t="s">
        <v>21</v>
      </c>
      <c r="I732" s="3">
        <v>19918</v>
      </c>
      <c r="J732" s="3" t="str">
        <f t="shared" si="11"/>
        <v>High</v>
      </c>
      <c r="K732" t="b">
        <v>0</v>
      </c>
      <c r="L732" t="b">
        <v>0</v>
      </c>
      <c r="M732" t="b">
        <v>1</v>
      </c>
    </row>
    <row r="733" spans="1:13" x14ac:dyDescent="0.3">
      <c r="A733">
        <v>30</v>
      </c>
      <c r="B733" t="s">
        <v>25</v>
      </c>
      <c r="C733" s="1">
        <v>9</v>
      </c>
      <c r="D733" t="s">
        <v>28</v>
      </c>
      <c r="E733" t="s">
        <v>20</v>
      </c>
      <c r="F733" t="s">
        <v>22</v>
      </c>
      <c r="G733" t="s">
        <v>16</v>
      </c>
      <c r="H733" t="s">
        <v>21</v>
      </c>
      <c r="I733" s="3">
        <v>19126</v>
      </c>
      <c r="J733" s="3" t="str">
        <f t="shared" si="11"/>
        <v>High</v>
      </c>
      <c r="K733" t="b">
        <v>0</v>
      </c>
      <c r="L733" t="b">
        <v>0</v>
      </c>
      <c r="M733" t="b">
        <v>1</v>
      </c>
    </row>
    <row r="734" spans="1:13" x14ac:dyDescent="0.3">
      <c r="A734">
        <v>50</v>
      </c>
      <c r="B734" t="s">
        <v>18</v>
      </c>
      <c r="C734" s="1">
        <v>4</v>
      </c>
      <c r="D734" t="s">
        <v>13</v>
      </c>
      <c r="E734" t="s">
        <v>14</v>
      </c>
      <c r="F734" t="s">
        <v>15</v>
      </c>
      <c r="G734" t="s">
        <v>23</v>
      </c>
      <c r="H734" t="s">
        <v>17</v>
      </c>
      <c r="I734" s="3">
        <v>17095</v>
      </c>
      <c r="J734" s="3" t="str">
        <f t="shared" si="11"/>
        <v>High</v>
      </c>
      <c r="K734" t="b">
        <v>1</v>
      </c>
      <c r="L734" t="b">
        <v>1</v>
      </c>
      <c r="M734" t="b">
        <v>0</v>
      </c>
    </row>
    <row r="735" spans="1:13" x14ac:dyDescent="0.3">
      <c r="A735">
        <v>51</v>
      </c>
      <c r="B735" t="s">
        <v>25</v>
      </c>
      <c r="C735" s="1">
        <v>8</v>
      </c>
      <c r="D735" t="s">
        <v>13</v>
      </c>
      <c r="E735" t="s">
        <v>14</v>
      </c>
      <c r="F735" t="s">
        <v>15</v>
      </c>
      <c r="G735" t="s">
        <v>23</v>
      </c>
      <c r="H735" t="s">
        <v>17</v>
      </c>
      <c r="I735" s="3">
        <v>18266</v>
      </c>
      <c r="J735" s="3" t="str">
        <f t="shared" si="11"/>
        <v>High</v>
      </c>
      <c r="K735" t="b">
        <v>0</v>
      </c>
      <c r="L735" t="b">
        <v>0</v>
      </c>
      <c r="M735" t="b">
        <v>0</v>
      </c>
    </row>
    <row r="736" spans="1:13" x14ac:dyDescent="0.3">
      <c r="A736">
        <v>58</v>
      </c>
      <c r="B736" t="s">
        <v>18</v>
      </c>
      <c r="C736" s="1">
        <v>9</v>
      </c>
      <c r="D736" t="s">
        <v>13</v>
      </c>
      <c r="E736" t="s">
        <v>20</v>
      </c>
      <c r="F736" t="s">
        <v>15</v>
      </c>
      <c r="G736" t="s">
        <v>16</v>
      </c>
      <c r="H736" t="s">
        <v>21</v>
      </c>
      <c r="I736" s="3">
        <v>10294</v>
      </c>
      <c r="J736" s="3" t="str">
        <f t="shared" si="11"/>
        <v>Low</v>
      </c>
      <c r="K736" t="b">
        <v>0</v>
      </c>
      <c r="L736" t="b">
        <v>1</v>
      </c>
      <c r="M736" t="b">
        <v>0</v>
      </c>
    </row>
    <row r="737" spans="1:13" x14ac:dyDescent="0.3">
      <c r="A737">
        <v>52</v>
      </c>
      <c r="B737" t="s">
        <v>25</v>
      </c>
      <c r="C737" s="1">
        <v>4</v>
      </c>
      <c r="D737" t="s">
        <v>28</v>
      </c>
      <c r="E737" t="s">
        <v>14</v>
      </c>
      <c r="F737" t="s">
        <v>27</v>
      </c>
      <c r="G737" t="s">
        <v>29</v>
      </c>
      <c r="H737" t="s">
        <v>17</v>
      </c>
      <c r="I737" s="3">
        <v>18212</v>
      </c>
      <c r="J737" s="3" t="str">
        <f t="shared" si="11"/>
        <v>High</v>
      </c>
      <c r="K737" t="b">
        <v>0</v>
      </c>
      <c r="L737" t="b">
        <v>1</v>
      </c>
      <c r="M737" t="b">
        <v>0</v>
      </c>
    </row>
    <row r="738" spans="1:13" x14ac:dyDescent="0.3">
      <c r="A738">
        <v>18</v>
      </c>
      <c r="B738" t="s">
        <v>18</v>
      </c>
      <c r="C738" s="1">
        <v>5</v>
      </c>
      <c r="D738" t="s">
        <v>19</v>
      </c>
      <c r="E738" t="s">
        <v>14</v>
      </c>
      <c r="F738" t="s">
        <v>15</v>
      </c>
      <c r="G738" t="s">
        <v>16</v>
      </c>
      <c r="H738" t="s">
        <v>21</v>
      </c>
      <c r="I738" s="3">
        <v>19230</v>
      </c>
      <c r="J738" s="3" t="str">
        <f t="shared" si="11"/>
        <v>High</v>
      </c>
      <c r="K738" t="b">
        <v>1</v>
      </c>
      <c r="L738" t="b">
        <v>1</v>
      </c>
      <c r="M738" t="b">
        <v>1</v>
      </c>
    </row>
    <row r="739" spans="1:13" x14ac:dyDescent="0.3">
      <c r="A739">
        <v>38</v>
      </c>
      <c r="B739" t="s">
        <v>12</v>
      </c>
      <c r="C739" s="1">
        <v>8</v>
      </c>
      <c r="D739" t="s">
        <v>28</v>
      </c>
      <c r="E739" t="s">
        <v>20</v>
      </c>
      <c r="F739" t="s">
        <v>22</v>
      </c>
      <c r="G739" t="s">
        <v>23</v>
      </c>
      <c r="H739" t="s">
        <v>17</v>
      </c>
      <c r="I739" s="3">
        <v>15330</v>
      </c>
      <c r="J739" s="3" t="str">
        <f t="shared" si="11"/>
        <v>High</v>
      </c>
      <c r="K739" t="b">
        <v>1</v>
      </c>
      <c r="L739" t="b">
        <v>0</v>
      </c>
      <c r="M739" t="b">
        <v>0</v>
      </c>
    </row>
    <row r="740" spans="1:13" x14ac:dyDescent="0.3">
      <c r="A740">
        <v>23</v>
      </c>
      <c r="B740" t="s">
        <v>18</v>
      </c>
      <c r="C740" s="1">
        <v>6</v>
      </c>
      <c r="D740" t="s">
        <v>13</v>
      </c>
      <c r="E740" t="s">
        <v>20</v>
      </c>
      <c r="F740" t="s">
        <v>27</v>
      </c>
      <c r="G740" t="s">
        <v>29</v>
      </c>
      <c r="H740" t="s">
        <v>21</v>
      </c>
      <c r="I740" s="3">
        <v>14655</v>
      </c>
      <c r="J740" s="3" t="str">
        <f t="shared" si="11"/>
        <v>Medium</v>
      </c>
      <c r="K740" t="b">
        <v>0</v>
      </c>
      <c r="L740" t="b">
        <v>0</v>
      </c>
      <c r="M740" t="b">
        <v>1</v>
      </c>
    </row>
    <row r="741" spans="1:13" x14ac:dyDescent="0.3">
      <c r="A741">
        <v>45</v>
      </c>
      <c r="B741" t="s">
        <v>25</v>
      </c>
      <c r="C741" s="1">
        <v>7</v>
      </c>
      <c r="D741" t="s">
        <v>19</v>
      </c>
      <c r="E741" t="s">
        <v>14</v>
      </c>
      <c r="F741" t="s">
        <v>22</v>
      </c>
      <c r="G741" t="s">
        <v>23</v>
      </c>
      <c r="H741" t="s">
        <v>24</v>
      </c>
      <c r="I741" s="3">
        <v>11109</v>
      </c>
      <c r="J741" s="3" t="str">
        <f t="shared" si="11"/>
        <v>Low</v>
      </c>
      <c r="K741" t="b">
        <v>0</v>
      </c>
      <c r="L741" t="b">
        <v>1</v>
      </c>
      <c r="M741" t="b">
        <v>0</v>
      </c>
    </row>
    <row r="742" spans="1:13" x14ac:dyDescent="0.3">
      <c r="A742">
        <v>34</v>
      </c>
      <c r="B742" t="s">
        <v>25</v>
      </c>
      <c r="C742" s="1">
        <v>3</v>
      </c>
      <c r="D742" t="s">
        <v>28</v>
      </c>
      <c r="E742" t="s">
        <v>26</v>
      </c>
      <c r="F742" t="s">
        <v>22</v>
      </c>
      <c r="G742" t="s">
        <v>16</v>
      </c>
      <c r="H742" t="s">
        <v>21</v>
      </c>
      <c r="I742" s="3">
        <v>13771</v>
      </c>
      <c r="J742" s="3" t="str">
        <f t="shared" si="11"/>
        <v>Medium</v>
      </c>
      <c r="K742" t="b">
        <v>0</v>
      </c>
      <c r="L742" t="b">
        <v>1</v>
      </c>
      <c r="M742" t="b">
        <v>0</v>
      </c>
    </row>
    <row r="743" spans="1:13" x14ac:dyDescent="0.3">
      <c r="A743">
        <v>22</v>
      </c>
      <c r="B743" t="s">
        <v>18</v>
      </c>
      <c r="C743" s="1">
        <v>7</v>
      </c>
      <c r="D743" t="s">
        <v>13</v>
      </c>
      <c r="E743" t="s">
        <v>26</v>
      </c>
      <c r="F743" t="s">
        <v>27</v>
      </c>
      <c r="G743" t="s">
        <v>29</v>
      </c>
      <c r="H743" t="s">
        <v>21</v>
      </c>
      <c r="I743" s="3">
        <v>18563</v>
      </c>
      <c r="J743" s="3" t="str">
        <f t="shared" si="11"/>
        <v>High</v>
      </c>
      <c r="K743" t="b">
        <v>0</v>
      </c>
      <c r="L743" t="b">
        <v>1</v>
      </c>
      <c r="M743" t="b">
        <v>0</v>
      </c>
    </row>
    <row r="744" spans="1:13" x14ac:dyDescent="0.3">
      <c r="A744">
        <v>48</v>
      </c>
      <c r="B744" t="s">
        <v>12</v>
      </c>
      <c r="C744" s="1">
        <v>8</v>
      </c>
      <c r="D744" t="s">
        <v>13</v>
      </c>
      <c r="E744" t="s">
        <v>20</v>
      </c>
      <c r="F744" t="s">
        <v>22</v>
      </c>
      <c r="G744" t="s">
        <v>23</v>
      </c>
      <c r="H744" t="s">
        <v>17</v>
      </c>
      <c r="I744" s="3">
        <v>16123</v>
      </c>
      <c r="J744" s="3" t="str">
        <f t="shared" si="11"/>
        <v>High</v>
      </c>
      <c r="K744" t="b">
        <v>1</v>
      </c>
      <c r="L744" t="b">
        <v>0</v>
      </c>
      <c r="M744" t="b">
        <v>1</v>
      </c>
    </row>
    <row r="745" spans="1:13" x14ac:dyDescent="0.3">
      <c r="A745">
        <v>22</v>
      </c>
      <c r="B745" t="s">
        <v>12</v>
      </c>
      <c r="C745" s="1">
        <v>6</v>
      </c>
      <c r="D745" t="s">
        <v>28</v>
      </c>
      <c r="E745" t="s">
        <v>20</v>
      </c>
      <c r="F745" t="s">
        <v>22</v>
      </c>
      <c r="G745" t="s">
        <v>23</v>
      </c>
      <c r="H745" t="s">
        <v>17</v>
      </c>
      <c r="I745" s="3">
        <v>17647</v>
      </c>
      <c r="J745" s="3" t="str">
        <f t="shared" si="11"/>
        <v>High</v>
      </c>
      <c r="K745" t="b">
        <v>0</v>
      </c>
      <c r="L745" t="b">
        <v>0</v>
      </c>
      <c r="M745" t="b">
        <v>0</v>
      </c>
    </row>
    <row r="746" spans="1:13" x14ac:dyDescent="0.3">
      <c r="A746">
        <v>55</v>
      </c>
      <c r="B746" t="s">
        <v>18</v>
      </c>
      <c r="C746" s="1">
        <v>9</v>
      </c>
      <c r="D746" t="s">
        <v>28</v>
      </c>
      <c r="E746" t="s">
        <v>26</v>
      </c>
      <c r="F746" t="s">
        <v>27</v>
      </c>
      <c r="G746" t="s">
        <v>23</v>
      </c>
      <c r="H746" t="s">
        <v>17</v>
      </c>
      <c r="I746" s="3">
        <v>11174</v>
      </c>
      <c r="J746" s="3" t="str">
        <f t="shared" si="11"/>
        <v>Low</v>
      </c>
      <c r="K746" t="b">
        <v>1</v>
      </c>
      <c r="L746" t="b">
        <v>1</v>
      </c>
      <c r="M746" t="b">
        <v>1</v>
      </c>
    </row>
    <row r="747" spans="1:13" x14ac:dyDescent="0.3">
      <c r="A747">
        <v>20</v>
      </c>
      <c r="B747" t="s">
        <v>18</v>
      </c>
      <c r="C747" s="1">
        <v>6</v>
      </c>
      <c r="D747" t="s">
        <v>28</v>
      </c>
      <c r="E747" t="s">
        <v>14</v>
      </c>
      <c r="F747" t="s">
        <v>22</v>
      </c>
      <c r="G747" t="s">
        <v>16</v>
      </c>
      <c r="H747" t="s">
        <v>17</v>
      </c>
      <c r="I747" s="3">
        <v>11164</v>
      </c>
      <c r="J747" s="3" t="str">
        <f t="shared" si="11"/>
        <v>Low</v>
      </c>
      <c r="K747" t="b">
        <v>1</v>
      </c>
      <c r="L747" t="b">
        <v>1</v>
      </c>
      <c r="M747" t="b">
        <v>1</v>
      </c>
    </row>
    <row r="748" spans="1:13" x14ac:dyDescent="0.3">
      <c r="A748">
        <v>40</v>
      </c>
      <c r="B748" t="s">
        <v>25</v>
      </c>
      <c r="C748" s="1">
        <v>9</v>
      </c>
      <c r="D748" t="s">
        <v>13</v>
      </c>
      <c r="E748" t="s">
        <v>26</v>
      </c>
      <c r="F748" t="s">
        <v>15</v>
      </c>
      <c r="G748" t="s">
        <v>29</v>
      </c>
      <c r="H748" t="s">
        <v>17</v>
      </c>
      <c r="I748" s="3">
        <v>19284</v>
      </c>
      <c r="J748" s="3" t="str">
        <f t="shared" si="11"/>
        <v>High</v>
      </c>
      <c r="K748" t="b">
        <v>1</v>
      </c>
      <c r="L748" t="b">
        <v>0</v>
      </c>
      <c r="M748" t="b">
        <v>0</v>
      </c>
    </row>
    <row r="749" spans="1:13" x14ac:dyDescent="0.3">
      <c r="A749">
        <v>54</v>
      </c>
      <c r="B749" t="s">
        <v>12</v>
      </c>
      <c r="C749" s="1">
        <v>4</v>
      </c>
      <c r="D749" t="s">
        <v>28</v>
      </c>
      <c r="E749" t="s">
        <v>26</v>
      </c>
      <c r="F749" t="s">
        <v>22</v>
      </c>
      <c r="G749" t="s">
        <v>16</v>
      </c>
      <c r="H749" t="s">
        <v>17</v>
      </c>
      <c r="I749" s="3">
        <v>19475</v>
      </c>
      <c r="J749" s="3" t="str">
        <f t="shared" si="11"/>
        <v>High</v>
      </c>
      <c r="K749" t="b">
        <v>0</v>
      </c>
      <c r="L749" t="b">
        <v>1</v>
      </c>
      <c r="M749" t="b">
        <v>1</v>
      </c>
    </row>
    <row r="750" spans="1:13" x14ac:dyDescent="0.3">
      <c r="A750">
        <v>54</v>
      </c>
      <c r="B750" t="s">
        <v>18</v>
      </c>
      <c r="C750" s="1">
        <v>8</v>
      </c>
      <c r="D750" t="s">
        <v>13</v>
      </c>
      <c r="E750" t="s">
        <v>26</v>
      </c>
      <c r="F750" t="s">
        <v>15</v>
      </c>
      <c r="G750" t="s">
        <v>16</v>
      </c>
      <c r="H750" t="s">
        <v>24</v>
      </c>
      <c r="I750" s="3">
        <v>19037</v>
      </c>
      <c r="J750" s="3" t="str">
        <f t="shared" si="11"/>
        <v>High</v>
      </c>
      <c r="K750" t="b">
        <v>1</v>
      </c>
      <c r="L750" t="b">
        <v>0</v>
      </c>
      <c r="M750" t="b">
        <v>1</v>
      </c>
    </row>
    <row r="751" spans="1:13" x14ac:dyDescent="0.3">
      <c r="A751">
        <v>27</v>
      </c>
      <c r="B751" t="s">
        <v>12</v>
      </c>
      <c r="C751" s="1">
        <v>4</v>
      </c>
      <c r="D751" t="s">
        <v>28</v>
      </c>
      <c r="E751" t="s">
        <v>26</v>
      </c>
      <c r="F751" t="s">
        <v>22</v>
      </c>
      <c r="G751" t="s">
        <v>16</v>
      </c>
      <c r="H751" t="s">
        <v>21</v>
      </c>
      <c r="I751" s="3">
        <v>18712</v>
      </c>
      <c r="J751" s="3" t="str">
        <f t="shared" si="11"/>
        <v>High</v>
      </c>
      <c r="K751" t="b">
        <v>1</v>
      </c>
      <c r="L751" t="b">
        <v>0</v>
      </c>
      <c r="M751" t="b">
        <v>0</v>
      </c>
    </row>
    <row r="752" spans="1:13" x14ac:dyDescent="0.3">
      <c r="A752">
        <v>27</v>
      </c>
      <c r="B752" t="s">
        <v>18</v>
      </c>
      <c r="C752" s="1">
        <v>2</v>
      </c>
      <c r="D752" t="s">
        <v>13</v>
      </c>
      <c r="E752" t="s">
        <v>20</v>
      </c>
      <c r="F752" t="s">
        <v>27</v>
      </c>
      <c r="G752" t="s">
        <v>29</v>
      </c>
      <c r="H752" t="s">
        <v>21</v>
      </c>
      <c r="I752" s="3">
        <v>14466</v>
      </c>
      <c r="J752" s="3" t="str">
        <f t="shared" si="11"/>
        <v>Medium</v>
      </c>
      <c r="K752" t="b">
        <v>0</v>
      </c>
      <c r="L752" t="b">
        <v>1</v>
      </c>
      <c r="M752" t="b">
        <v>0</v>
      </c>
    </row>
    <row r="753" spans="1:13" x14ac:dyDescent="0.3">
      <c r="A753">
        <v>36</v>
      </c>
      <c r="B753" t="s">
        <v>18</v>
      </c>
      <c r="C753" s="1">
        <v>9</v>
      </c>
      <c r="D753" t="s">
        <v>13</v>
      </c>
      <c r="E753" t="s">
        <v>20</v>
      </c>
      <c r="F753" t="s">
        <v>27</v>
      </c>
      <c r="G753" t="s">
        <v>16</v>
      </c>
      <c r="H753" t="s">
        <v>21</v>
      </c>
      <c r="I753" s="3">
        <v>15538</v>
      </c>
      <c r="J753" s="3" t="str">
        <f t="shared" si="11"/>
        <v>High</v>
      </c>
      <c r="K753" t="b">
        <v>0</v>
      </c>
      <c r="L753" t="b">
        <v>1</v>
      </c>
      <c r="M753" t="b">
        <v>0</v>
      </c>
    </row>
    <row r="754" spans="1:13" x14ac:dyDescent="0.3">
      <c r="A754">
        <v>34</v>
      </c>
      <c r="B754" t="s">
        <v>12</v>
      </c>
      <c r="C754" s="1">
        <v>5</v>
      </c>
      <c r="D754" t="s">
        <v>19</v>
      </c>
      <c r="E754" t="s">
        <v>14</v>
      </c>
      <c r="F754" t="s">
        <v>22</v>
      </c>
      <c r="G754" t="s">
        <v>16</v>
      </c>
      <c r="H754" t="s">
        <v>24</v>
      </c>
      <c r="I754" s="3">
        <v>17111</v>
      </c>
      <c r="J754" s="3" t="str">
        <f t="shared" si="11"/>
        <v>High</v>
      </c>
      <c r="K754" t="b">
        <v>0</v>
      </c>
      <c r="L754" t="b">
        <v>0</v>
      </c>
      <c r="M754" t="b">
        <v>0</v>
      </c>
    </row>
    <row r="755" spans="1:13" x14ac:dyDescent="0.3">
      <c r="A755">
        <v>38</v>
      </c>
      <c r="B755" t="s">
        <v>18</v>
      </c>
      <c r="C755" s="1">
        <v>4</v>
      </c>
      <c r="D755" t="s">
        <v>28</v>
      </c>
      <c r="E755" t="s">
        <v>14</v>
      </c>
      <c r="F755" t="s">
        <v>27</v>
      </c>
      <c r="G755" t="s">
        <v>16</v>
      </c>
      <c r="H755" t="s">
        <v>21</v>
      </c>
      <c r="I755" s="3">
        <v>18434</v>
      </c>
      <c r="J755" s="3" t="str">
        <f t="shared" si="11"/>
        <v>High</v>
      </c>
      <c r="K755" t="b">
        <v>1</v>
      </c>
      <c r="L755" t="b">
        <v>0</v>
      </c>
      <c r="M755" t="b">
        <v>0</v>
      </c>
    </row>
    <row r="756" spans="1:13" x14ac:dyDescent="0.3">
      <c r="A756">
        <v>31</v>
      </c>
      <c r="B756" t="s">
        <v>18</v>
      </c>
      <c r="C756" s="1">
        <v>2</v>
      </c>
      <c r="D756" t="s">
        <v>28</v>
      </c>
      <c r="E756" t="s">
        <v>14</v>
      </c>
      <c r="F756" t="s">
        <v>22</v>
      </c>
      <c r="G756" t="s">
        <v>16</v>
      </c>
      <c r="H756" t="s">
        <v>24</v>
      </c>
      <c r="I756" s="3">
        <v>12800</v>
      </c>
      <c r="J756" s="3" t="str">
        <f t="shared" si="11"/>
        <v>Medium</v>
      </c>
      <c r="K756" t="b">
        <v>0</v>
      </c>
      <c r="L756" t="b">
        <v>0</v>
      </c>
      <c r="M756" t="b">
        <v>0</v>
      </c>
    </row>
    <row r="757" spans="1:13" x14ac:dyDescent="0.3">
      <c r="A757">
        <v>26</v>
      </c>
      <c r="B757" t="s">
        <v>25</v>
      </c>
      <c r="C757" s="1">
        <v>1</v>
      </c>
      <c r="D757" t="s">
        <v>13</v>
      </c>
      <c r="E757" t="s">
        <v>14</v>
      </c>
      <c r="F757" t="s">
        <v>27</v>
      </c>
      <c r="G757" t="s">
        <v>23</v>
      </c>
      <c r="H757" t="s">
        <v>24</v>
      </c>
      <c r="I757" s="3">
        <v>14607</v>
      </c>
      <c r="J757" s="3" t="str">
        <f t="shared" si="11"/>
        <v>Medium</v>
      </c>
      <c r="K757" t="b">
        <v>1</v>
      </c>
      <c r="L757" t="b">
        <v>0</v>
      </c>
      <c r="M757" t="b">
        <v>1</v>
      </c>
    </row>
    <row r="758" spans="1:13" x14ac:dyDescent="0.3">
      <c r="A758">
        <v>63</v>
      </c>
      <c r="B758" t="s">
        <v>18</v>
      </c>
      <c r="C758" s="1">
        <v>7</v>
      </c>
      <c r="D758" t="s">
        <v>13</v>
      </c>
      <c r="E758" t="s">
        <v>26</v>
      </c>
      <c r="F758" t="s">
        <v>15</v>
      </c>
      <c r="G758" t="s">
        <v>16</v>
      </c>
      <c r="H758" t="s">
        <v>24</v>
      </c>
      <c r="I758" s="3">
        <v>17262</v>
      </c>
      <c r="J758" s="3" t="str">
        <f t="shared" si="11"/>
        <v>High</v>
      </c>
      <c r="K758" t="b">
        <v>1</v>
      </c>
      <c r="L758" t="b">
        <v>0</v>
      </c>
      <c r="M758" t="b">
        <v>0</v>
      </c>
    </row>
    <row r="759" spans="1:13" x14ac:dyDescent="0.3">
      <c r="A759">
        <v>18</v>
      </c>
      <c r="B759" t="s">
        <v>18</v>
      </c>
      <c r="C759" s="1">
        <v>6</v>
      </c>
      <c r="D759" t="s">
        <v>13</v>
      </c>
      <c r="E759" t="s">
        <v>20</v>
      </c>
      <c r="F759" t="s">
        <v>22</v>
      </c>
      <c r="G759" t="s">
        <v>23</v>
      </c>
      <c r="H759" t="s">
        <v>21</v>
      </c>
      <c r="I759" s="3">
        <v>11541</v>
      </c>
      <c r="J759" s="3" t="str">
        <f t="shared" si="11"/>
        <v>Low</v>
      </c>
      <c r="K759" t="b">
        <v>0</v>
      </c>
      <c r="L759" t="b">
        <v>1</v>
      </c>
      <c r="M759" t="b">
        <v>0</v>
      </c>
    </row>
    <row r="760" spans="1:13" x14ac:dyDescent="0.3">
      <c r="A760">
        <v>62</v>
      </c>
      <c r="B760" t="s">
        <v>18</v>
      </c>
      <c r="C760" s="1">
        <v>2</v>
      </c>
      <c r="D760" t="s">
        <v>19</v>
      </c>
      <c r="E760" t="s">
        <v>20</v>
      </c>
      <c r="F760" t="s">
        <v>15</v>
      </c>
      <c r="G760" t="s">
        <v>16</v>
      </c>
      <c r="H760" t="s">
        <v>24</v>
      </c>
      <c r="I760" s="3">
        <v>12765</v>
      </c>
      <c r="J760" s="3" t="str">
        <f t="shared" si="11"/>
        <v>Medium</v>
      </c>
      <c r="K760" t="b">
        <v>1</v>
      </c>
      <c r="L760" t="b">
        <v>0</v>
      </c>
      <c r="M760" t="b">
        <v>1</v>
      </c>
    </row>
    <row r="761" spans="1:13" x14ac:dyDescent="0.3">
      <c r="A761">
        <v>30</v>
      </c>
      <c r="B761" t="s">
        <v>25</v>
      </c>
      <c r="C761" s="1">
        <v>8</v>
      </c>
      <c r="D761" t="s">
        <v>19</v>
      </c>
      <c r="E761" t="s">
        <v>14</v>
      </c>
      <c r="F761" t="s">
        <v>15</v>
      </c>
      <c r="G761" t="s">
        <v>29</v>
      </c>
      <c r="H761" t="s">
        <v>21</v>
      </c>
      <c r="I761" s="3">
        <v>14491</v>
      </c>
      <c r="J761" s="3" t="str">
        <f t="shared" si="11"/>
        <v>Medium</v>
      </c>
      <c r="K761" t="b">
        <v>1</v>
      </c>
      <c r="L761" t="b">
        <v>0</v>
      </c>
      <c r="M761" t="b">
        <v>0</v>
      </c>
    </row>
    <row r="762" spans="1:13" x14ac:dyDescent="0.3">
      <c r="A762">
        <v>21</v>
      </c>
      <c r="B762" t="s">
        <v>12</v>
      </c>
      <c r="C762" s="1">
        <v>4</v>
      </c>
      <c r="D762" t="s">
        <v>13</v>
      </c>
      <c r="E762" t="s">
        <v>14</v>
      </c>
      <c r="F762" t="s">
        <v>22</v>
      </c>
      <c r="G762" t="s">
        <v>23</v>
      </c>
      <c r="H762" t="s">
        <v>21</v>
      </c>
      <c r="I762" s="3">
        <v>13083</v>
      </c>
      <c r="J762" s="3" t="str">
        <f t="shared" si="11"/>
        <v>Medium</v>
      </c>
      <c r="K762" t="b">
        <v>1</v>
      </c>
      <c r="L762" t="b">
        <v>0</v>
      </c>
      <c r="M762" t="b">
        <v>1</v>
      </c>
    </row>
    <row r="763" spans="1:13" x14ac:dyDescent="0.3">
      <c r="A763">
        <v>18</v>
      </c>
      <c r="B763" t="s">
        <v>25</v>
      </c>
      <c r="C763" s="1">
        <v>8</v>
      </c>
      <c r="D763" t="s">
        <v>28</v>
      </c>
      <c r="E763" t="s">
        <v>26</v>
      </c>
      <c r="F763" t="s">
        <v>15</v>
      </c>
      <c r="G763" t="s">
        <v>23</v>
      </c>
      <c r="H763" t="s">
        <v>17</v>
      </c>
      <c r="I763" s="3">
        <v>15356</v>
      </c>
      <c r="J763" s="3" t="str">
        <f t="shared" si="11"/>
        <v>High</v>
      </c>
      <c r="K763" t="b">
        <v>1</v>
      </c>
      <c r="L763" t="b">
        <v>1</v>
      </c>
      <c r="M763" t="b">
        <v>0</v>
      </c>
    </row>
    <row r="764" spans="1:13" x14ac:dyDescent="0.3">
      <c r="A764">
        <v>57</v>
      </c>
      <c r="B764" t="s">
        <v>25</v>
      </c>
      <c r="C764" s="1">
        <v>7</v>
      </c>
      <c r="D764" t="s">
        <v>28</v>
      </c>
      <c r="E764" t="s">
        <v>26</v>
      </c>
      <c r="F764" t="s">
        <v>22</v>
      </c>
      <c r="G764" t="s">
        <v>23</v>
      </c>
      <c r="H764" t="s">
        <v>17</v>
      </c>
      <c r="I764" s="3">
        <v>11857</v>
      </c>
      <c r="J764" s="3" t="str">
        <f t="shared" si="11"/>
        <v>Low</v>
      </c>
      <c r="K764" t="b">
        <v>0</v>
      </c>
      <c r="L764" t="b">
        <v>1</v>
      </c>
      <c r="M764" t="b">
        <v>0</v>
      </c>
    </row>
    <row r="765" spans="1:13" x14ac:dyDescent="0.3">
      <c r="A765">
        <v>49</v>
      </c>
      <c r="B765" t="s">
        <v>12</v>
      </c>
      <c r="C765" s="1">
        <v>5</v>
      </c>
      <c r="D765" t="s">
        <v>19</v>
      </c>
      <c r="E765" t="s">
        <v>14</v>
      </c>
      <c r="F765" t="s">
        <v>15</v>
      </c>
      <c r="G765" t="s">
        <v>23</v>
      </c>
      <c r="H765" t="s">
        <v>24</v>
      </c>
      <c r="I765" s="3">
        <v>10769</v>
      </c>
      <c r="J765" s="3" t="str">
        <f t="shared" si="11"/>
        <v>Low</v>
      </c>
      <c r="K765" t="b">
        <v>1</v>
      </c>
      <c r="L765" t="b">
        <v>0</v>
      </c>
      <c r="M765" t="b">
        <v>1</v>
      </c>
    </row>
    <row r="766" spans="1:13" x14ac:dyDescent="0.3">
      <c r="A766">
        <v>51</v>
      </c>
      <c r="B766" t="s">
        <v>25</v>
      </c>
      <c r="C766" s="1">
        <v>8</v>
      </c>
      <c r="D766" t="s">
        <v>19</v>
      </c>
      <c r="E766" t="s">
        <v>20</v>
      </c>
      <c r="F766" t="s">
        <v>22</v>
      </c>
      <c r="G766" t="s">
        <v>29</v>
      </c>
      <c r="H766" t="s">
        <v>24</v>
      </c>
      <c r="I766" s="3">
        <v>11422</v>
      </c>
      <c r="J766" s="3" t="str">
        <f t="shared" si="11"/>
        <v>Low</v>
      </c>
      <c r="K766" t="b">
        <v>0</v>
      </c>
      <c r="L766" t="b">
        <v>0</v>
      </c>
      <c r="M766" t="b">
        <v>0</v>
      </c>
    </row>
    <row r="767" spans="1:13" x14ac:dyDescent="0.3">
      <c r="A767">
        <v>45</v>
      </c>
      <c r="B767" t="s">
        <v>12</v>
      </c>
      <c r="C767" s="1">
        <v>9</v>
      </c>
      <c r="D767" t="s">
        <v>13</v>
      </c>
      <c r="E767" t="s">
        <v>20</v>
      </c>
      <c r="F767" t="s">
        <v>22</v>
      </c>
      <c r="G767" t="s">
        <v>16</v>
      </c>
      <c r="H767" t="s">
        <v>21</v>
      </c>
      <c r="I767" s="3">
        <v>18598</v>
      </c>
      <c r="J767" s="3" t="str">
        <f t="shared" si="11"/>
        <v>High</v>
      </c>
      <c r="K767" t="b">
        <v>1</v>
      </c>
      <c r="L767" t="b">
        <v>1</v>
      </c>
      <c r="M767" t="b">
        <v>1</v>
      </c>
    </row>
    <row r="768" spans="1:13" x14ac:dyDescent="0.3">
      <c r="A768">
        <v>48</v>
      </c>
      <c r="B768" t="s">
        <v>25</v>
      </c>
      <c r="C768" s="1">
        <v>5</v>
      </c>
      <c r="D768" t="s">
        <v>28</v>
      </c>
      <c r="E768" t="s">
        <v>20</v>
      </c>
      <c r="F768" t="s">
        <v>27</v>
      </c>
      <c r="G768" t="s">
        <v>23</v>
      </c>
      <c r="H768" t="s">
        <v>24</v>
      </c>
      <c r="I768" s="3">
        <v>12972</v>
      </c>
      <c r="J768" s="3" t="str">
        <f t="shared" si="11"/>
        <v>Medium</v>
      </c>
      <c r="K768" t="b">
        <v>1</v>
      </c>
      <c r="L768" t="b">
        <v>1</v>
      </c>
      <c r="M768" t="b">
        <v>0</v>
      </c>
    </row>
    <row r="769" spans="1:13" x14ac:dyDescent="0.3">
      <c r="A769">
        <v>25</v>
      </c>
      <c r="B769" t="s">
        <v>12</v>
      </c>
      <c r="C769" s="1">
        <v>5</v>
      </c>
      <c r="D769" t="s">
        <v>13</v>
      </c>
      <c r="E769" t="s">
        <v>14</v>
      </c>
      <c r="F769" t="s">
        <v>22</v>
      </c>
      <c r="G769" t="s">
        <v>29</v>
      </c>
      <c r="H769" t="s">
        <v>24</v>
      </c>
      <c r="I769" s="3">
        <v>11872</v>
      </c>
      <c r="J769" s="3" t="str">
        <f t="shared" si="11"/>
        <v>Low</v>
      </c>
      <c r="K769" t="b">
        <v>0</v>
      </c>
      <c r="L769" t="b">
        <v>1</v>
      </c>
      <c r="M769" t="b">
        <v>0</v>
      </c>
    </row>
    <row r="770" spans="1:13" x14ac:dyDescent="0.3">
      <c r="A770">
        <v>56</v>
      </c>
      <c r="B770" t="s">
        <v>18</v>
      </c>
      <c r="C770" s="1">
        <v>2</v>
      </c>
      <c r="D770" t="s">
        <v>19</v>
      </c>
      <c r="E770" t="s">
        <v>20</v>
      </c>
      <c r="F770" t="s">
        <v>22</v>
      </c>
      <c r="G770" t="s">
        <v>23</v>
      </c>
      <c r="H770" t="s">
        <v>21</v>
      </c>
      <c r="I770" s="3">
        <v>15599</v>
      </c>
      <c r="J770" s="3" t="str">
        <f t="shared" si="11"/>
        <v>High</v>
      </c>
      <c r="K770" t="b">
        <v>1</v>
      </c>
      <c r="L770" t="b">
        <v>1</v>
      </c>
      <c r="M770" t="b">
        <v>1</v>
      </c>
    </row>
    <row r="771" spans="1:13" x14ac:dyDescent="0.3">
      <c r="A771">
        <v>43</v>
      </c>
      <c r="B771" t="s">
        <v>25</v>
      </c>
      <c r="C771" s="1">
        <v>5</v>
      </c>
      <c r="D771" t="s">
        <v>28</v>
      </c>
      <c r="E771" t="s">
        <v>26</v>
      </c>
      <c r="F771" t="s">
        <v>15</v>
      </c>
      <c r="G771" t="s">
        <v>16</v>
      </c>
      <c r="H771" t="s">
        <v>24</v>
      </c>
      <c r="I771" s="3">
        <v>12269</v>
      </c>
      <c r="J771" s="3" t="str">
        <f t="shared" ref="J771:J834" si="12">IF(I771&gt;16000, "High", IF(I771&gt;=12000, IF(I771&lt;=15000, "Medium", "High"), "Low"))</f>
        <v>Medium</v>
      </c>
      <c r="K771" t="b">
        <v>1</v>
      </c>
      <c r="L771" t="b">
        <v>0</v>
      </c>
      <c r="M771" t="b">
        <v>0</v>
      </c>
    </row>
    <row r="772" spans="1:13" x14ac:dyDescent="0.3">
      <c r="A772">
        <v>51</v>
      </c>
      <c r="B772" t="s">
        <v>25</v>
      </c>
      <c r="C772" s="1">
        <v>3</v>
      </c>
      <c r="D772" t="s">
        <v>28</v>
      </c>
      <c r="E772" t="s">
        <v>26</v>
      </c>
      <c r="F772" t="s">
        <v>22</v>
      </c>
      <c r="G772" t="s">
        <v>23</v>
      </c>
      <c r="H772" t="s">
        <v>24</v>
      </c>
      <c r="I772" s="3">
        <v>15275</v>
      </c>
      <c r="J772" s="3" t="str">
        <f t="shared" si="12"/>
        <v>High</v>
      </c>
      <c r="K772" t="b">
        <v>1</v>
      </c>
      <c r="L772" t="b">
        <v>1</v>
      </c>
      <c r="M772" t="b">
        <v>0</v>
      </c>
    </row>
    <row r="773" spans="1:13" x14ac:dyDescent="0.3">
      <c r="A773">
        <v>20</v>
      </c>
      <c r="B773" t="s">
        <v>25</v>
      </c>
      <c r="C773" s="1">
        <v>7</v>
      </c>
      <c r="D773" t="s">
        <v>19</v>
      </c>
      <c r="E773" t="s">
        <v>14</v>
      </c>
      <c r="F773" t="s">
        <v>27</v>
      </c>
      <c r="G773" t="s">
        <v>29</v>
      </c>
      <c r="H773" t="s">
        <v>21</v>
      </c>
      <c r="I773" s="3">
        <v>14749</v>
      </c>
      <c r="J773" s="3" t="str">
        <f t="shared" si="12"/>
        <v>Medium</v>
      </c>
      <c r="K773" t="b">
        <v>1</v>
      </c>
      <c r="L773" t="b">
        <v>0</v>
      </c>
      <c r="M773" t="b">
        <v>1</v>
      </c>
    </row>
    <row r="774" spans="1:13" x14ac:dyDescent="0.3">
      <c r="A774">
        <v>29</v>
      </c>
      <c r="B774" t="s">
        <v>25</v>
      </c>
      <c r="C774" s="1">
        <v>5</v>
      </c>
      <c r="D774" t="s">
        <v>13</v>
      </c>
      <c r="E774" t="s">
        <v>26</v>
      </c>
      <c r="F774" t="s">
        <v>15</v>
      </c>
      <c r="G774" t="s">
        <v>16</v>
      </c>
      <c r="H774" t="s">
        <v>21</v>
      </c>
      <c r="I774" s="3">
        <v>16571</v>
      </c>
      <c r="J774" s="3" t="str">
        <f t="shared" si="12"/>
        <v>High</v>
      </c>
      <c r="K774" t="b">
        <v>1</v>
      </c>
      <c r="L774" t="b">
        <v>0</v>
      </c>
      <c r="M774" t="b">
        <v>0</v>
      </c>
    </row>
    <row r="775" spans="1:13" x14ac:dyDescent="0.3">
      <c r="A775">
        <v>18</v>
      </c>
      <c r="B775" t="s">
        <v>18</v>
      </c>
      <c r="C775" s="1">
        <v>8</v>
      </c>
      <c r="D775" t="s">
        <v>13</v>
      </c>
      <c r="E775" t="s">
        <v>14</v>
      </c>
      <c r="F775" t="s">
        <v>15</v>
      </c>
      <c r="G775" t="s">
        <v>29</v>
      </c>
      <c r="H775" t="s">
        <v>17</v>
      </c>
      <c r="I775" s="3">
        <v>19373</v>
      </c>
      <c r="J775" s="3" t="str">
        <f t="shared" si="12"/>
        <v>High</v>
      </c>
      <c r="K775" t="b">
        <v>1</v>
      </c>
      <c r="L775" t="b">
        <v>1</v>
      </c>
      <c r="M775" t="b">
        <v>1</v>
      </c>
    </row>
    <row r="776" spans="1:13" x14ac:dyDescent="0.3">
      <c r="A776">
        <v>61</v>
      </c>
      <c r="B776" t="s">
        <v>25</v>
      </c>
      <c r="C776" s="1">
        <v>1</v>
      </c>
      <c r="D776" t="s">
        <v>28</v>
      </c>
      <c r="E776" t="s">
        <v>20</v>
      </c>
      <c r="F776" t="s">
        <v>27</v>
      </c>
      <c r="G776" t="s">
        <v>16</v>
      </c>
      <c r="H776" t="s">
        <v>21</v>
      </c>
      <c r="I776" s="3">
        <v>15072</v>
      </c>
      <c r="J776" s="3" t="str">
        <f t="shared" si="12"/>
        <v>High</v>
      </c>
      <c r="K776" t="b">
        <v>0</v>
      </c>
      <c r="L776" t="b">
        <v>1</v>
      </c>
      <c r="M776" t="b">
        <v>0</v>
      </c>
    </row>
    <row r="777" spans="1:13" x14ac:dyDescent="0.3">
      <c r="A777">
        <v>22</v>
      </c>
      <c r="B777" t="s">
        <v>18</v>
      </c>
      <c r="C777" s="1">
        <v>3</v>
      </c>
      <c r="D777" t="s">
        <v>19</v>
      </c>
      <c r="E777" t="s">
        <v>20</v>
      </c>
      <c r="F777" t="s">
        <v>15</v>
      </c>
      <c r="G777" t="s">
        <v>16</v>
      </c>
      <c r="H777" t="s">
        <v>17</v>
      </c>
      <c r="I777" s="3">
        <v>19631</v>
      </c>
      <c r="J777" s="3" t="str">
        <f t="shared" si="12"/>
        <v>High</v>
      </c>
      <c r="K777" t="b">
        <v>0</v>
      </c>
      <c r="L777" t="b">
        <v>1</v>
      </c>
      <c r="M777" t="b">
        <v>1</v>
      </c>
    </row>
    <row r="778" spans="1:13" x14ac:dyDescent="0.3">
      <c r="A778">
        <v>47</v>
      </c>
      <c r="B778" t="s">
        <v>18</v>
      </c>
      <c r="C778" s="1">
        <v>3</v>
      </c>
      <c r="D778" t="s">
        <v>28</v>
      </c>
      <c r="E778" t="s">
        <v>20</v>
      </c>
      <c r="F778" t="s">
        <v>15</v>
      </c>
      <c r="G778" t="s">
        <v>16</v>
      </c>
      <c r="H778" t="s">
        <v>24</v>
      </c>
      <c r="I778" s="3">
        <v>15463</v>
      </c>
      <c r="J778" s="3" t="str">
        <f t="shared" si="12"/>
        <v>High</v>
      </c>
      <c r="K778" t="b">
        <v>0</v>
      </c>
      <c r="L778" t="b">
        <v>1</v>
      </c>
      <c r="M778" t="b">
        <v>0</v>
      </c>
    </row>
    <row r="779" spans="1:13" x14ac:dyDescent="0.3">
      <c r="A779">
        <v>47</v>
      </c>
      <c r="B779" t="s">
        <v>18</v>
      </c>
      <c r="C779" s="1">
        <v>9</v>
      </c>
      <c r="D779" t="s">
        <v>19</v>
      </c>
      <c r="E779" t="s">
        <v>26</v>
      </c>
      <c r="F779" t="s">
        <v>15</v>
      </c>
      <c r="G779" t="s">
        <v>23</v>
      </c>
      <c r="H779" t="s">
        <v>21</v>
      </c>
      <c r="I779" s="3">
        <v>17450</v>
      </c>
      <c r="J779" s="3" t="str">
        <f t="shared" si="12"/>
        <v>High</v>
      </c>
      <c r="K779" t="b">
        <v>1</v>
      </c>
      <c r="L779" t="b">
        <v>0</v>
      </c>
      <c r="M779" t="b">
        <v>1</v>
      </c>
    </row>
    <row r="780" spans="1:13" x14ac:dyDescent="0.3">
      <c r="A780">
        <v>34</v>
      </c>
      <c r="B780" t="s">
        <v>18</v>
      </c>
      <c r="C780" s="1">
        <v>5</v>
      </c>
      <c r="D780" t="s">
        <v>13</v>
      </c>
      <c r="E780" t="s">
        <v>14</v>
      </c>
      <c r="F780" t="s">
        <v>15</v>
      </c>
      <c r="G780" t="s">
        <v>29</v>
      </c>
      <c r="H780" t="s">
        <v>21</v>
      </c>
      <c r="I780" s="3">
        <v>18420</v>
      </c>
      <c r="J780" s="3" t="str">
        <f t="shared" si="12"/>
        <v>High</v>
      </c>
      <c r="K780" t="b">
        <v>1</v>
      </c>
      <c r="L780" t="b">
        <v>0</v>
      </c>
      <c r="M780" t="b">
        <v>1</v>
      </c>
    </row>
    <row r="781" spans="1:13" x14ac:dyDescent="0.3">
      <c r="A781">
        <v>64</v>
      </c>
      <c r="B781" t="s">
        <v>12</v>
      </c>
      <c r="C781" s="1">
        <v>9</v>
      </c>
      <c r="D781" t="s">
        <v>19</v>
      </c>
      <c r="E781" t="s">
        <v>20</v>
      </c>
      <c r="F781" t="s">
        <v>27</v>
      </c>
      <c r="G781" t="s">
        <v>29</v>
      </c>
      <c r="H781" t="s">
        <v>21</v>
      </c>
      <c r="I781" s="3">
        <v>13959</v>
      </c>
      <c r="J781" s="3" t="str">
        <f t="shared" si="12"/>
        <v>Medium</v>
      </c>
      <c r="K781" t="b">
        <v>1</v>
      </c>
      <c r="L781" t="b">
        <v>0</v>
      </c>
      <c r="M781" t="b">
        <v>0</v>
      </c>
    </row>
    <row r="782" spans="1:13" x14ac:dyDescent="0.3">
      <c r="A782">
        <v>40</v>
      </c>
      <c r="B782" t="s">
        <v>12</v>
      </c>
      <c r="C782" s="1">
        <v>9</v>
      </c>
      <c r="D782" t="s">
        <v>13</v>
      </c>
      <c r="E782" t="s">
        <v>14</v>
      </c>
      <c r="F782" t="s">
        <v>27</v>
      </c>
      <c r="G782" t="s">
        <v>29</v>
      </c>
      <c r="H782" t="s">
        <v>24</v>
      </c>
      <c r="I782" s="3">
        <v>11313</v>
      </c>
      <c r="J782" s="3" t="str">
        <f t="shared" si="12"/>
        <v>Low</v>
      </c>
      <c r="K782" t="b">
        <v>0</v>
      </c>
      <c r="L782" t="b">
        <v>1</v>
      </c>
      <c r="M782" t="b">
        <v>0</v>
      </c>
    </row>
    <row r="783" spans="1:13" x14ac:dyDescent="0.3">
      <c r="A783">
        <v>32</v>
      </c>
      <c r="B783" t="s">
        <v>25</v>
      </c>
      <c r="C783" s="1">
        <v>1</v>
      </c>
      <c r="D783" t="s">
        <v>19</v>
      </c>
      <c r="E783" t="s">
        <v>20</v>
      </c>
      <c r="F783" t="s">
        <v>15</v>
      </c>
      <c r="G783" t="s">
        <v>16</v>
      </c>
      <c r="H783" t="s">
        <v>17</v>
      </c>
      <c r="I783" s="3">
        <v>17847</v>
      </c>
      <c r="J783" s="3" t="str">
        <f t="shared" si="12"/>
        <v>High</v>
      </c>
      <c r="K783" t="b">
        <v>1</v>
      </c>
      <c r="L783" t="b">
        <v>0</v>
      </c>
      <c r="M783" t="b">
        <v>1</v>
      </c>
    </row>
    <row r="784" spans="1:13" x14ac:dyDescent="0.3">
      <c r="A784">
        <v>54</v>
      </c>
      <c r="B784" t="s">
        <v>12</v>
      </c>
      <c r="C784" s="1">
        <v>2</v>
      </c>
      <c r="D784" t="s">
        <v>28</v>
      </c>
      <c r="E784" t="s">
        <v>26</v>
      </c>
      <c r="F784" t="s">
        <v>15</v>
      </c>
      <c r="G784" t="s">
        <v>23</v>
      </c>
      <c r="H784" t="s">
        <v>24</v>
      </c>
      <c r="I784" s="3">
        <v>11070</v>
      </c>
      <c r="J784" s="3" t="str">
        <f t="shared" si="12"/>
        <v>Low</v>
      </c>
      <c r="K784" t="b">
        <v>0</v>
      </c>
      <c r="L784" t="b">
        <v>1</v>
      </c>
      <c r="M784" t="b">
        <v>0</v>
      </c>
    </row>
    <row r="785" spans="1:13" x14ac:dyDescent="0.3">
      <c r="A785">
        <v>38</v>
      </c>
      <c r="B785" t="s">
        <v>12</v>
      </c>
      <c r="C785" s="1">
        <v>5</v>
      </c>
      <c r="D785" t="s">
        <v>13</v>
      </c>
      <c r="E785" t="s">
        <v>26</v>
      </c>
      <c r="F785" t="s">
        <v>27</v>
      </c>
      <c r="G785" t="s">
        <v>16</v>
      </c>
      <c r="H785" t="s">
        <v>24</v>
      </c>
      <c r="I785" s="3">
        <v>19166</v>
      </c>
      <c r="J785" s="3" t="str">
        <f t="shared" si="12"/>
        <v>High</v>
      </c>
      <c r="K785" t="b">
        <v>1</v>
      </c>
      <c r="L785" t="b">
        <v>0</v>
      </c>
      <c r="M785" t="b">
        <v>1</v>
      </c>
    </row>
    <row r="786" spans="1:13" x14ac:dyDescent="0.3">
      <c r="A786">
        <v>31</v>
      </c>
      <c r="B786" t="s">
        <v>25</v>
      </c>
      <c r="C786" s="1">
        <v>4</v>
      </c>
      <c r="D786" t="s">
        <v>28</v>
      </c>
      <c r="E786" t="s">
        <v>14</v>
      </c>
      <c r="F786" t="s">
        <v>27</v>
      </c>
      <c r="G786" t="s">
        <v>29</v>
      </c>
      <c r="H786" t="s">
        <v>21</v>
      </c>
      <c r="I786" s="3">
        <v>19930</v>
      </c>
      <c r="J786" s="3" t="str">
        <f t="shared" si="12"/>
        <v>High</v>
      </c>
      <c r="K786" t="b">
        <v>1</v>
      </c>
      <c r="L786" t="b">
        <v>1</v>
      </c>
      <c r="M786" t="b">
        <v>0</v>
      </c>
    </row>
    <row r="787" spans="1:13" x14ac:dyDescent="0.3">
      <c r="A787">
        <v>19</v>
      </c>
      <c r="B787" t="s">
        <v>25</v>
      </c>
      <c r="C787" s="1">
        <v>9</v>
      </c>
      <c r="D787" t="s">
        <v>28</v>
      </c>
      <c r="E787" t="s">
        <v>26</v>
      </c>
      <c r="F787" t="s">
        <v>27</v>
      </c>
      <c r="G787" t="s">
        <v>23</v>
      </c>
      <c r="H787" t="s">
        <v>17</v>
      </c>
      <c r="I787" s="3">
        <v>13285</v>
      </c>
      <c r="J787" s="3" t="str">
        <f t="shared" si="12"/>
        <v>Medium</v>
      </c>
      <c r="K787" t="b">
        <v>1</v>
      </c>
      <c r="L787" t="b">
        <v>0</v>
      </c>
      <c r="M787" t="b">
        <v>0</v>
      </c>
    </row>
    <row r="788" spans="1:13" x14ac:dyDescent="0.3">
      <c r="A788">
        <v>28</v>
      </c>
      <c r="B788" t="s">
        <v>25</v>
      </c>
      <c r="C788" s="1">
        <v>7</v>
      </c>
      <c r="D788" t="s">
        <v>13</v>
      </c>
      <c r="E788" t="s">
        <v>26</v>
      </c>
      <c r="F788" t="s">
        <v>15</v>
      </c>
      <c r="G788" t="s">
        <v>23</v>
      </c>
      <c r="H788" t="s">
        <v>24</v>
      </c>
      <c r="I788" s="3">
        <v>18949</v>
      </c>
      <c r="J788" s="3" t="str">
        <f t="shared" si="12"/>
        <v>High</v>
      </c>
      <c r="K788" t="b">
        <v>0</v>
      </c>
      <c r="L788" t="b">
        <v>0</v>
      </c>
      <c r="M788" t="b">
        <v>1</v>
      </c>
    </row>
    <row r="789" spans="1:13" x14ac:dyDescent="0.3">
      <c r="A789">
        <v>56</v>
      </c>
      <c r="B789" t="s">
        <v>12</v>
      </c>
      <c r="C789" s="1">
        <v>6</v>
      </c>
      <c r="D789" t="s">
        <v>13</v>
      </c>
      <c r="E789" t="s">
        <v>14</v>
      </c>
      <c r="F789" t="s">
        <v>15</v>
      </c>
      <c r="G789" t="s">
        <v>23</v>
      </c>
      <c r="H789" t="s">
        <v>21</v>
      </c>
      <c r="I789" s="3">
        <v>13095</v>
      </c>
      <c r="J789" s="3" t="str">
        <f t="shared" si="12"/>
        <v>Medium</v>
      </c>
      <c r="K789" t="b">
        <v>1</v>
      </c>
      <c r="L789" t="b">
        <v>1</v>
      </c>
      <c r="M789" t="b">
        <v>1</v>
      </c>
    </row>
    <row r="790" spans="1:13" x14ac:dyDescent="0.3">
      <c r="A790">
        <v>55</v>
      </c>
      <c r="B790" t="s">
        <v>12</v>
      </c>
      <c r="C790" s="1">
        <v>7</v>
      </c>
      <c r="D790" t="s">
        <v>28</v>
      </c>
      <c r="E790" t="s">
        <v>20</v>
      </c>
      <c r="F790" t="s">
        <v>22</v>
      </c>
      <c r="G790" t="s">
        <v>29</v>
      </c>
      <c r="H790" t="s">
        <v>24</v>
      </c>
      <c r="I790" s="3">
        <v>10320</v>
      </c>
      <c r="J790" s="3" t="str">
        <f t="shared" si="12"/>
        <v>Low</v>
      </c>
      <c r="K790" t="b">
        <v>0</v>
      </c>
      <c r="L790" t="b">
        <v>0</v>
      </c>
      <c r="M790" t="b">
        <v>0</v>
      </c>
    </row>
    <row r="791" spans="1:13" x14ac:dyDescent="0.3">
      <c r="A791">
        <v>51</v>
      </c>
      <c r="B791" t="s">
        <v>25</v>
      </c>
      <c r="C791" s="1">
        <v>1</v>
      </c>
      <c r="D791" t="s">
        <v>28</v>
      </c>
      <c r="E791" t="s">
        <v>26</v>
      </c>
      <c r="F791" t="s">
        <v>27</v>
      </c>
      <c r="G791" t="s">
        <v>23</v>
      </c>
      <c r="H791" t="s">
        <v>24</v>
      </c>
      <c r="I791" s="3">
        <v>12321</v>
      </c>
      <c r="J791" s="3" t="str">
        <f t="shared" si="12"/>
        <v>Medium</v>
      </c>
      <c r="K791" t="b">
        <v>1</v>
      </c>
      <c r="L791" t="b">
        <v>0</v>
      </c>
      <c r="M791" t="b">
        <v>0</v>
      </c>
    </row>
    <row r="792" spans="1:13" x14ac:dyDescent="0.3">
      <c r="A792">
        <v>55</v>
      </c>
      <c r="B792" t="s">
        <v>18</v>
      </c>
      <c r="C792" s="1">
        <v>1</v>
      </c>
      <c r="D792" t="s">
        <v>28</v>
      </c>
      <c r="E792" t="s">
        <v>14</v>
      </c>
      <c r="F792" t="s">
        <v>15</v>
      </c>
      <c r="G792" t="s">
        <v>23</v>
      </c>
      <c r="H792" t="s">
        <v>21</v>
      </c>
      <c r="I792" s="3">
        <v>10555</v>
      </c>
      <c r="J792" s="3" t="str">
        <f t="shared" si="12"/>
        <v>Low</v>
      </c>
      <c r="K792" t="b">
        <v>1</v>
      </c>
      <c r="L792" t="b">
        <v>1</v>
      </c>
      <c r="M792" t="b">
        <v>0</v>
      </c>
    </row>
    <row r="793" spans="1:13" x14ac:dyDescent="0.3">
      <c r="A793">
        <v>51</v>
      </c>
      <c r="B793" t="s">
        <v>25</v>
      </c>
      <c r="C793" s="1">
        <v>8</v>
      </c>
      <c r="D793" t="s">
        <v>28</v>
      </c>
      <c r="E793" t="s">
        <v>26</v>
      </c>
      <c r="F793" t="s">
        <v>27</v>
      </c>
      <c r="G793" t="s">
        <v>16</v>
      </c>
      <c r="H793" t="s">
        <v>21</v>
      </c>
      <c r="I793" s="3">
        <v>14939</v>
      </c>
      <c r="J793" s="3" t="str">
        <f t="shared" si="12"/>
        <v>Medium</v>
      </c>
      <c r="K793" t="b">
        <v>0</v>
      </c>
      <c r="L793" t="b">
        <v>1</v>
      </c>
      <c r="M793" t="b">
        <v>0</v>
      </c>
    </row>
    <row r="794" spans="1:13" x14ac:dyDescent="0.3">
      <c r="A794">
        <v>35</v>
      </c>
      <c r="B794" t="s">
        <v>18</v>
      </c>
      <c r="C794" s="1">
        <v>2</v>
      </c>
      <c r="D794" t="s">
        <v>13</v>
      </c>
      <c r="E794" t="s">
        <v>26</v>
      </c>
      <c r="F794" t="s">
        <v>15</v>
      </c>
      <c r="G794" t="s">
        <v>16</v>
      </c>
      <c r="H794" t="s">
        <v>17</v>
      </c>
      <c r="I794" s="3">
        <v>15432</v>
      </c>
      <c r="J794" s="3" t="str">
        <f t="shared" si="12"/>
        <v>High</v>
      </c>
      <c r="K794" t="b">
        <v>1</v>
      </c>
      <c r="L794" t="b">
        <v>1</v>
      </c>
      <c r="M794" t="b">
        <v>0</v>
      </c>
    </row>
    <row r="795" spans="1:13" x14ac:dyDescent="0.3">
      <c r="A795">
        <v>47</v>
      </c>
      <c r="B795" t="s">
        <v>18</v>
      </c>
      <c r="C795" s="1">
        <v>9</v>
      </c>
      <c r="D795" t="s">
        <v>13</v>
      </c>
      <c r="E795" t="s">
        <v>26</v>
      </c>
      <c r="F795" t="s">
        <v>27</v>
      </c>
      <c r="G795" t="s">
        <v>23</v>
      </c>
      <c r="H795" t="s">
        <v>24</v>
      </c>
      <c r="I795" s="3">
        <v>11386</v>
      </c>
      <c r="J795" s="3" t="str">
        <f t="shared" si="12"/>
        <v>Low</v>
      </c>
      <c r="K795" t="b">
        <v>1</v>
      </c>
      <c r="L795" t="b">
        <v>1</v>
      </c>
      <c r="M795" t="b">
        <v>1</v>
      </c>
    </row>
    <row r="796" spans="1:13" x14ac:dyDescent="0.3">
      <c r="A796">
        <v>32</v>
      </c>
      <c r="B796" t="s">
        <v>25</v>
      </c>
      <c r="C796" s="1">
        <v>7</v>
      </c>
      <c r="D796" t="s">
        <v>28</v>
      </c>
      <c r="E796" t="s">
        <v>26</v>
      </c>
      <c r="F796" t="s">
        <v>15</v>
      </c>
      <c r="G796" t="s">
        <v>23</v>
      </c>
      <c r="H796" t="s">
        <v>21</v>
      </c>
      <c r="I796" s="3">
        <v>14763</v>
      </c>
      <c r="J796" s="3" t="str">
        <f t="shared" si="12"/>
        <v>Medium</v>
      </c>
      <c r="K796" t="b">
        <v>1</v>
      </c>
      <c r="L796" t="b">
        <v>1</v>
      </c>
      <c r="M796" t="b">
        <v>0</v>
      </c>
    </row>
    <row r="797" spans="1:13" x14ac:dyDescent="0.3">
      <c r="A797">
        <v>44</v>
      </c>
      <c r="B797" t="s">
        <v>25</v>
      </c>
      <c r="C797" s="1">
        <v>6</v>
      </c>
      <c r="D797" t="s">
        <v>19</v>
      </c>
      <c r="E797" t="s">
        <v>14</v>
      </c>
      <c r="F797" t="s">
        <v>22</v>
      </c>
      <c r="G797" t="s">
        <v>16</v>
      </c>
      <c r="H797" t="s">
        <v>21</v>
      </c>
      <c r="I797" s="3">
        <v>16854</v>
      </c>
      <c r="J797" s="3" t="str">
        <f t="shared" si="12"/>
        <v>High</v>
      </c>
      <c r="K797" t="b">
        <v>1</v>
      </c>
      <c r="L797" t="b">
        <v>0</v>
      </c>
      <c r="M797" t="b">
        <v>0</v>
      </c>
    </row>
    <row r="798" spans="1:13" x14ac:dyDescent="0.3">
      <c r="A798">
        <v>51</v>
      </c>
      <c r="B798" t="s">
        <v>25</v>
      </c>
      <c r="C798" s="1">
        <v>1</v>
      </c>
      <c r="D798" t="s">
        <v>19</v>
      </c>
      <c r="E798" t="s">
        <v>14</v>
      </c>
      <c r="F798" t="s">
        <v>22</v>
      </c>
      <c r="G798" t="s">
        <v>16</v>
      </c>
      <c r="H798" t="s">
        <v>17</v>
      </c>
      <c r="I798" s="3">
        <v>17637</v>
      </c>
      <c r="J798" s="3" t="str">
        <f t="shared" si="12"/>
        <v>High</v>
      </c>
      <c r="K798" t="b">
        <v>0</v>
      </c>
      <c r="L798" t="b">
        <v>1</v>
      </c>
      <c r="M798" t="b">
        <v>1</v>
      </c>
    </row>
    <row r="799" spans="1:13" x14ac:dyDescent="0.3">
      <c r="A799">
        <v>55</v>
      </c>
      <c r="B799" t="s">
        <v>12</v>
      </c>
      <c r="C799" s="1">
        <v>1</v>
      </c>
      <c r="D799" t="s">
        <v>13</v>
      </c>
      <c r="E799" t="s">
        <v>14</v>
      </c>
      <c r="F799" t="s">
        <v>27</v>
      </c>
      <c r="G799" t="s">
        <v>16</v>
      </c>
      <c r="H799" t="s">
        <v>17</v>
      </c>
      <c r="I799" s="3">
        <v>14841</v>
      </c>
      <c r="J799" s="3" t="str">
        <f t="shared" si="12"/>
        <v>Medium</v>
      </c>
      <c r="K799" t="b">
        <v>0</v>
      </c>
      <c r="L799" t="b">
        <v>0</v>
      </c>
      <c r="M799" t="b">
        <v>1</v>
      </c>
    </row>
    <row r="800" spans="1:13" x14ac:dyDescent="0.3">
      <c r="A800">
        <v>50</v>
      </c>
      <c r="B800" t="s">
        <v>18</v>
      </c>
      <c r="C800" s="1">
        <v>2</v>
      </c>
      <c r="D800" t="s">
        <v>28</v>
      </c>
      <c r="E800" t="s">
        <v>26</v>
      </c>
      <c r="F800" t="s">
        <v>15</v>
      </c>
      <c r="G800" t="s">
        <v>29</v>
      </c>
      <c r="H800" t="s">
        <v>21</v>
      </c>
      <c r="I800" s="3">
        <v>13867</v>
      </c>
      <c r="J800" s="3" t="str">
        <f t="shared" si="12"/>
        <v>Medium</v>
      </c>
      <c r="K800" t="b">
        <v>1</v>
      </c>
      <c r="L800" t="b">
        <v>0</v>
      </c>
      <c r="M800" t="b">
        <v>1</v>
      </c>
    </row>
    <row r="801" spans="1:13" x14ac:dyDescent="0.3">
      <c r="A801">
        <v>41</v>
      </c>
      <c r="B801" t="s">
        <v>12</v>
      </c>
      <c r="C801" s="1">
        <v>6</v>
      </c>
      <c r="D801" t="s">
        <v>28</v>
      </c>
      <c r="E801" t="s">
        <v>26</v>
      </c>
      <c r="F801" t="s">
        <v>15</v>
      </c>
      <c r="G801" t="s">
        <v>29</v>
      </c>
      <c r="H801" t="s">
        <v>17</v>
      </c>
      <c r="I801" s="3">
        <v>13793</v>
      </c>
      <c r="J801" s="3" t="str">
        <f t="shared" si="12"/>
        <v>Medium</v>
      </c>
      <c r="K801" t="b">
        <v>1</v>
      </c>
      <c r="L801" t="b">
        <v>1</v>
      </c>
      <c r="M801" t="b">
        <v>0</v>
      </c>
    </row>
    <row r="802" spans="1:13" x14ac:dyDescent="0.3">
      <c r="A802">
        <v>32</v>
      </c>
      <c r="B802" t="s">
        <v>12</v>
      </c>
      <c r="C802" s="1">
        <v>6</v>
      </c>
      <c r="D802" t="s">
        <v>13</v>
      </c>
      <c r="E802" t="s">
        <v>26</v>
      </c>
      <c r="F802" t="s">
        <v>27</v>
      </c>
      <c r="G802" t="s">
        <v>16</v>
      </c>
      <c r="H802" t="s">
        <v>21</v>
      </c>
      <c r="I802" s="3">
        <v>17373</v>
      </c>
      <c r="J802" s="3" t="str">
        <f t="shared" si="12"/>
        <v>High</v>
      </c>
      <c r="K802" t="b">
        <v>0</v>
      </c>
      <c r="L802" t="b">
        <v>0</v>
      </c>
      <c r="M802" t="b">
        <v>1</v>
      </c>
    </row>
    <row r="803" spans="1:13" x14ac:dyDescent="0.3">
      <c r="A803">
        <v>47</v>
      </c>
      <c r="B803" t="s">
        <v>25</v>
      </c>
      <c r="C803" s="1">
        <v>2</v>
      </c>
      <c r="D803" t="s">
        <v>19</v>
      </c>
      <c r="E803" t="s">
        <v>14</v>
      </c>
      <c r="F803" t="s">
        <v>15</v>
      </c>
      <c r="G803" t="s">
        <v>23</v>
      </c>
      <c r="H803" t="s">
        <v>24</v>
      </c>
      <c r="I803" s="3">
        <v>12513</v>
      </c>
      <c r="J803" s="3" t="str">
        <f t="shared" si="12"/>
        <v>Medium</v>
      </c>
      <c r="K803" t="b">
        <v>1</v>
      </c>
      <c r="L803" t="b">
        <v>0</v>
      </c>
      <c r="M803" t="b">
        <v>1</v>
      </c>
    </row>
    <row r="804" spans="1:13" x14ac:dyDescent="0.3">
      <c r="A804">
        <v>59</v>
      </c>
      <c r="B804" t="s">
        <v>12</v>
      </c>
      <c r="C804" s="1">
        <v>1</v>
      </c>
      <c r="D804" t="s">
        <v>19</v>
      </c>
      <c r="E804" t="s">
        <v>26</v>
      </c>
      <c r="F804" t="s">
        <v>27</v>
      </c>
      <c r="G804" t="s">
        <v>16</v>
      </c>
      <c r="H804" t="s">
        <v>17</v>
      </c>
      <c r="I804" s="3">
        <v>13803</v>
      </c>
      <c r="J804" s="3" t="str">
        <f t="shared" si="12"/>
        <v>Medium</v>
      </c>
      <c r="K804" t="b">
        <v>0</v>
      </c>
      <c r="L804" t="b">
        <v>1</v>
      </c>
      <c r="M804" t="b">
        <v>1</v>
      </c>
    </row>
    <row r="805" spans="1:13" x14ac:dyDescent="0.3">
      <c r="A805">
        <v>34</v>
      </c>
      <c r="B805" t="s">
        <v>25</v>
      </c>
      <c r="C805" s="1">
        <v>5</v>
      </c>
      <c r="D805" t="s">
        <v>19</v>
      </c>
      <c r="E805" t="s">
        <v>20</v>
      </c>
      <c r="F805" t="s">
        <v>15</v>
      </c>
      <c r="G805" t="s">
        <v>29</v>
      </c>
      <c r="H805" t="s">
        <v>24</v>
      </c>
      <c r="I805" s="3">
        <v>12327</v>
      </c>
      <c r="J805" s="3" t="str">
        <f t="shared" si="12"/>
        <v>Medium</v>
      </c>
      <c r="K805" t="b">
        <v>1</v>
      </c>
      <c r="L805" t="b">
        <v>0</v>
      </c>
      <c r="M805" t="b">
        <v>1</v>
      </c>
    </row>
    <row r="806" spans="1:13" x14ac:dyDescent="0.3">
      <c r="A806">
        <v>22</v>
      </c>
      <c r="B806" t="s">
        <v>18</v>
      </c>
      <c r="C806" s="1">
        <v>5</v>
      </c>
      <c r="D806" t="s">
        <v>13</v>
      </c>
      <c r="E806" t="s">
        <v>26</v>
      </c>
      <c r="F806" t="s">
        <v>27</v>
      </c>
      <c r="G806" t="s">
        <v>23</v>
      </c>
      <c r="H806" t="s">
        <v>24</v>
      </c>
      <c r="I806" s="3">
        <v>18809</v>
      </c>
      <c r="J806" s="3" t="str">
        <f t="shared" si="12"/>
        <v>High</v>
      </c>
      <c r="K806" t="b">
        <v>0</v>
      </c>
      <c r="L806" t="b">
        <v>1</v>
      </c>
      <c r="M806" t="b">
        <v>0</v>
      </c>
    </row>
    <row r="807" spans="1:13" x14ac:dyDescent="0.3">
      <c r="A807">
        <v>46</v>
      </c>
      <c r="B807" t="s">
        <v>25</v>
      </c>
      <c r="C807" s="1">
        <v>2</v>
      </c>
      <c r="D807" t="s">
        <v>19</v>
      </c>
      <c r="E807" t="s">
        <v>20</v>
      </c>
      <c r="F807" t="s">
        <v>15</v>
      </c>
      <c r="G807" t="s">
        <v>29</v>
      </c>
      <c r="H807" t="s">
        <v>24</v>
      </c>
      <c r="I807" s="3">
        <v>12165</v>
      </c>
      <c r="J807" s="3" t="str">
        <f t="shared" si="12"/>
        <v>Medium</v>
      </c>
      <c r="K807" t="b">
        <v>0</v>
      </c>
      <c r="L807" t="b">
        <v>1</v>
      </c>
      <c r="M807" t="b">
        <v>0</v>
      </c>
    </row>
    <row r="808" spans="1:13" x14ac:dyDescent="0.3">
      <c r="A808">
        <v>21</v>
      </c>
      <c r="B808" t="s">
        <v>12</v>
      </c>
      <c r="C808" s="1">
        <v>6</v>
      </c>
      <c r="D808" t="s">
        <v>13</v>
      </c>
      <c r="E808" t="s">
        <v>26</v>
      </c>
      <c r="F808" t="s">
        <v>27</v>
      </c>
      <c r="G808" t="s">
        <v>23</v>
      </c>
      <c r="H808" t="s">
        <v>21</v>
      </c>
      <c r="I808" s="3">
        <v>13308</v>
      </c>
      <c r="J808" s="3" t="str">
        <f t="shared" si="12"/>
        <v>Medium</v>
      </c>
      <c r="K808" t="b">
        <v>0</v>
      </c>
      <c r="L808" t="b">
        <v>1</v>
      </c>
      <c r="M808" t="b">
        <v>0</v>
      </c>
    </row>
    <row r="809" spans="1:13" x14ac:dyDescent="0.3">
      <c r="A809">
        <v>27</v>
      </c>
      <c r="B809" t="s">
        <v>12</v>
      </c>
      <c r="C809" s="1">
        <v>9</v>
      </c>
      <c r="D809" t="s">
        <v>13</v>
      </c>
      <c r="E809" t="s">
        <v>14</v>
      </c>
      <c r="F809" t="s">
        <v>15</v>
      </c>
      <c r="G809" t="s">
        <v>29</v>
      </c>
      <c r="H809" t="s">
        <v>24</v>
      </c>
      <c r="I809" s="3">
        <v>16452</v>
      </c>
      <c r="J809" s="3" t="str">
        <f t="shared" si="12"/>
        <v>High</v>
      </c>
      <c r="K809" t="b">
        <v>0</v>
      </c>
      <c r="L809" t="b">
        <v>0</v>
      </c>
      <c r="M809" t="b">
        <v>1</v>
      </c>
    </row>
    <row r="810" spans="1:13" x14ac:dyDescent="0.3">
      <c r="A810">
        <v>34</v>
      </c>
      <c r="B810" t="s">
        <v>25</v>
      </c>
      <c r="C810" s="1">
        <v>2</v>
      </c>
      <c r="D810" t="s">
        <v>28</v>
      </c>
      <c r="E810" t="s">
        <v>26</v>
      </c>
      <c r="F810" t="s">
        <v>22</v>
      </c>
      <c r="G810" t="s">
        <v>23</v>
      </c>
      <c r="H810" t="s">
        <v>24</v>
      </c>
      <c r="I810" s="3">
        <v>18067</v>
      </c>
      <c r="J810" s="3" t="str">
        <f t="shared" si="12"/>
        <v>High</v>
      </c>
      <c r="K810" t="b">
        <v>1</v>
      </c>
      <c r="L810" t="b">
        <v>0</v>
      </c>
      <c r="M810" t="b">
        <v>1</v>
      </c>
    </row>
    <row r="811" spans="1:13" x14ac:dyDescent="0.3">
      <c r="A811">
        <v>27</v>
      </c>
      <c r="B811" t="s">
        <v>25</v>
      </c>
      <c r="C811" s="1">
        <v>2</v>
      </c>
      <c r="D811" t="s">
        <v>19</v>
      </c>
      <c r="E811" t="s">
        <v>20</v>
      </c>
      <c r="F811" t="s">
        <v>15</v>
      </c>
      <c r="G811" t="s">
        <v>23</v>
      </c>
      <c r="H811" t="s">
        <v>24</v>
      </c>
      <c r="I811" s="3">
        <v>17642</v>
      </c>
      <c r="J811" s="3" t="str">
        <f t="shared" si="12"/>
        <v>High</v>
      </c>
      <c r="K811" t="b">
        <v>1</v>
      </c>
      <c r="L811" t="b">
        <v>0</v>
      </c>
      <c r="M811" t="b">
        <v>1</v>
      </c>
    </row>
    <row r="812" spans="1:13" x14ac:dyDescent="0.3">
      <c r="A812">
        <v>34</v>
      </c>
      <c r="B812" t="s">
        <v>12</v>
      </c>
      <c r="C812" s="1">
        <v>3</v>
      </c>
      <c r="D812" t="s">
        <v>13</v>
      </c>
      <c r="E812" t="s">
        <v>20</v>
      </c>
      <c r="F812" t="s">
        <v>27</v>
      </c>
      <c r="G812" t="s">
        <v>23</v>
      </c>
      <c r="H812" t="s">
        <v>21</v>
      </c>
      <c r="I812" s="3">
        <v>16404</v>
      </c>
      <c r="J812" s="3" t="str">
        <f t="shared" si="12"/>
        <v>High</v>
      </c>
      <c r="K812" t="b">
        <v>0</v>
      </c>
      <c r="L812" t="b">
        <v>0</v>
      </c>
      <c r="M812" t="b">
        <v>1</v>
      </c>
    </row>
    <row r="813" spans="1:13" x14ac:dyDescent="0.3">
      <c r="A813">
        <v>37</v>
      </c>
      <c r="B813" t="s">
        <v>18</v>
      </c>
      <c r="C813" s="1">
        <v>7</v>
      </c>
      <c r="D813" t="s">
        <v>19</v>
      </c>
      <c r="E813" t="s">
        <v>26</v>
      </c>
      <c r="F813" t="s">
        <v>22</v>
      </c>
      <c r="G813" t="s">
        <v>23</v>
      </c>
      <c r="H813" t="s">
        <v>24</v>
      </c>
      <c r="I813" s="3">
        <v>10992</v>
      </c>
      <c r="J813" s="3" t="str">
        <f t="shared" si="12"/>
        <v>Low</v>
      </c>
      <c r="K813" t="b">
        <v>0</v>
      </c>
      <c r="L813" t="b">
        <v>1</v>
      </c>
      <c r="M813" t="b">
        <v>1</v>
      </c>
    </row>
    <row r="814" spans="1:13" x14ac:dyDescent="0.3">
      <c r="A814">
        <v>41</v>
      </c>
      <c r="B814" t="s">
        <v>18</v>
      </c>
      <c r="C814" s="1">
        <v>6</v>
      </c>
      <c r="D814" t="s">
        <v>19</v>
      </c>
      <c r="E814" t="s">
        <v>20</v>
      </c>
      <c r="F814" t="s">
        <v>15</v>
      </c>
      <c r="G814" t="s">
        <v>29</v>
      </c>
      <c r="H814" t="s">
        <v>24</v>
      </c>
      <c r="I814" s="3">
        <v>15424</v>
      </c>
      <c r="J814" s="3" t="str">
        <f t="shared" si="12"/>
        <v>High</v>
      </c>
      <c r="K814" t="b">
        <v>0</v>
      </c>
      <c r="L814" t="b">
        <v>0</v>
      </c>
      <c r="M814" t="b">
        <v>1</v>
      </c>
    </row>
    <row r="815" spans="1:13" x14ac:dyDescent="0.3">
      <c r="A815">
        <v>22</v>
      </c>
      <c r="B815" t="s">
        <v>25</v>
      </c>
      <c r="C815" s="1">
        <v>8</v>
      </c>
      <c r="D815" t="s">
        <v>28</v>
      </c>
      <c r="E815" t="s">
        <v>20</v>
      </c>
      <c r="F815" t="s">
        <v>22</v>
      </c>
      <c r="G815" t="s">
        <v>29</v>
      </c>
      <c r="H815" t="s">
        <v>17</v>
      </c>
      <c r="I815" s="3">
        <v>19569</v>
      </c>
      <c r="J815" s="3" t="str">
        <f t="shared" si="12"/>
        <v>High</v>
      </c>
      <c r="K815" t="b">
        <v>0</v>
      </c>
      <c r="L815" t="b">
        <v>1</v>
      </c>
      <c r="M815" t="b">
        <v>0</v>
      </c>
    </row>
    <row r="816" spans="1:13" x14ac:dyDescent="0.3">
      <c r="A816">
        <v>51</v>
      </c>
      <c r="B816" t="s">
        <v>18</v>
      </c>
      <c r="C816" s="1">
        <v>8</v>
      </c>
      <c r="D816" t="s">
        <v>19</v>
      </c>
      <c r="E816" t="s">
        <v>14</v>
      </c>
      <c r="F816" t="s">
        <v>15</v>
      </c>
      <c r="G816" t="s">
        <v>23</v>
      </c>
      <c r="H816" t="s">
        <v>21</v>
      </c>
      <c r="I816" s="3">
        <v>14381</v>
      </c>
      <c r="J816" s="3" t="str">
        <f t="shared" si="12"/>
        <v>Medium</v>
      </c>
      <c r="K816" t="b">
        <v>1</v>
      </c>
      <c r="L816" t="b">
        <v>0</v>
      </c>
      <c r="M816" t="b">
        <v>0</v>
      </c>
    </row>
    <row r="817" spans="1:13" x14ac:dyDescent="0.3">
      <c r="A817">
        <v>23</v>
      </c>
      <c r="B817" t="s">
        <v>12</v>
      </c>
      <c r="C817" s="1">
        <v>6</v>
      </c>
      <c r="D817" t="s">
        <v>28</v>
      </c>
      <c r="E817" t="s">
        <v>26</v>
      </c>
      <c r="F817" t="s">
        <v>22</v>
      </c>
      <c r="G817" t="s">
        <v>23</v>
      </c>
      <c r="H817" t="s">
        <v>24</v>
      </c>
      <c r="I817" s="3">
        <v>13174</v>
      </c>
      <c r="J817" s="3" t="str">
        <f t="shared" si="12"/>
        <v>Medium</v>
      </c>
      <c r="K817" t="b">
        <v>0</v>
      </c>
      <c r="L817" t="b">
        <v>0</v>
      </c>
      <c r="M817" t="b">
        <v>1</v>
      </c>
    </row>
    <row r="818" spans="1:13" x14ac:dyDescent="0.3">
      <c r="A818">
        <v>19</v>
      </c>
      <c r="B818" t="s">
        <v>25</v>
      </c>
      <c r="C818" s="1">
        <v>3</v>
      </c>
      <c r="D818" t="s">
        <v>13</v>
      </c>
      <c r="E818" t="s">
        <v>26</v>
      </c>
      <c r="F818" t="s">
        <v>27</v>
      </c>
      <c r="G818" t="s">
        <v>29</v>
      </c>
      <c r="H818" t="s">
        <v>17</v>
      </c>
      <c r="I818" s="3">
        <v>14782</v>
      </c>
      <c r="J818" s="3" t="str">
        <f t="shared" si="12"/>
        <v>Medium</v>
      </c>
      <c r="K818" t="b">
        <v>0</v>
      </c>
      <c r="L818" t="b">
        <v>0</v>
      </c>
      <c r="M818" t="b">
        <v>0</v>
      </c>
    </row>
    <row r="819" spans="1:13" x14ac:dyDescent="0.3">
      <c r="A819">
        <v>30</v>
      </c>
      <c r="B819" t="s">
        <v>12</v>
      </c>
      <c r="C819" s="1">
        <v>3</v>
      </c>
      <c r="D819" t="s">
        <v>19</v>
      </c>
      <c r="E819" t="s">
        <v>26</v>
      </c>
      <c r="F819" t="s">
        <v>15</v>
      </c>
      <c r="G819" t="s">
        <v>23</v>
      </c>
      <c r="H819" t="s">
        <v>21</v>
      </c>
      <c r="I819" s="3">
        <v>19497</v>
      </c>
      <c r="J819" s="3" t="str">
        <f t="shared" si="12"/>
        <v>High</v>
      </c>
      <c r="K819" t="b">
        <v>0</v>
      </c>
      <c r="L819" t="b">
        <v>0</v>
      </c>
      <c r="M819" t="b">
        <v>1</v>
      </c>
    </row>
    <row r="820" spans="1:13" x14ac:dyDescent="0.3">
      <c r="A820">
        <v>60</v>
      </c>
      <c r="B820" t="s">
        <v>12</v>
      </c>
      <c r="C820" s="1">
        <v>1</v>
      </c>
      <c r="D820" t="s">
        <v>13</v>
      </c>
      <c r="E820" t="s">
        <v>20</v>
      </c>
      <c r="F820" t="s">
        <v>15</v>
      </c>
      <c r="G820" t="s">
        <v>23</v>
      </c>
      <c r="H820" t="s">
        <v>21</v>
      </c>
      <c r="I820" s="3">
        <v>15560</v>
      </c>
      <c r="J820" s="3" t="str">
        <f t="shared" si="12"/>
        <v>High</v>
      </c>
      <c r="K820" t="b">
        <v>0</v>
      </c>
      <c r="L820" t="b">
        <v>0</v>
      </c>
      <c r="M820" t="b">
        <v>1</v>
      </c>
    </row>
    <row r="821" spans="1:13" x14ac:dyDescent="0.3">
      <c r="A821">
        <v>60</v>
      </c>
      <c r="B821" t="s">
        <v>18</v>
      </c>
      <c r="C821" s="1">
        <v>7</v>
      </c>
      <c r="D821" t="s">
        <v>19</v>
      </c>
      <c r="E821" t="s">
        <v>26</v>
      </c>
      <c r="F821" t="s">
        <v>27</v>
      </c>
      <c r="G821" t="s">
        <v>23</v>
      </c>
      <c r="H821" t="s">
        <v>21</v>
      </c>
      <c r="I821" s="3">
        <v>17460</v>
      </c>
      <c r="J821" s="3" t="str">
        <f t="shared" si="12"/>
        <v>High</v>
      </c>
      <c r="K821" t="b">
        <v>0</v>
      </c>
      <c r="L821" t="b">
        <v>1</v>
      </c>
      <c r="M821" t="b">
        <v>0</v>
      </c>
    </row>
    <row r="822" spans="1:13" x14ac:dyDescent="0.3">
      <c r="A822">
        <v>28</v>
      </c>
      <c r="B822" t="s">
        <v>25</v>
      </c>
      <c r="C822" s="1">
        <v>5</v>
      </c>
      <c r="D822" t="s">
        <v>13</v>
      </c>
      <c r="E822" t="s">
        <v>26</v>
      </c>
      <c r="F822" t="s">
        <v>22</v>
      </c>
      <c r="G822" t="s">
        <v>16</v>
      </c>
      <c r="H822" t="s">
        <v>21</v>
      </c>
      <c r="I822" s="3">
        <v>13078</v>
      </c>
      <c r="J822" s="3" t="str">
        <f t="shared" si="12"/>
        <v>Medium</v>
      </c>
      <c r="K822" t="b">
        <v>0</v>
      </c>
      <c r="L822" t="b">
        <v>0</v>
      </c>
      <c r="M822" t="b">
        <v>1</v>
      </c>
    </row>
    <row r="823" spans="1:13" x14ac:dyDescent="0.3">
      <c r="A823">
        <v>64</v>
      </c>
      <c r="B823" t="s">
        <v>25</v>
      </c>
      <c r="C823" s="1">
        <v>4</v>
      </c>
      <c r="D823" t="s">
        <v>19</v>
      </c>
      <c r="E823" t="s">
        <v>14</v>
      </c>
      <c r="F823" t="s">
        <v>27</v>
      </c>
      <c r="G823" t="s">
        <v>23</v>
      </c>
      <c r="H823" t="s">
        <v>21</v>
      </c>
      <c r="I823" s="3">
        <v>12983</v>
      </c>
      <c r="J823" s="3" t="str">
        <f t="shared" si="12"/>
        <v>Medium</v>
      </c>
      <c r="K823" t="b">
        <v>0</v>
      </c>
      <c r="L823" t="b">
        <v>0</v>
      </c>
      <c r="M823" t="b">
        <v>0</v>
      </c>
    </row>
    <row r="824" spans="1:13" x14ac:dyDescent="0.3">
      <c r="A824">
        <v>40</v>
      </c>
      <c r="B824" t="s">
        <v>18</v>
      </c>
      <c r="C824" s="1">
        <v>4</v>
      </c>
      <c r="D824" t="s">
        <v>19</v>
      </c>
      <c r="E824" t="s">
        <v>14</v>
      </c>
      <c r="F824" t="s">
        <v>27</v>
      </c>
      <c r="G824" t="s">
        <v>16</v>
      </c>
      <c r="H824" t="s">
        <v>21</v>
      </c>
      <c r="I824" s="3">
        <v>17259</v>
      </c>
      <c r="J824" s="3" t="str">
        <f t="shared" si="12"/>
        <v>High</v>
      </c>
      <c r="K824" t="b">
        <v>1</v>
      </c>
      <c r="L824" t="b">
        <v>0</v>
      </c>
      <c r="M824" t="b">
        <v>1</v>
      </c>
    </row>
    <row r="825" spans="1:13" x14ac:dyDescent="0.3">
      <c r="A825">
        <v>33</v>
      </c>
      <c r="B825" t="s">
        <v>12</v>
      </c>
      <c r="C825" s="1">
        <v>4</v>
      </c>
      <c r="D825" t="s">
        <v>19</v>
      </c>
      <c r="E825" t="s">
        <v>14</v>
      </c>
      <c r="F825" t="s">
        <v>22</v>
      </c>
      <c r="G825" t="s">
        <v>23</v>
      </c>
      <c r="H825" t="s">
        <v>24</v>
      </c>
      <c r="I825" s="3">
        <v>16054</v>
      </c>
      <c r="J825" s="3" t="str">
        <f t="shared" si="12"/>
        <v>High</v>
      </c>
      <c r="K825" t="b">
        <v>0</v>
      </c>
      <c r="L825" t="b">
        <v>0</v>
      </c>
      <c r="M825" t="b">
        <v>1</v>
      </c>
    </row>
    <row r="826" spans="1:13" x14ac:dyDescent="0.3">
      <c r="A826">
        <v>48</v>
      </c>
      <c r="B826" t="s">
        <v>12</v>
      </c>
      <c r="C826" s="1">
        <v>6</v>
      </c>
      <c r="D826" t="s">
        <v>19</v>
      </c>
      <c r="E826" t="s">
        <v>20</v>
      </c>
      <c r="F826" t="s">
        <v>27</v>
      </c>
      <c r="G826" t="s">
        <v>29</v>
      </c>
      <c r="H826" t="s">
        <v>24</v>
      </c>
      <c r="I826" s="3">
        <v>12523</v>
      </c>
      <c r="J826" s="3" t="str">
        <f t="shared" si="12"/>
        <v>Medium</v>
      </c>
      <c r="K826" t="b">
        <v>0</v>
      </c>
      <c r="L826" t="b">
        <v>1</v>
      </c>
      <c r="M826" t="b">
        <v>0</v>
      </c>
    </row>
    <row r="827" spans="1:13" x14ac:dyDescent="0.3">
      <c r="A827">
        <v>28</v>
      </c>
      <c r="B827" t="s">
        <v>12</v>
      </c>
      <c r="C827" s="1">
        <v>8</v>
      </c>
      <c r="D827" t="s">
        <v>19</v>
      </c>
      <c r="E827" t="s">
        <v>26</v>
      </c>
      <c r="F827" t="s">
        <v>15</v>
      </c>
      <c r="G827" t="s">
        <v>16</v>
      </c>
      <c r="H827" t="s">
        <v>24</v>
      </c>
      <c r="I827" s="3">
        <v>19677</v>
      </c>
      <c r="J827" s="3" t="str">
        <f t="shared" si="12"/>
        <v>High</v>
      </c>
      <c r="K827" t="b">
        <v>0</v>
      </c>
      <c r="L827" t="b">
        <v>0</v>
      </c>
      <c r="M827" t="b">
        <v>1</v>
      </c>
    </row>
    <row r="828" spans="1:13" x14ac:dyDescent="0.3">
      <c r="A828">
        <v>33</v>
      </c>
      <c r="B828" t="s">
        <v>12</v>
      </c>
      <c r="C828" s="1">
        <v>8</v>
      </c>
      <c r="D828" t="s">
        <v>19</v>
      </c>
      <c r="E828" t="s">
        <v>14</v>
      </c>
      <c r="F828" t="s">
        <v>15</v>
      </c>
      <c r="G828" t="s">
        <v>16</v>
      </c>
      <c r="H828" t="s">
        <v>24</v>
      </c>
      <c r="I828" s="3">
        <v>14581</v>
      </c>
      <c r="J828" s="3" t="str">
        <f t="shared" si="12"/>
        <v>Medium</v>
      </c>
      <c r="K828" t="b">
        <v>1</v>
      </c>
      <c r="L828" t="b">
        <v>1</v>
      </c>
      <c r="M828" t="b">
        <v>1</v>
      </c>
    </row>
    <row r="829" spans="1:13" x14ac:dyDescent="0.3">
      <c r="A829">
        <v>25</v>
      </c>
      <c r="B829" t="s">
        <v>25</v>
      </c>
      <c r="C829" s="1">
        <v>5</v>
      </c>
      <c r="D829" t="s">
        <v>19</v>
      </c>
      <c r="E829" t="s">
        <v>14</v>
      </c>
      <c r="F829" t="s">
        <v>15</v>
      </c>
      <c r="G829" t="s">
        <v>23</v>
      </c>
      <c r="H829" t="s">
        <v>17</v>
      </c>
      <c r="I829" s="3">
        <v>15609</v>
      </c>
      <c r="J829" s="3" t="str">
        <f t="shared" si="12"/>
        <v>High</v>
      </c>
      <c r="K829" t="b">
        <v>1</v>
      </c>
      <c r="L829" t="b">
        <v>0</v>
      </c>
      <c r="M829" t="b">
        <v>1</v>
      </c>
    </row>
    <row r="830" spans="1:13" x14ac:dyDescent="0.3">
      <c r="A830">
        <v>21</v>
      </c>
      <c r="B830" t="s">
        <v>25</v>
      </c>
      <c r="C830" s="1">
        <v>6</v>
      </c>
      <c r="D830" t="s">
        <v>19</v>
      </c>
      <c r="E830" t="s">
        <v>14</v>
      </c>
      <c r="F830" t="s">
        <v>27</v>
      </c>
      <c r="G830" t="s">
        <v>23</v>
      </c>
      <c r="H830" t="s">
        <v>24</v>
      </c>
      <c r="I830" s="3">
        <v>12001</v>
      </c>
      <c r="J830" s="3" t="str">
        <f t="shared" si="12"/>
        <v>Medium</v>
      </c>
      <c r="K830" t="b">
        <v>1</v>
      </c>
      <c r="L830" t="b">
        <v>1</v>
      </c>
      <c r="M830" t="b">
        <v>0</v>
      </c>
    </row>
    <row r="831" spans="1:13" x14ac:dyDescent="0.3">
      <c r="A831">
        <v>57</v>
      </c>
      <c r="B831" t="s">
        <v>18</v>
      </c>
      <c r="C831" s="1">
        <v>4</v>
      </c>
      <c r="D831" t="s">
        <v>19</v>
      </c>
      <c r="E831" t="s">
        <v>26</v>
      </c>
      <c r="F831" t="s">
        <v>15</v>
      </c>
      <c r="G831" t="s">
        <v>16</v>
      </c>
      <c r="H831" t="s">
        <v>21</v>
      </c>
      <c r="I831" s="3">
        <v>11387</v>
      </c>
      <c r="J831" s="3" t="str">
        <f t="shared" si="12"/>
        <v>Low</v>
      </c>
      <c r="K831" t="b">
        <v>0</v>
      </c>
      <c r="L831" t="b">
        <v>1</v>
      </c>
      <c r="M831" t="b">
        <v>1</v>
      </c>
    </row>
    <row r="832" spans="1:13" x14ac:dyDescent="0.3">
      <c r="A832">
        <v>21</v>
      </c>
      <c r="B832" t="s">
        <v>18</v>
      </c>
      <c r="C832" s="1">
        <v>9</v>
      </c>
      <c r="D832" t="s">
        <v>13</v>
      </c>
      <c r="E832" t="s">
        <v>26</v>
      </c>
      <c r="F832" t="s">
        <v>15</v>
      </c>
      <c r="G832" t="s">
        <v>29</v>
      </c>
      <c r="H832" t="s">
        <v>24</v>
      </c>
      <c r="I832" s="3">
        <v>16552</v>
      </c>
      <c r="J832" s="3" t="str">
        <f t="shared" si="12"/>
        <v>High</v>
      </c>
      <c r="K832" t="b">
        <v>0</v>
      </c>
      <c r="L832" t="b">
        <v>1</v>
      </c>
      <c r="M832" t="b">
        <v>1</v>
      </c>
    </row>
    <row r="833" spans="1:13" x14ac:dyDescent="0.3">
      <c r="A833">
        <v>42</v>
      </c>
      <c r="B833" t="s">
        <v>25</v>
      </c>
      <c r="C833" s="1">
        <v>8</v>
      </c>
      <c r="D833" t="s">
        <v>28</v>
      </c>
      <c r="E833" t="s">
        <v>26</v>
      </c>
      <c r="F833" t="s">
        <v>15</v>
      </c>
      <c r="G833" t="s">
        <v>29</v>
      </c>
      <c r="H833" t="s">
        <v>24</v>
      </c>
      <c r="I833" s="3">
        <v>11030</v>
      </c>
      <c r="J833" s="3" t="str">
        <f t="shared" si="12"/>
        <v>Low</v>
      </c>
      <c r="K833" t="b">
        <v>0</v>
      </c>
      <c r="L833" t="b">
        <v>1</v>
      </c>
      <c r="M833" t="b">
        <v>1</v>
      </c>
    </row>
    <row r="834" spans="1:13" x14ac:dyDescent="0.3">
      <c r="A834">
        <v>20</v>
      </c>
      <c r="B834" t="s">
        <v>25</v>
      </c>
      <c r="C834" s="1">
        <v>1</v>
      </c>
      <c r="D834" t="s">
        <v>19</v>
      </c>
      <c r="E834" t="s">
        <v>20</v>
      </c>
      <c r="F834" t="s">
        <v>15</v>
      </c>
      <c r="G834" t="s">
        <v>23</v>
      </c>
      <c r="H834" t="s">
        <v>21</v>
      </c>
      <c r="I834" s="3">
        <v>19957</v>
      </c>
      <c r="J834" s="3" t="str">
        <f t="shared" si="12"/>
        <v>High</v>
      </c>
      <c r="K834" t="b">
        <v>1</v>
      </c>
      <c r="L834" t="b">
        <v>1</v>
      </c>
      <c r="M834" t="b">
        <v>0</v>
      </c>
    </row>
    <row r="835" spans="1:13" x14ac:dyDescent="0.3">
      <c r="A835">
        <v>49</v>
      </c>
      <c r="B835" t="s">
        <v>12</v>
      </c>
      <c r="C835" s="1">
        <v>2</v>
      </c>
      <c r="D835" t="s">
        <v>28</v>
      </c>
      <c r="E835" t="s">
        <v>20</v>
      </c>
      <c r="F835" t="s">
        <v>15</v>
      </c>
      <c r="G835" t="s">
        <v>29</v>
      </c>
      <c r="H835" t="s">
        <v>24</v>
      </c>
      <c r="I835" s="3">
        <v>11220</v>
      </c>
      <c r="J835" s="3" t="str">
        <f t="shared" ref="J835:J898" si="13">IF(I835&gt;16000, "High", IF(I835&gt;=12000, IF(I835&lt;=15000, "Medium", "High"), "Low"))</f>
        <v>Low</v>
      </c>
      <c r="K835" t="b">
        <v>0</v>
      </c>
      <c r="L835" t="b">
        <v>0</v>
      </c>
      <c r="M835" t="b">
        <v>0</v>
      </c>
    </row>
    <row r="836" spans="1:13" x14ac:dyDescent="0.3">
      <c r="A836">
        <v>20</v>
      </c>
      <c r="B836" t="s">
        <v>12</v>
      </c>
      <c r="C836" s="1">
        <v>9</v>
      </c>
      <c r="D836" t="s">
        <v>19</v>
      </c>
      <c r="E836" t="s">
        <v>14</v>
      </c>
      <c r="F836" t="s">
        <v>15</v>
      </c>
      <c r="G836" t="s">
        <v>29</v>
      </c>
      <c r="H836" t="s">
        <v>24</v>
      </c>
      <c r="I836" s="3">
        <v>16035</v>
      </c>
      <c r="J836" s="3" t="str">
        <f t="shared" si="13"/>
        <v>High</v>
      </c>
      <c r="K836" t="b">
        <v>1</v>
      </c>
      <c r="L836" t="b">
        <v>1</v>
      </c>
      <c r="M836" t="b">
        <v>0</v>
      </c>
    </row>
    <row r="837" spans="1:13" x14ac:dyDescent="0.3">
      <c r="A837">
        <v>44</v>
      </c>
      <c r="B837" t="s">
        <v>18</v>
      </c>
      <c r="C837" s="1">
        <v>8</v>
      </c>
      <c r="D837" t="s">
        <v>19</v>
      </c>
      <c r="E837" t="s">
        <v>26</v>
      </c>
      <c r="F837" t="s">
        <v>27</v>
      </c>
      <c r="G837" t="s">
        <v>23</v>
      </c>
      <c r="H837" t="s">
        <v>24</v>
      </c>
      <c r="I837" s="3">
        <v>19810</v>
      </c>
      <c r="J837" s="3" t="str">
        <f t="shared" si="13"/>
        <v>High</v>
      </c>
      <c r="K837" t="b">
        <v>1</v>
      </c>
      <c r="L837" t="b">
        <v>0</v>
      </c>
      <c r="M837" t="b">
        <v>0</v>
      </c>
    </row>
    <row r="838" spans="1:13" x14ac:dyDescent="0.3">
      <c r="A838">
        <v>46</v>
      </c>
      <c r="B838" t="s">
        <v>25</v>
      </c>
      <c r="C838" s="1">
        <v>3</v>
      </c>
      <c r="D838" t="s">
        <v>13</v>
      </c>
      <c r="E838" t="s">
        <v>14</v>
      </c>
      <c r="F838" t="s">
        <v>15</v>
      </c>
      <c r="G838" t="s">
        <v>29</v>
      </c>
      <c r="H838" t="s">
        <v>17</v>
      </c>
      <c r="I838" s="3">
        <v>19455</v>
      </c>
      <c r="J838" s="3" t="str">
        <f t="shared" si="13"/>
        <v>High</v>
      </c>
      <c r="K838" t="b">
        <v>1</v>
      </c>
      <c r="L838" t="b">
        <v>1</v>
      </c>
      <c r="M838" t="b">
        <v>0</v>
      </c>
    </row>
    <row r="839" spans="1:13" x14ac:dyDescent="0.3">
      <c r="A839">
        <v>49</v>
      </c>
      <c r="B839" t="s">
        <v>18</v>
      </c>
      <c r="C839" s="1">
        <v>8</v>
      </c>
      <c r="D839" t="s">
        <v>13</v>
      </c>
      <c r="E839" t="s">
        <v>26</v>
      </c>
      <c r="F839" t="s">
        <v>15</v>
      </c>
      <c r="G839" t="s">
        <v>23</v>
      </c>
      <c r="H839" t="s">
        <v>24</v>
      </c>
      <c r="I839" s="3">
        <v>16523</v>
      </c>
      <c r="J839" s="3" t="str">
        <f t="shared" si="13"/>
        <v>High</v>
      </c>
      <c r="K839" t="b">
        <v>1</v>
      </c>
      <c r="L839" t="b">
        <v>1</v>
      </c>
      <c r="M839" t="b">
        <v>1</v>
      </c>
    </row>
    <row r="840" spans="1:13" x14ac:dyDescent="0.3">
      <c r="A840">
        <v>36</v>
      </c>
      <c r="B840" t="s">
        <v>25</v>
      </c>
      <c r="C840" s="1">
        <v>1</v>
      </c>
      <c r="D840" t="s">
        <v>28</v>
      </c>
      <c r="E840" t="s">
        <v>26</v>
      </c>
      <c r="F840" t="s">
        <v>22</v>
      </c>
      <c r="G840" t="s">
        <v>16</v>
      </c>
      <c r="H840" t="s">
        <v>21</v>
      </c>
      <c r="I840" s="3">
        <v>18074</v>
      </c>
      <c r="J840" s="3" t="str">
        <f t="shared" si="13"/>
        <v>High</v>
      </c>
      <c r="K840" t="b">
        <v>1</v>
      </c>
      <c r="L840" t="b">
        <v>0</v>
      </c>
      <c r="M840" t="b">
        <v>0</v>
      </c>
    </row>
    <row r="841" spans="1:13" x14ac:dyDescent="0.3">
      <c r="A841">
        <v>38</v>
      </c>
      <c r="B841" t="s">
        <v>12</v>
      </c>
      <c r="C841" s="1">
        <v>4</v>
      </c>
      <c r="D841" t="s">
        <v>13</v>
      </c>
      <c r="E841" t="s">
        <v>26</v>
      </c>
      <c r="F841" t="s">
        <v>27</v>
      </c>
      <c r="G841" t="s">
        <v>23</v>
      </c>
      <c r="H841" t="s">
        <v>21</v>
      </c>
      <c r="I841" s="3">
        <v>19063</v>
      </c>
      <c r="J841" s="3" t="str">
        <f t="shared" si="13"/>
        <v>High</v>
      </c>
      <c r="K841" t="b">
        <v>0</v>
      </c>
      <c r="L841" t="b">
        <v>1</v>
      </c>
      <c r="M841" t="b">
        <v>0</v>
      </c>
    </row>
    <row r="842" spans="1:13" x14ac:dyDescent="0.3">
      <c r="A842">
        <v>22</v>
      </c>
      <c r="B842" t="s">
        <v>18</v>
      </c>
      <c r="C842" s="1">
        <v>3</v>
      </c>
      <c r="D842" t="s">
        <v>13</v>
      </c>
      <c r="E842" t="s">
        <v>20</v>
      </c>
      <c r="F842" t="s">
        <v>27</v>
      </c>
      <c r="G842" t="s">
        <v>16</v>
      </c>
      <c r="H842" t="s">
        <v>24</v>
      </c>
      <c r="I842" s="3">
        <v>10834</v>
      </c>
      <c r="J842" s="3" t="str">
        <f t="shared" si="13"/>
        <v>Low</v>
      </c>
      <c r="K842" t="b">
        <v>0</v>
      </c>
      <c r="L842" t="b">
        <v>1</v>
      </c>
      <c r="M842" t="b">
        <v>1</v>
      </c>
    </row>
    <row r="843" spans="1:13" x14ac:dyDescent="0.3">
      <c r="A843">
        <v>35</v>
      </c>
      <c r="B843" t="s">
        <v>18</v>
      </c>
      <c r="C843" s="1">
        <v>6</v>
      </c>
      <c r="D843" t="s">
        <v>28</v>
      </c>
      <c r="E843" t="s">
        <v>20</v>
      </c>
      <c r="F843" t="s">
        <v>27</v>
      </c>
      <c r="G843" t="s">
        <v>16</v>
      </c>
      <c r="H843" t="s">
        <v>24</v>
      </c>
      <c r="I843" s="3">
        <v>19110</v>
      </c>
      <c r="J843" s="3" t="str">
        <f t="shared" si="13"/>
        <v>High</v>
      </c>
      <c r="K843" t="b">
        <v>1</v>
      </c>
      <c r="L843" t="b">
        <v>1</v>
      </c>
      <c r="M843" t="b">
        <v>0</v>
      </c>
    </row>
    <row r="844" spans="1:13" x14ac:dyDescent="0.3">
      <c r="A844">
        <v>45</v>
      </c>
      <c r="B844" t="s">
        <v>25</v>
      </c>
      <c r="C844" s="1">
        <v>7</v>
      </c>
      <c r="D844" t="s">
        <v>13</v>
      </c>
      <c r="E844" t="s">
        <v>26</v>
      </c>
      <c r="F844" t="s">
        <v>27</v>
      </c>
      <c r="G844" t="s">
        <v>29</v>
      </c>
      <c r="H844" t="s">
        <v>24</v>
      </c>
      <c r="I844" s="3">
        <v>11724</v>
      </c>
      <c r="J844" s="3" t="str">
        <f t="shared" si="13"/>
        <v>Low</v>
      </c>
      <c r="K844" t="b">
        <v>0</v>
      </c>
      <c r="L844" t="b">
        <v>1</v>
      </c>
      <c r="M844" t="b">
        <v>1</v>
      </c>
    </row>
    <row r="845" spans="1:13" x14ac:dyDescent="0.3">
      <c r="A845">
        <v>59</v>
      </c>
      <c r="B845" t="s">
        <v>12</v>
      </c>
      <c r="C845" s="1">
        <v>4</v>
      </c>
      <c r="D845" t="s">
        <v>19</v>
      </c>
      <c r="E845" t="s">
        <v>14</v>
      </c>
      <c r="F845" t="s">
        <v>15</v>
      </c>
      <c r="G845" t="s">
        <v>29</v>
      </c>
      <c r="H845" t="s">
        <v>21</v>
      </c>
      <c r="I845" s="3">
        <v>16598</v>
      </c>
      <c r="J845" s="3" t="str">
        <f t="shared" si="13"/>
        <v>High</v>
      </c>
      <c r="K845" t="b">
        <v>0</v>
      </c>
      <c r="L845" t="b">
        <v>0</v>
      </c>
      <c r="M845" t="b">
        <v>0</v>
      </c>
    </row>
    <row r="846" spans="1:13" x14ac:dyDescent="0.3">
      <c r="A846">
        <v>39</v>
      </c>
      <c r="B846" t="s">
        <v>18</v>
      </c>
      <c r="C846" s="1">
        <v>7</v>
      </c>
      <c r="D846" t="s">
        <v>28</v>
      </c>
      <c r="E846" t="s">
        <v>26</v>
      </c>
      <c r="F846" t="s">
        <v>15</v>
      </c>
      <c r="G846" t="s">
        <v>29</v>
      </c>
      <c r="H846" t="s">
        <v>21</v>
      </c>
      <c r="I846" s="3">
        <v>12413</v>
      </c>
      <c r="J846" s="3" t="str">
        <f t="shared" si="13"/>
        <v>Medium</v>
      </c>
      <c r="K846" t="b">
        <v>1</v>
      </c>
      <c r="L846" t="b">
        <v>1</v>
      </c>
      <c r="M846" t="b">
        <v>1</v>
      </c>
    </row>
    <row r="847" spans="1:13" x14ac:dyDescent="0.3">
      <c r="A847">
        <v>38</v>
      </c>
      <c r="B847" t="s">
        <v>12</v>
      </c>
      <c r="C847" s="1">
        <v>9</v>
      </c>
      <c r="D847" t="s">
        <v>28</v>
      </c>
      <c r="E847" t="s">
        <v>26</v>
      </c>
      <c r="F847" t="s">
        <v>22</v>
      </c>
      <c r="G847" t="s">
        <v>23</v>
      </c>
      <c r="H847" t="s">
        <v>17</v>
      </c>
      <c r="I847" s="3">
        <v>19505</v>
      </c>
      <c r="J847" s="3" t="str">
        <f t="shared" si="13"/>
        <v>High</v>
      </c>
      <c r="K847" t="b">
        <v>1</v>
      </c>
      <c r="L847" t="b">
        <v>1</v>
      </c>
      <c r="M847" t="b">
        <v>1</v>
      </c>
    </row>
    <row r="848" spans="1:13" x14ac:dyDescent="0.3">
      <c r="A848">
        <v>23</v>
      </c>
      <c r="B848" t="s">
        <v>18</v>
      </c>
      <c r="C848" s="1">
        <v>2</v>
      </c>
      <c r="D848" t="s">
        <v>19</v>
      </c>
      <c r="E848" t="s">
        <v>14</v>
      </c>
      <c r="F848" t="s">
        <v>22</v>
      </c>
      <c r="G848" t="s">
        <v>29</v>
      </c>
      <c r="H848" t="s">
        <v>17</v>
      </c>
      <c r="I848" s="3">
        <v>15993</v>
      </c>
      <c r="J848" s="3" t="str">
        <f t="shared" si="13"/>
        <v>High</v>
      </c>
      <c r="K848" t="b">
        <v>0</v>
      </c>
      <c r="L848" t="b">
        <v>0</v>
      </c>
      <c r="M848" t="b">
        <v>0</v>
      </c>
    </row>
    <row r="849" spans="1:13" x14ac:dyDescent="0.3">
      <c r="A849">
        <v>18</v>
      </c>
      <c r="B849" t="s">
        <v>12</v>
      </c>
      <c r="C849" s="1">
        <v>3</v>
      </c>
      <c r="D849" t="s">
        <v>13</v>
      </c>
      <c r="E849" t="s">
        <v>26</v>
      </c>
      <c r="F849" t="s">
        <v>27</v>
      </c>
      <c r="G849" t="s">
        <v>16</v>
      </c>
      <c r="H849" t="s">
        <v>17</v>
      </c>
      <c r="I849" s="3">
        <v>14498</v>
      </c>
      <c r="J849" s="3" t="str">
        <f t="shared" si="13"/>
        <v>Medium</v>
      </c>
      <c r="K849" t="b">
        <v>0</v>
      </c>
      <c r="L849" t="b">
        <v>0</v>
      </c>
      <c r="M849" t="b">
        <v>0</v>
      </c>
    </row>
    <row r="850" spans="1:13" x14ac:dyDescent="0.3">
      <c r="A850">
        <v>22</v>
      </c>
      <c r="B850" t="s">
        <v>25</v>
      </c>
      <c r="C850" s="1">
        <v>5</v>
      </c>
      <c r="D850" t="s">
        <v>28</v>
      </c>
      <c r="E850" t="s">
        <v>14</v>
      </c>
      <c r="F850" t="s">
        <v>22</v>
      </c>
      <c r="G850" t="s">
        <v>29</v>
      </c>
      <c r="H850" t="s">
        <v>21</v>
      </c>
      <c r="I850" s="3">
        <v>12105</v>
      </c>
      <c r="J850" s="3" t="str">
        <f t="shared" si="13"/>
        <v>Medium</v>
      </c>
      <c r="K850" t="b">
        <v>0</v>
      </c>
      <c r="L850" t="b">
        <v>1</v>
      </c>
      <c r="M850" t="b">
        <v>1</v>
      </c>
    </row>
    <row r="851" spans="1:13" x14ac:dyDescent="0.3">
      <c r="A851">
        <v>58</v>
      </c>
      <c r="B851" t="s">
        <v>18</v>
      </c>
      <c r="C851" s="1">
        <v>3</v>
      </c>
      <c r="D851" t="s">
        <v>28</v>
      </c>
      <c r="E851" t="s">
        <v>20</v>
      </c>
      <c r="F851" t="s">
        <v>22</v>
      </c>
      <c r="G851" t="s">
        <v>29</v>
      </c>
      <c r="H851" t="s">
        <v>17</v>
      </c>
      <c r="I851" s="3">
        <v>12568</v>
      </c>
      <c r="J851" s="3" t="str">
        <f t="shared" si="13"/>
        <v>Medium</v>
      </c>
      <c r="K851" t="b">
        <v>0</v>
      </c>
      <c r="L851" t="b">
        <v>1</v>
      </c>
      <c r="M851" t="b">
        <v>1</v>
      </c>
    </row>
    <row r="852" spans="1:13" x14ac:dyDescent="0.3">
      <c r="A852">
        <v>29</v>
      </c>
      <c r="B852" t="s">
        <v>18</v>
      </c>
      <c r="C852" s="1">
        <v>8</v>
      </c>
      <c r="D852" t="s">
        <v>19</v>
      </c>
      <c r="E852" t="s">
        <v>20</v>
      </c>
      <c r="F852" t="s">
        <v>27</v>
      </c>
      <c r="G852" t="s">
        <v>23</v>
      </c>
      <c r="H852" t="s">
        <v>24</v>
      </c>
      <c r="I852" s="3">
        <v>19330</v>
      </c>
      <c r="J852" s="3" t="str">
        <f t="shared" si="13"/>
        <v>High</v>
      </c>
      <c r="K852" t="b">
        <v>1</v>
      </c>
      <c r="L852" t="b">
        <v>0</v>
      </c>
      <c r="M852" t="b">
        <v>1</v>
      </c>
    </row>
    <row r="853" spans="1:13" x14ac:dyDescent="0.3">
      <c r="A853">
        <v>43</v>
      </c>
      <c r="B853" t="s">
        <v>12</v>
      </c>
      <c r="C853" s="1">
        <v>8</v>
      </c>
      <c r="D853" t="s">
        <v>19</v>
      </c>
      <c r="E853" t="s">
        <v>14</v>
      </c>
      <c r="F853" t="s">
        <v>27</v>
      </c>
      <c r="G853" t="s">
        <v>23</v>
      </c>
      <c r="H853" t="s">
        <v>24</v>
      </c>
      <c r="I853" s="3">
        <v>10209</v>
      </c>
      <c r="J853" s="3" t="str">
        <f t="shared" si="13"/>
        <v>Low</v>
      </c>
      <c r="K853" t="b">
        <v>0</v>
      </c>
      <c r="L853" t="b">
        <v>1</v>
      </c>
      <c r="M853" t="b">
        <v>1</v>
      </c>
    </row>
    <row r="854" spans="1:13" x14ac:dyDescent="0.3">
      <c r="A854">
        <v>63</v>
      </c>
      <c r="B854" t="s">
        <v>12</v>
      </c>
      <c r="C854" s="1">
        <v>8</v>
      </c>
      <c r="D854" t="s">
        <v>13</v>
      </c>
      <c r="E854" t="s">
        <v>20</v>
      </c>
      <c r="F854" t="s">
        <v>22</v>
      </c>
      <c r="G854" t="s">
        <v>16</v>
      </c>
      <c r="H854" t="s">
        <v>21</v>
      </c>
      <c r="I854" s="3">
        <v>19256</v>
      </c>
      <c r="J854" s="3" t="str">
        <f t="shared" si="13"/>
        <v>High</v>
      </c>
      <c r="K854" t="b">
        <v>1</v>
      </c>
      <c r="L854" t="b">
        <v>0</v>
      </c>
      <c r="M854" t="b">
        <v>1</v>
      </c>
    </row>
    <row r="855" spans="1:13" x14ac:dyDescent="0.3">
      <c r="A855">
        <v>51</v>
      </c>
      <c r="B855" t="s">
        <v>18</v>
      </c>
      <c r="C855" s="1">
        <v>9</v>
      </c>
      <c r="D855" t="s">
        <v>28</v>
      </c>
      <c r="E855" t="s">
        <v>20</v>
      </c>
      <c r="F855" t="s">
        <v>15</v>
      </c>
      <c r="G855" t="s">
        <v>23</v>
      </c>
      <c r="H855" t="s">
        <v>17</v>
      </c>
      <c r="I855" s="3">
        <v>14911</v>
      </c>
      <c r="J855" s="3" t="str">
        <f t="shared" si="13"/>
        <v>Medium</v>
      </c>
      <c r="K855" t="b">
        <v>1</v>
      </c>
      <c r="L855" t="b">
        <v>1</v>
      </c>
      <c r="M855" t="b">
        <v>1</v>
      </c>
    </row>
    <row r="856" spans="1:13" x14ac:dyDescent="0.3">
      <c r="A856">
        <v>31</v>
      </c>
      <c r="B856" t="s">
        <v>25</v>
      </c>
      <c r="C856" s="1">
        <v>4</v>
      </c>
      <c r="D856" t="s">
        <v>13</v>
      </c>
      <c r="E856" t="s">
        <v>14</v>
      </c>
      <c r="F856" t="s">
        <v>22</v>
      </c>
      <c r="G856" t="s">
        <v>29</v>
      </c>
      <c r="H856" t="s">
        <v>24</v>
      </c>
      <c r="I856" s="3">
        <v>12220</v>
      </c>
      <c r="J856" s="3" t="str">
        <f t="shared" si="13"/>
        <v>Medium</v>
      </c>
      <c r="K856" t="b">
        <v>0</v>
      </c>
      <c r="L856" t="b">
        <v>0</v>
      </c>
      <c r="M856" t="b">
        <v>1</v>
      </c>
    </row>
    <row r="857" spans="1:13" x14ac:dyDescent="0.3">
      <c r="A857">
        <v>43</v>
      </c>
      <c r="B857" t="s">
        <v>12</v>
      </c>
      <c r="C857" s="1">
        <v>5</v>
      </c>
      <c r="D857" t="s">
        <v>13</v>
      </c>
      <c r="E857" t="s">
        <v>20</v>
      </c>
      <c r="F857" t="s">
        <v>22</v>
      </c>
      <c r="G857" t="s">
        <v>23</v>
      </c>
      <c r="H857" t="s">
        <v>21</v>
      </c>
      <c r="I857" s="3">
        <v>10233</v>
      </c>
      <c r="J857" s="3" t="str">
        <f t="shared" si="13"/>
        <v>Low</v>
      </c>
      <c r="K857" t="b">
        <v>0</v>
      </c>
      <c r="L857" t="b">
        <v>0</v>
      </c>
      <c r="M857" t="b">
        <v>0</v>
      </c>
    </row>
    <row r="858" spans="1:13" x14ac:dyDescent="0.3">
      <c r="A858">
        <v>62</v>
      </c>
      <c r="B858" t="s">
        <v>12</v>
      </c>
      <c r="C858" s="1">
        <v>5</v>
      </c>
      <c r="D858" t="s">
        <v>19</v>
      </c>
      <c r="E858" t="s">
        <v>26</v>
      </c>
      <c r="F858" t="s">
        <v>15</v>
      </c>
      <c r="G858" t="s">
        <v>16</v>
      </c>
      <c r="H858" t="s">
        <v>17</v>
      </c>
      <c r="I858" s="3">
        <v>10792</v>
      </c>
      <c r="J858" s="3" t="str">
        <f t="shared" si="13"/>
        <v>Low</v>
      </c>
      <c r="K858" t="b">
        <v>0</v>
      </c>
      <c r="L858" t="b">
        <v>0</v>
      </c>
      <c r="M858" t="b">
        <v>1</v>
      </c>
    </row>
    <row r="859" spans="1:13" x14ac:dyDescent="0.3">
      <c r="A859">
        <v>44</v>
      </c>
      <c r="B859" t="s">
        <v>12</v>
      </c>
      <c r="C859" s="1">
        <v>8</v>
      </c>
      <c r="D859" t="s">
        <v>28</v>
      </c>
      <c r="E859" t="s">
        <v>26</v>
      </c>
      <c r="F859" t="s">
        <v>15</v>
      </c>
      <c r="G859" t="s">
        <v>29</v>
      </c>
      <c r="H859" t="s">
        <v>24</v>
      </c>
      <c r="I859" s="3">
        <v>13110</v>
      </c>
      <c r="J859" s="3" t="str">
        <f t="shared" si="13"/>
        <v>Medium</v>
      </c>
      <c r="K859" t="b">
        <v>1</v>
      </c>
      <c r="L859" t="b">
        <v>1</v>
      </c>
      <c r="M859" t="b">
        <v>0</v>
      </c>
    </row>
    <row r="860" spans="1:13" x14ac:dyDescent="0.3">
      <c r="A860">
        <v>26</v>
      </c>
      <c r="B860" t="s">
        <v>18</v>
      </c>
      <c r="C860" s="1">
        <v>7</v>
      </c>
      <c r="D860" t="s">
        <v>28</v>
      </c>
      <c r="E860" t="s">
        <v>14</v>
      </c>
      <c r="F860" t="s">
        <v>27</v>
      </c>
      <c r="G860" t="s">
        <v>16</v>
      </c>
      <c r="H860" t="s">
        <v>17</v>
      </c>
      <c r="I860" s="3">
        <v>12166</v>
      </c>
      <c r="J860" s="3" t="str">
        <f t="shared" si="13"/>
        <v>Medium</v>
      </c>
      <c r="K860" t="b">
        <v>1</v>
      </c>
      <c r="L860" t="b">
        <v>1</v>
      </c>
      <c r="M860" t="b">
        <v>0</v>
      </c>
    </row>
    <row r="861" spans="1:13" x14ac:dyDescent="0.3">
      <c r="A861">
        <v>43</v>
      </c>
      <c r="B861" t="s">
        <v>18</v>
      </c>
      <c r="C861" s="1">
        <v>9</v>
      </c>
      <c r="D861" t="s">
        <v>28</v>
      </c>
      <c r="E861" t="s">
        <v>20</v>
      </c>
      <c r="F861" t="s">
        <v>27</v>
      </c>
      <c r="G861" t="s">
        <v>23</v>
      </c>
      <c r="H861" t="s">
        <v>21</v>
      </c>
      <c r="I861" s="3">
        <v>18526</v>
      </c>
      <c r="J861" s="3" t="str">
        <f t="shared" si="13"/>
        <v>High</v>
      </c>
      <c r="K861" t="b">
        <v>1</v>
      </c>
      <c r="L861" t="b">
        <v>1</v>
      </c>
      <c r="M861" t="b">
        <v>1</v>
      </c>
    </row>
    <row r="862" spans="1:13" x14ac:dyDescent="0.3">
      <c r="A862">
        <v>64</v>
      </c>
      <c r="B862" t="s">
        <v>18</v>
      </c>
      <c r="C862" s="1">
        <v>8</v>
      </c>
      <c r="D862" t="s">
        <v>19</v>
      </c>
      <c r="E862" t="s">
        <v>26</v>
      </c>
      <c r="F862" t="s">
        <v>22</v>
      </c>
      <c r="G862" t="s">
        <v>23</v>
      </c>
      <c r="H862" t="s">
        <v>17</v>
      </c>
      <c r="I862" s="3">
        <v>19551</v>
      </c>
      <c r="J862" s="3" t="str">
        <f t="shared" si="13"/>
        <v>High</v>
      </c>
      <c r="K862" t="b">
        <v>1</v>
      </c>
      <c r="L862" t="b">
        <v>1</v>
      </c>
      <c r="M862" t="b">
        <v>1</v>
      </c>
    </row>
    <row r="863" spans="1:13" x14ac:dyDescent="0.3">
      <c r="A863">
        <v>39</v>
      </c>
      <c r="B863" t="s">
        <v>18</v>
      </c>
      <c r="C863" s="1">
        <v>2</v>
      </c>
      <c r="D863" t="s">
        <v>19</v>
      </c>
      <c r="E863" t="s">
        <v>26</v>
      </c>
      <c r="F863" t="s">
        <v>15</v>
      </c>
      <c r="G863" t="s">
        <v>16</v>
      </c>
      <c r="H863" t="s">
        <v>21</v>
      </c>
      <c r="I863" s="3">
        <v>15193</v>
      </c>
      <c r="J863" s="3" t="str">
        <f t="shared" si="13"/>
        <v>High</v>
      </c>
      <c r="K863" t="b">
        <v>0</v>
      </c>
      <c r="L863" t="b">
        <v>0</v>
      </c>
      <c r="M863" t="b">
        <v>0</v>
      </c>
    </row>
    <row r="864" spans="1:13" x14ac:dyDescent="0.3">
      <c r="A864">
        <v>64</v>
      </c>
      <c r="B864" t="s">
        <v>25</v>
      </c>
      <c r="C864" s="1">
        <v>4</v>
      </c>
      <c r="D864" t="s">
        <v>19</v>
      </c>
      <c r="E864" t="s">
        <v>20</v>
      </c>
      <c r="F864" t="s">
        <v>27</v>
      </c>
      <c r="G864" t="s">
        <v>29</v>
      </c>
      <c r="H864" t="s">
        <v>17</v>
      </c>
      <c r="I864" s="3">
        <v>11214</v>
      </c>
      <c r="J864" s="3" t="str">
        <f t="shared" si="13"/>
        <v>Low</v>
      </c>
      <c r="K864" t="b">
        <v>1</v>
      </c>
      <c r="L864" t="b">
        <v>0</v>
      </c>
      <c r="M864" t="b">
        <v>1</v>
      </c>
    </row>
    <row r="865" spans="1:13" x14ac:dyDescent="0.3">
      <c r="A865">
        <v>47</v>
      </c>
      <c r="B865" t="s">
        <v>25</v>
      </c>
      <c r="C865" s="1">
        <v>6</v>
      </c>
      <c r="D865" t="s">
        <v>19</v>
      </c>
      <c r="E865" t="s">
        <v>20</v>
      </c>
      <c r="F865" t="s">
        <v>22</v>
      </c>
      <c r="G865" t="s">
        <v>23</v>
      </c>
      <c r="H865" t="s">
        <v>24</v>
      </c>
      <c r="I865" s="3">
        <v>14419</v>
      </c>
      <c r="J865" s="3" t="str">
        <f t="shared" si="13"/>
        <v>Medium</v>
      </c>
      <c r="K865" t="b">
        <v>1</v>
      </c>
      <c r="L865" t="b">
        <v>0</v>
      </c>
      <c r="M865" t="b">
        <v>1</v>
      </c>
    </row>
    <row r="866" spans="1:13" x14ac:dyDescent="0.3">
      <c r="A866">
        <v>60</v>
      </c>
      <c r="B866" t="s">
        <v>18</v>
      </c>
      <c r="C866" s="1">
        <v>2</v>
      </c>
      <c r="D866" t="s">
        <v>19</v>
      </c>
      <c r="E866" t="s">
        <v>26</v>
      </c>
      <c r="F866" t="s">
        <v>15</v>
      </c>
      <c r="G866" t="s">
        <v>23</v>
      </c>
      <c r="H866" t="s">
        <v>21</v>
      </c>
      <c r="I866" s="3">
        <v>17314</v>
      </c>
      <c r="J866" s="3" t="str">
        <f t="shared" si="13"/>
        <v>High</v>
      </c>
      <c r="K866" t="b">
        <v>0</v>
      </c>
      <c r="L866" t="b">
        <v>1</v>
      </c>
      <c r="M866" t="b">
        <v>0</v>
      </c>
    </row>
    <row r="867" spans="1:13" x14ac:dyDescent="0.3">
      <c r="A867">
        <v>34</v>
      </c>
      <c r="B867" t="s">
        <v>25</v>
      </c>
      <c r="C867" s="1">
        <v>7</v>
      </c>
      <c r="D867" t="s">
        <v>28</v>
      </c>
      <c r="E867" t="s">
        <v>26</v>
      </c>
      <c r="F867" t="s">
        <v>22</v>
      </c>
      <c r="G867" t="s">
        <v>29</v>
      </c>
      <c r="H867" t="s">
        <v>21</v>
      </c>
      <c r="I867" s="3">
        <v>18475</v>
      </c>
      <c r="J867" s="3" t="str">
        <f t="shared" si="13"/>
        <v>High</v>
      </c>
      <c r="K867" t="b">
        <v>1</v>
      </c>
      <c r="L867" t="b">
        <v>1</v>
      </c>
      <c r="M867" t="b">
        <v>0</v>
      </c>
    </row>
    <row r="868" spans="1:13" x14ac:dyDescent="0.3">
      <c r="A868">
        <v>43</v>
      </c>
      <c r="B868" t="s">
        <v>12</v>
      </c>
      <c r="C868" s="1">
        <v>3</v>
      </c>
      <c r="D868" t="s">
        <v>13</v>
      </c>
      <c r="E868" t="s">
        <v>14</v>
      </c>
      <c r="F868" t="s">
        <v>27</v>
      </c>
      <c r="G868" t="s">
        <v>23</v>
      </c>
      <c r="H868" t="s">
        <v>21</v>
      </c>
      <c r="I868" s="3">
        <v>10212</v>
      </c>
      <c r="J868" s="3" t="str">
        <f t="shared" si="13"/>
        <v>Low</v>
      </c>
      <c r="K868" t="b">
        <v>1</v>
      </c>
      <c r="L868" t="b">
        <v>1</v>
      </c>
      <c r="M868" t="b">
        <v>0</v>
      </c>
    </row>
    <row r="869" spans="1:13" x14ac:dyDescent="0.3">
      <c r="A869">
        <v>53</v>
      </c>
      <c r="B869" t="s">
        <v>12</v>
      </c>
      <c r="C869" s="1">
        <v>3</v>
      </c>
      <c r="D869" t="s">
        <v>28</v>
      </c>
      <c r="E869" t="s">
        <v>14</v>
      </c>
      <c r="F869" t="s">
        <v>27</v>
      </c>
      <c r="G869" t="s">
        <v>16</v>
      </c>
      <c r="H869" t="s">
        <v>17</v>
      </c>
      <c r="I869" s="3">
        <v>11658</v>
      </c>
      <c r="J869" s="3" t="str">
        <f t="shared" si="13"/>
        <v>Low</v>
      </c>
      <c r="K869" t="b">
        <v>0</v>
      </c>
      <c r="L869" t="b">
        <v>0</v>
      </c>
      <c r="M869" t="b">
        <v>1</v>
      </c>
    </row>
    <row r="870" spans="1:13" x14ac:dyDescent="0.3">
      <c r="A870">
        <v>18</v>
      </c>
      <c r="B870" t="s">
        <v>12</v>
      </c>
      <c r="C870" s="1">
        <v>2</v>
      </c>
      <c r="D870" t="s">
        <v>13</v>
      </c>
      <c r="E870" t="s">
        <v>26</v>
      </c>
      <c r="F870" t="s">
        <v>15</v>
      </c>
      <c r="G870" t="s">
        <v>23</v>
      </c>
      <c r="H870" t="s">
        <v>17</v>
      </c>
      <c r="I870" s="3">
        <v>15024</v>
      </c>
      <c r="J870" s="3" t="str">
        <f t="shared" si="13"/>
        <v>High</v>
      </c>
      <c r="K870" t="b">
        <v>1</v>
      </c>
      <c r="L870" t="b">
        <v>1</v>
      </c>
      <c r="M870" t="b">
        <v>1</v>
      </c>
    </row>
    <row r="871" spans="1:13" x14ac:dyDescent="0.3">
      <c r="A871">
        <v>25</v>
      </c>
      <c r="B871" t="s">
        <v>18</v>
      </c>
      <c r="C871" s="1">
        <v>8</v>
      </c>
      <c r="D871" t="s">
        <v>19</v>
      </c>
      <c r="E871" t="s">
        <v>14</v>
      </c>
      <c r="F871" t="s">
        <v>22</v>
      </c>
      <c r="G871" t="s">
        <v>23</v>
      </c>
      <c r="H871" t="s">
        <v>24</v>
      </c>
      <c r="I871" s="3">
        <v>19609</v>
      </c>
      <c r="J871" s="3" t="str">
        <f t="shared" si="13"/>
        <v>High</v>
      </c>
      <c r="K871" t="b">
        <v>1</v>
      </c>
      <c r="L871" t="b">
        <v>1</v>
      </c>
      <c r="M871" t="b">
        <v>0</v>
      </c>
    </row>
    <row r="872" spans="1:13" x14ac:dyDescent="0.3">
      <c r="A872">
        <v>52</v>
      </c>
      <c r="B872" t="s">
        <v>12</v>
      </c>
      <c r="C872" s="1">
        <v>6</v>
      </c>
      <c r="D872" t="s">
        <v>13</v>
      </c>
      <c r="E872" t="s">
        <v>26</v>
      </c>
      <c r="F872" t="s">
        <v>15</v>
      </c>
      <c r="G872" t="s">
        <v>29</v>
      </c>
      <c r="H872" t="s">
        <v>21</v>
      </c>
      <c r="I872" s="3">
        <v>15917</v>
      </c>
      <c r="J872" s="3" t="str">
        <f t="shared" si="13"/>
        <v>High</v>
      </c>
      <c r="K872" t="b">
        <v>1</v>
      </c>
      <c r="L872" t="b">
        <v>0</v>
      </c>
      <c r="M872" t="b">
        <v>1</v>
      </c>
    </row>
    <row r="873" spans="1:13" x14ac:dyDescent="0.3">
      <c r="A873">
        <v>32</v>
      </c>
      <c r="B873" t="s">
        <v>25</v>
      </c>
      <c r="C873" s="1">
        <v>1</v>
      </c>
      <c r="D873" t="s">
        <v>28</v>
      </c>
      <c r="E873" t="s">
        <v>26</v>
      </c>
      <c r="F873" t="s">
        <v>27</v>
      </c>
      <c r="G873" t="s">
        <v>16</v>
      </c>
      <c r="H873" t="s">
        <v>21</v>
      </c>
      <c r="I873" s="3">
        <v>15141</v>
      </c>
      <c r="J873" s="3" t="str">
        <f t="shared" si="13"/>
        <v>High</v>
      </c>
      <c r="K873" t="b">
        <v>1</v>
      </c>
      <c r="L873" t="b">
        <v>0</v>
      </c>
      <c r="M873" t="b">
        <v>0</v>
      </c>
    </row>
    <row r="874" spans="1:13" x14ac:dyDescent="0.3">
      <c r="A874">
        <v>64</v>
      </c>
      <c r="B874" t="s">
        <v>18</v>
      </c>
      <c r="C874" s="1">
        <v>1</v>
      </c>
      <c r="D874" t="s">
        <v>28</v>
      </c>
      <c r="E874" t="s">
        <v>14</v>
      </c>
      <c r="F874" t="s">
        <v>27</v>
      </c>
      <c r="G874" t="s">
        <v>29</v>
      </c>
      <c r="H874" t="s">
        <v>17</v>
      </c>
      <c r="I874" s="3">
        <v>11794</v>
      </c>
      <c r="J874" s="3" t="str">
        <f t="shared" si="13"/>
        <v>Low</v>
      </c>
      <c r="K874" t="b">
        <v>0</v>
      </c>
      <c r="L874" t="b">
        <v>1</v>
      </c>
      <c r="M874" t="b">
        <v>1</v>
      </c>
    </row>
    <row r="875" spans="1:13" x14ac:dyDescent="0.3">
      <c r="A875">
        <v>39</v>
      </c>
      <c r="B875" t="s">
        <v>25</v>
      </c>
      <c r="C875" s="1">
        <v>7</v>
      </c>
      <c r="D875" t="s">
        <v>13</v>
      </c>
      <c r="E875" t="s">
        <v>14</v>
      </c>
      <c r="F875" t="s">
        <v>22</v>
      </c>
      <c r="G875" t="s">
        <v>23</v>
      </c>
      <c r="H875" t="s">
        <v>17</v>
      </c>
      <c r="I875" s="3">
        <v>15988</v>
      </c>
      <c r="J875" s="3" t="str">
        <f t="shared" si="13"/>
        <v>High</v>
      </c>
      <c r="K875" t="b">
        <v>1</v>
      </c>
      <c r="L875" t="b">
        <v>0</v>
      </c>
      <c r="M875" t="b">
        <v>0</v>
      </c>
    </row>
    <row r="876" spans="1:13" x14ac:dyDescent="0.3">
      <c r="A876">
        <v>31</v>
      </c>
      <c r="B876" t="s">
        <v>12</v>
      </c>
      <c r="C876" s="1">
        <v>8</v>
      </c>
      <c r="D876" t="s">
        <v>19</v>
      </c>
      <c r="E876" t="s">
        <v>20</v>
      </c>
      <c r="F876" t="s">
        <v>22</v>
      </c>
      <c r="G876" t="s">
        <v>23</v>
      </c>
      <c r="H876" t="s">
        <v>24</v>
      </c>
      <c r="I876" s="3">
        <v>18296</v>
      </c>
      <c r="J876" s="3" t="str">
        <f t="shared" si="13"/>
        <v>High</v>
      </c>
      <c r="K876" t="b">
        <v>0</v>
      </c>
      <c r="L876" t="b">
        <v>1</v>
      </c>
      <c r="M876" t="b">
        <v>1</v>
      </c>
    </row>
    <row r="877" spans="1:13" x14ac:dyDescent="0.3">
      <c r="A877">
        <v>43</v>
      </c>
      <c r="B877" t="s">
        <v>12</v>
      </c>
      <c r="C877" s="1">
        <v>5</v>
      </c>
      <c r="D877" t="s">
        <v>19</v>
      </c>
      <c r="E877" t="s">
        <v>20</v>
      </c>
      <c r="F877" t="s">
        <v>22</v>
      </c>
      <c r="G877" t="s">
        <v>29</v>
      </c>
      <c r="H877" t="s">
        <v>24</v>
      </c>
      <c r="I877" s="3">
        <v>15578</v>
      </c>
      <c r="J877" s="3" t="str">
        <f t="shared" si="13"/>
        <v>High</v>
      </c>
      <c r="K877" t="b">
        <v>1</v>
      </c>
      <c r="L877" t="b">
        <v>0</v>
      </c>
      <c r="M877" t="b">
        <v>0</v>
      </c>
    </row>
    <row r="878" spans="1:13" x14ac:dyDescent="0.3">
      <c r="A878">
        <v>45</v>
      </c>
      <c r="B878" t="s">
        <v>12</v>
      </c>
      <c r="C878" s="1">
        <v>5</v>
      </c>
      <c r="D878" t="s">
        <v>28</v>
      </c>
      <c r="E878" t="s">
        <v>20</v>
      </c>
      <c r="F878" t="s">
        <v>15</v>
      </c>
      <c r="G878" t="s">
        <v>29</v>
      </c>
      <c r="H878" t="s">
        <v>17</v>
      </c>
      <c r="I878" s="3">
        <v>15551</v>
      </c>
      <c r="J878" s="3" t="str">
        <f t="shared" si="13"/>
        <v>High</v>
      </c>
      <c r="K878" t="b">
        <v>0</v>
      </c>
      <c r="L878" t="b">
        <v>0</v>
      </c>
      <c r="M878" t="b">
        <v>1</v>
      </c>
    </row>
    <row r="879" spans="1:13" x14ac:dyDescent="0.3">
      <c r="A879">
        <v>40</v>
      </c>
      <c r="B879" t="s">
        <v>18</v>
      </c>
      <c r="C879" s="1">
        <v>4</v>
      </c>
      <c r="D879" t="s">
        <v>13</v>
      </c>
      <c r="E879" t="s">
        <v>26</v>
      </c>
      <c r="F879" t="s">
        <v>22</v>
      </c>
      <c r="G879" t="s">
        <v>29</v>
      </c>
      <c r="H879" t="s">
        <v>21</v>
      </c>
      <c r="I879" s="3">
        <v>13845</v>
      </c>
      <c r="J879" s="3" t="str">
        <f t="shared" si="13"/>
        <v>Medium</v>
      </c>
      <c r="K879" t="b">
        <v>0</v>
      </c>
      <c r="L879" t="b">
        <v>0</v>
      </c>
      <c r="M879" t="b">
        <v>1</v>
      </c>
    </row>
    <row r="880" spans="1:13" x14ac:dyDescent="0.3">
      <c r="A880">
        <v>31</v>
      </c>
      <c r="B880" t="s">
        <v>25</v>
      </c>
      <c r="C880" s="1">
        <v>6</v>
      </c>
      <c r="D880" t="s">
        <v>19</v>
      </c>
      <c r="E880" t="s">
        <v>14</v>
      </c>
      <c r="F880" t="s">
        <v>22</v>
      </c>
      <c r="G880" t="s">
        <v>16</v>
      </c>
      <c r="H880" t="s">
        <v>24</v>
      </c>
      <c r="I880" s="3">
        <v>16906</v>
      </c>
      <c r="J880" s="3" t="str">
        <f t="shared" si="13"/>
        <v>High</v>
      </c>
      <c r="K880" t="b">
        <v>0</v>
      </c>
      <c r="L880" t="b">
        <v>1</v>
      </c>
      <c r="M880" t="b">
        <v>0</v>
      </c>
    </row>
    <row r="881" spans="1:13" x14ac:dyDescent="0.3">
      <c r="A881">
        <v>41</v>
      </c>
      <c r="B881" t="s">
        <v>18</v>
      </c>
      <c r="C881" s="1">
        <v>6</v>
      </c>
      <c r="D881" t="s">
        <v>19</v>
      </c>
      <c r="E881" t="s">
        <v>26</v>
      </c>
      <c r="F881" t="s">
        <v>27</v>
      </c>
      <c r="G881" t="s">
        <v>23</v>
      </c>
      <c r="H881" t="s">
        <v>17</v>
      </c>
      <c r="I881" s="3">
        <v>10378</v>
      </c>
      <c r="J881" s="3" t="str">
        <f t="shared" si="13"/>
        <v>Low</v>
      </c>
      <c r="K881" t="b">
        <v>1</v>
      </c>
      <c r="L881" t="b">
        <v>1</v>
      </c>
      <c r="M881" t="b">
        <v>1</v>
      </c>
    </row>
    <row r="882" spans="1:13" x14ac:dyDescent="0.3">
      <c r="A882">
        <v>19</v>
      </c>
      <c r="B882" t="s">
        <v>18</v>
      </c>
      <c r="C882" s="1">
        <v>3</v>
      </c>
      <c r="D882" t="s">
        <v>28</v>
      </c>
      <c r="E882" t="s">
        <v>14</v>
      </c>
      <c r="F882" t="s">
        <v>27</v>
      </c>
      <c r="G882" t="s">
        <v>29</v>
      </c>
      <c r="H882" t="s">
        <v>17</v>
      </c>
      <c r="I882" s="3">
        <v>13293</v>
      </c>
      <c r="J882" s="3" t="str">
        <f t="shared" si="13"/>
        <v>Medium</v>
      </c>
      <c r="K882" t="b">
        <v>1</v>
      </c>
      <c r="L882" t="b">
        <v>1</v>
      </c>
      <c r="M882" t="b">
        <v>1</v>
      </c>
    </row>
    <row r="883" spans="1:13" x14ac:dyDescent="0.3">
      <c r="A883">
        <v>62</v>
      </c>
      <c r="B883" t="s">
        <v>12</v>
      </c>
      <c r="C883" s="1">
        <v>9</v>
      </c>
      <c r="D883" t="s">
        <v>19</v>
      </c>
      <c r="E883" t="s">
        <v>26</v>
      </c>
      <c r="F883" t="s">
        <v>22</v>
      </c>
      <c r="G883" t="s">
        <v>23</v>
      </c>
      <c r="H883" t="s">
        <v>21</v>
      </c>
      <c r="I883" s="3">
        <v>13329</v>
      </c>
      <c r="J883" s="3" t="str">
        <f t="shared" si="13"/>
        <v>Medium</v>
      </c>
      <c r="K883" t="b">
        <v>1</v>
      </c>
      <c r="L883" t="b">
        <v>0</v>
      </c>
      <c r="M883" t="b">
        <v>0</v>
      </c>
    </row>
    <row r="884" spans="1:13" x14ac:dyDescent="0.3">
      <c r="A884">
        <v>43</v>
      </c>
      <c r="B884" t="s">
        <v>18</v>
      </c>
      <c r="C884" s="1">
        <v>7</v>
      </c>
      <c r="D884" t="s">
        <v>13</v>
      </c>
      <c r="E884" t="s">
        <v>20</v>
      </c>
      <c r="F884" t="s">
        <v>22</v>
      </c>
      <c r="G884" t="s">
        <v>16</v>
      </c>
      <c r="H884" t="s">
        <v>17</v>
      </c>
      <c r="I884" s="3">
        <v>14808</v>
      </c>
      <c r="J884" s="3" t="str">
        <f t="shared" si="13"/>
        <v>Medium</v>
      </c>
      <c r="K884" t="b">
        <v>0</v>
      </c>
      <c r="L884" t="b">
        <v>0</v>
      </c>
      <c r="M884" t="b">
        <v>1</v>
      </c>
    </row>
    <row r="885" spans="1:13" x14ac:dyDescent="0.3">
      <c r="A885">
        <v>31</v>
      </c>
      <c r="B885" t="s">
        <v>18</v>
      </c>
      <c r="C885" s="1">
        <v>1</v>
      </c>
      <c r="D885" t="s">
        <v>28</v>
      </c>
      <c r="E885" t="s">
        <v>20</v>
      </c>
      <c r="F885" t="s">
        <v>27</v>
      </c>
      <c r="G885" t="s">
        <v>16</v>
      </c>
      <c r="H885" t="s">
        <v>17</v>
      </c>
      <c r="I885" s="3">
        <v>17937</v>
      </c>
      <c r="J885" s="3" t="str">
        <f t="shared" si="13"/>
        <v>High</v>
      </c>
      <c r="K885" t="b">
        <v>1</v>
      </c>
      <c r="L885" t="b">
        <v>0</v>
      </c>
      <c r="M885" t="b">
        <v>1</v>
      </c>
    </row>
    <row r="886" spans="1:13" x14ac:dyDescent="0.3">
      <c r="A886">
        <v>24</v>
      </c>
      <c r="B886" t="s">
        <v>12</v>
      </c>
      <c r="C886" s="1">
        <v>7</v>
      </c>
      <c r="D886" t="s">
        <v>28</v>
      </c>
      <c r="E886" t="s">
        <v>20</v>
      </c>
      <c r="F886" t="s">
        <v>22</v>
      </c>
      <c r="G886" t="s">
        <v>16</v>
      </c>
      <c r="H886" t="s">
        <v>24</v>
      </c>
      <c r="I886" s="3">
        <v>10224</v>
      </c>
      <c r="J886" s="3" t="str">
        <f t="shared" si="13"/>
        <v>Low</v>
      </c>
      <c r="K886" t="b">
        <v>1</v>
      </c>
      <c r="L886" t="b">
        <v>0</v>
      </c>
      <c r="M886" t="b">
        <v>1</v>
      </c>
    </row>
    <row r="887" spans="1:13" x14ac:dyDescent="0.3">
      <c r="A887">
        <v>20</v>
      </c>
      <c r="B887" t="s">
        <v>18</v>
      </c>
      <c r="C887" s="1">
        <v>5</v>
      </c>
      <c r="D887" t="s">
        <v>13</v>
      </c>
      <c r="E887" t="s">
        <v>26</v>
      </c>
      <c r="F887" t="s">
        <v>15</v>
      </c>
      <c r="G887" t="s">
        <v>16</v>
      </c>
      <c r="H887" t="s">
        <v>17</v>
      </c>
      <c r="I887" s="3">
        <v>10737</v>
      </c>
      <c r="J887" s="3" t="str">
        <f t="shared" si="13"/>
        <v>Low</v>
      </c>
      <c r="K887" t="b">
        <v>1</v>
      </c>
      <c r="L887" t="b">
        <v>1</v>
      </c>
      <c r="M887" t="b">
        <v>0</v>
      </c>
    </row>
    <row r="888" spans="1:13" x14ac:dyDescent="0.3">
      <c r="A888">
        <v>64</v>
      </c>
      <c r="B888" t="s">
        <v>12</v>
      </c>
      <c r="C888" s="1">
        <v>5</v>
      </c>
      <c r="D888" t="s">
        <v>28</v>
      </c>
      <c r="E888" t="s">
        <v>14</v>
      </c>
      <c r="F888" t="s">
        <v>15</v>
      </c>
      <c r="G888" t="s">
        <v>23</v>
      </c>
      <c r="H888" t="s">
        <v>17</v>
      </c>
      <c r="I888" s="3">
        <v>10235</v>
      </c>
      <c r="J888" s="3" t="str">
        <f t="shared" si="13"/>
        <v>Low</v>
      </c>
      <c r="K888" t="b">
        <v>1</v>
      </c>
      <c r="L888" t="b">
        <v>1</v>
      </c>
      <c r="M888" t="b">
        <v>0</v>
      </c>
    </row>
    <row r="889" spans="1:13" x14ac:dyDescent="0.3">
      <c r="A889">
        <v>40</v>
      </c>
      <c r="B889" t="s">
        <v>12</v>
      </c>
      <c r="C889" s="1">
        <v>2</v>
      </c>
      <c r="D889" t="s">
        <v>19</v>
      </c>
      <c r="E889" t="s">
        <v>14</v>
      </c>
      <c r="F889" t="s">
        <v>15</v>
      </c>
      <c r="G889" t="s">
        <v>16</v>
      </c>
      <c r="H889" t="s">
        <v>24</v>
      </c>
      <c r="I889" s="3">
        <v>10711</v>
      </c>
      <c r="J889" s="3" t="str">
        <f t="shared" si="13"/>
        <v>Low</v>
      </c>
      <c r="K889" t="b">
        <v>0</v>
      </c>
      <c r="L889" t="b">
        <v>1</v>
      </c>
      <c r="M889" t="b">
        <v>0</v>
      </c>
    </row>
    <row r="890" spans="1:13" x14ac:dyDescent="0.3">
      <c r="A890">
        <v>63</v>
      </c>
      <c r="B890" t="s">
        <v>12</v>
      </c>
      <c r="C890" s="1">
        <v>4</v>
      </c>
      <c r="D890" t="s">
        <v>19</v>
      </c>
      <c r="E890" t="s">
        <v>20</v>
      </c>
      <c r="F890" t="s">
        <v>22</v>
      </c>
      <c r="G890" t="s">
        <v>16</v>
      </c>
      <c r="H890" t="s">
        <v>21</v>
      </c>
      <c r="I890" s="3">
        <v>15988</v>
      </c>
      <c r="J890" s="3" t="str">
        <f t="shared" si="13"/>
        <v>High</v>
      </c>
      <c r="K890" t="b">
        <v>0</v>
      </c>
      <c r="L890" t="b">
        <v>0</v>
      </c>
      <c r="M890" t="b">
        <v>0</v>
      </c>
    </row>
    <row r="891" spans="1:13" x14ac:dyDescent="0.3">
      <c r="A891">
        <v>60</v>
      </c>
      <c r="B891" t="s">
        <v>12</v>
      </c>
      <c r="C891" s="1">
        <v>6</v>
      </c>
      <c r="D891" t="s">
        <v>13</v>
      </c>
      <c r="E891" t="s">
        <v>20</v>
      </c>
      <c r="F891" t="s">
        <v>27</v>
      </c>
      <c r="G891" t="s">
        <v>29</v>
      </c>
      <c r="H891" t="s">
        <v>21</v>
      </c>
      <c r="I891" s="3">
        <v>11888</v>
      </c>
      <c r="J891" s="3" t="str">
        <f t="shared" si="13"/>
        <v>Low</v>
      </c>
      <c r="K891" t="b">
        <v>1</v>
      </c>
      <c r="L891" t="b">
        <v>0</v>
      </c>
      <c r="M891" t="b">
        <v>0</v>
      </c>
    </row>
    <row r="892" spans="1:13" x14ac:dyDescent="0.3">
      <c r="A892">
        <v>64</v>
      </c>
      <c r="B892" t="s">
        <v>18</v>
      </c>
      <c r="C892" s="1">
        <v>7</v>
      </c>
      <c r="D892" t="s">
        <v>19</v>
      </c>
      <c r="E892" t="s">
        <v>20</v>
      </c>
      <c r="F892" t="s">
        <v>22</v>
      </c>
      <c r="G892" t="s">
        <v>16</v>
      </c>
      <c r="H892" t="s">
        <v>24</v>
      </c>
      <c r="I892" s="3">
        <v>17173</v>
      </c>
      <c r="J892" s="3" t="str">
        <f t="shared" si="13"/>
        <v>High</v>
      </c>
      <c r="K892" t="b">
        <v>1</v>
      </c>
      <c r="L892" t="b">
        <v>1</v>
      </c>
      <c r="M892" t="b">
        <v>1</v>
      </c>
    </row>
    <row r="893" spans="1:13" x14ac:dyDescent="0.3">
      <c r="A893">
        <v>62</v>
      </c>
      <c r="B893" t="s">
        <v>12</v>
      </c>
      <c r="C893" s="1">
        <v>5</v>
      </c>
      <c r="D893" t="s">
        <v>13</v>
      </c>
      <c r="E893" t="s">
        <v>20</v>
      </c>
      <c r="F893" t="s">
        <v>22</v>
      </c>
      <c r="G893" t="s">
        <v>29</v>
      </c>
      <c r="H893" t="s">
        <v>24</v>
      </c>
      <c r="I893" s="3">
        <v>11259</v>
      </c>
      <c r="J893" s="3" t="str">
        <f t="shared" si="13"/>
        <v>Low</v>
      </c>
      <c r="K893" t="b">
        <v>1</v>
      </c>
      <c r="L893" t="b">
        <v>0</v>
      </c>
      <c r="M893" t="b">
        <v>1</v>
      </c>
    </row>
    <row r="894" spans="1:13" x14ac:dyDescent="0.3">
      <c r="A894">
        <v>35</v>
      </c>
      <c r="B894" t="s">
        <v>12</v>
      </c>
      <c r="C894" s="1">
        <v>9</v>
      </c>
      <c r="D894" t="s">
        <v>13</v>
      </c>
      <c r="E894" t="s">
        <v>14</v>
      </c>
      <c r="F894" t="s">
        <v>27</v>
      </c>
      <c r="G894" t="s">
        <v>16</v>
      </c>
      <c r="H894" t="s">
        <v>21</v>
      </c>
      <c r="I894" s="3">
        <v>15246</v>
      </c>
      <c r="J894" s="3" t="str">
        <f t="shared" si="13"/>
        <v>High</v>
      </c>
      <c r="K894" t="b">
        <v>0</v>
      </c>
      <c r="L894" t="b">
        <v>1</v>
      </c>
      <c r="M894" t="b">
        <v>0</v>
      </c>
    </row>
    <row r="895" spans="1:13" x14ac:dyDescent="0.3">
      <c r="A895">
        <v>55</v>
      </c>
      <c r="B895" t="s">
        <v>18</v>
      </c>
      <c r="C895" s="1">
        <v>3</v>
      </c>
      <c r="D895" t="s">
        <v>19</v>
      </c>
      <c r="E895" t="s">
        <v>26</v>
      </c>
      <c r="F895" t="s">
        <v>27</v>
      </c>
      <c r="G895" t="s">
        <v>16</v>
      </c>
      <c r="H895" t="s">
        <v>21</v>
      </c>
      <c r="I895" s="3">
        <v>17271</v>
      </c>
      <c r="J895" s="3" t="str">
        <f t="shared" si="13"/>
        <v>High</v>
      </c>
      <c r="K895" t="b">
        <v>1</v>
      </c>
      <c r="L895" t="b">
        <v>0</v>
      </c>
      <c r="M895" t="b">
        <v>1</v>
      </c>
    </row>
    <row r="896" spans="1:13" x14ac:dyDescent="0.3">
      <c r="A896">
        <v>52</v>
      </c>
      <c r="B896" t="s">
        <v>18</v>
      </c>
      <c r="C896" s="1">
        <v>1</v>
      </c>
      <c r="D896" t="s">
        <v>13</v>
      </c>
      <c r="E896" t="s">
        <v>26</v>
      </c>
      <c r="F896" t="s">
        <v>27</v>
      </c>
      <c r="G896" t="s">
        <v>29</v>
      </c>
      <c r="H896" t="s">
        <v>21</v>
      </c>
      <c r="I896" s="3">
        <v>10748</v>
      </c>
      <c r="J896" s="3" t="str">
        <f t="shared" si="13"/>
        <v>Low</v>
      </c>
      <c r="K896" t="b">
        <v>0</v>
      </c>
      <c r="L896" t="b">
        <v>0</v>
      </c>
      <c r="M896" t="b">
        <v>1</v>
      </c>
    </row>
    <row r="897" spans="1:13" x14ac:dyDescent="0.3">
      <c r="A897">
        <v>32</v>
      </c>
      <c r="B897" t="s">
        <v>25</v>
      </c>
      <c r="C897" s="1">
        <v>4</v>
      </c>
      <c r="D897" t="s">
        <v>19</v>
      </c>
      <c r="E897" t="s">
        <v>26</v>
      </c>
      <c r="F897" t="s">
        <v>15</v>
      </c>
      <c r="G897" t="s">
        <v>16</v>
      </c>
      <c r="H897" t="s">
        <v>21</v>
      </c>
      <c r="I897" s="3">
        <v>13551</v>
      </c>
      <c r="J897" s="3" t="str">
        <f t="shared" si="13"/>
        <v>Medium</v>
      </c>
      <c r="K897" t="b">
        <v>0</v>
      </c>
      <c r="L897" t="b">
        <v>1</v>
      </c>
      <c r="M897" t="b">
        <v>1</v>
      </c>
    </row>
    <row r="898" spans="1:13" x14ac:dyDescent="0.3">
      <c r="A898">
        <v>42</v>
      </c>
      <c r="B898" t="s">
        <v>18</v>
      </c>
      <c r="C898" s="1">
        <v>9</v>
      </c>
      <c r="D898" t="s">
        <v>28</v>
      </c>
      <c r="E898" t="s">
        <v>26</v>
      </c>
      <c r="F898" t="s">
        <v>22</v>
      </c>
      <c r="G898" t="s">
        <v>23</v>
      </c>
      <c r="H898" t="s">
        <v>21</v>
      </c>
      <c r="I898" s="3">
        <v>16400</v>
      </c>
      <c r="J898" s="3" t="str">
        <f t="shared" si="13"/>
        <v>High</v>
      </c>
      <c r="K898" t="b">
        <v>1</v>
      </c>
      <c r="L898" t="b">
        <v>1</v>
      </c>
      <c r="M898" t="b">
        <v>1</v>
      </c>
    </row>
    <row r="899" spans="1:13" x14ac:dyDescent="0.3">
      <c r="A899">
        <v>54</v>
      </c>
      <c r="B899" t="s">
        <v>18</v>
      </c>
      <c r="C899" s="1">
        <v>4</v>
      </c>
      <c r="D899" t="s">
        <v>28</v>
      </c>
      <c r="E899" t="s">
        <v>20</v>
      </c>
      <c r="F899" t="s">
        <v>27</v>
      </c>
      <c r="G899" t="s">
        <v>23</v>
      </c>
      <c r="H899" t="s">
        <v>24</v>
      </c>
      <c r="I899" s="3">
        <v>16643</v>
      </c>
      <c r="J899" s="3" t="str">
        <f t="shared" ref="J899:J962" si="14">IF(I899&gt;16000, "High", IF(I899&gt;=12000, IF(I899&lt;=15000, "Medium", "High"), "Low"))</f>
        <v>High</v>
      </c>
      <c r="K899" t="b">
        <v>1</v>
      </c>
      <c r="L899" t="b">
        <v>0</v>
      </c>
      <c r="M899" t="b">
        <v>0</v>
      </c>
    </row>
    <row r="900" spans="1:13" x14ac:dyDescent="0.3">
      <c r="A900">
        <v>45</v>
      </c>
      <c r="B900" t="s">
        <v>25</v>
      </c>
      <c r="C900" s="1">
        <v>2</v>
      </c>
      <c r="D900" t="s">
        <v>13</v>
      </c>
      <c r="E900" t="s">
        <v>20</v>
      </c>
      <c r="F900" t="s">
        <v>22</v>
      </c>
      <c r="G900" t="s">
        <v>16</v>
      </c>
      <c r="H900" t="s">
        <v>17</v>
      </c>
      <c r="I900" s="3">
        <v>18701</v>
      </c>
      <c r="J900" s="3" t="str">
        <f t="shared" si="14"/>
        <v>High</v>
      </c>
      <c r="K900" t="b">
        <v>1</v>
      </c>
      <c r="L900" t="b">
        <v>1</v>
      </c>
      <c r="M900" t="b">
        <v>0</v>
      </c>
    </row>
    <row r="901" spans="1:13" x14ac:dyDescent="0.3">
      <c r="A901">
        <v>27</v>
      </c>
      <c r="B901" t="s">
        <v>18</v>
      </c>
      <c r="C901" s="1">
        <v>5</v>
      </c>
      <c r="D901" t="s">
        <v>19</v>
      </c>
      <c r="E901" t="s">
        <v>20</v>
      </c>
      <c r="F901" t="s">
        <v>15</v>
      </c>
      <c r="G901" t="s">
        <v>23</v>
      </c>
      <c r="H901" t="s">
        <v>21</v>
      </c>
      <c r="I901" s="3">
        <v>11823</v>
      </c>
      <c r="J901" s="3" t="str">
        <f t="shared" si="14"/>
        <v>Low</v>
      </c>
      <c r="K901" t="b">
        <v>0</v>
      </c>
      <c r="L901" t="b">
        <v>1</v>
      </c>
      <c r="M901" t="b">
        <v>1</v>
      </c>
    </row>
    <row r="902" spans="1:13" x14ac:dyDescent="0.3">
      <c r="A902">
        <v>56</v>
      </c>
      <c r="B902" t="s">
        <v>18</v>
      </c>
      <c r="C902" s="1">
        <v>3</v>
      </c>
      <c r="D902" t="s">
        <v>19</v>
      </c>
      <c r="E902" t="s">
        <v>26</v>
      </c>
      <c r="F902" t="s">
        <v>15</v>
      </c>
      <c r="G902" t="s">
        <v>29</v>
      </c>
      <c r="H902" t="s">
        <v>21</v>
      </c>
      <c r="I902" s="3">
        <v>16852</v>
      </c>
      <c r="J902" s="3" t="str">
        <f t="shared" si="14"/>
        <v>High</v>
      </c>
      <c r="K902" t="b">
        <v>0</v>
      </c>
      <c r="L902" t="b">
        <v>0</v>
      </c>
      <c r="M902" t="b">
        <v>1</v>
      </c>
    </row>
    <row r="903" spans="1:13" x14ac:dyDescent="0.3">
      <c r="A903">
        <v>34</v>
      </c>
      <c r="B903" t="s">
        <v>18</v>
      </c>
      <c r="C903" s="1">
        <v>9</v>
      </c>
      <c r="D903" t="s">
        <v>28</v>
      </c>
      <c r="E903" t="s">
        <v>20</v>
      </c>
      <c r="F903" t="s">
        <v>27</v>
      </c>
      <c r="G903" t="s">
        <v>16</v>
      </c>
      <c r="H903" t="s">
        <v>17</v>
      </c>
      <c r="I903" s="3">
        <v>17777</v>
      </c>
      <c r="J903" s="3" t="str">
        <f t="shared" si="14"/>
        <v>High</v>
      </c>
      <c r="K903" t="b">
        <v>1</v>
      </c>
      <c r="L903" t="b">
        <v>0</v>
      </c>
      <c r="M903" t="b">
        <v>0</v>
      </c>
    </row>
    <row r="904" spans="1:13" x14ac:dyDescent="0.3">
      <c r="A904">
        <v>56</v>
      </c>
      <c r="B904" t="s">
        <v>18</v>
      </c>
      <c r="C904" s="1">
        <v>4</v>
      </c>
      <c r="D904" t="s">
        <v>28</v>
      </c>
      <c r="E904" t="s">
        <v>20</v>
      </c>
      <c r="F904" t="s">
        <v>27</v>
      </c>
      <c r="G904" t="s">
        <v>16</v>
      </c>
      <c r="H904" t="s">
        <v>17</v>
      </c>
      <c r="I904" s="3">
        <v>14232</v>
      </c>
      <c r="J904" s="3" t="str">
        <f t="shared" si="14"/>
        <v>Medium</v>
      </c>
      <c r="K904" t="b">
        <v>0</v>
      </c>
      <c r="L904" t="b">
        <v>0</v>
      </c>
      <c r="M904" t="b">
        <v>1</v>
      </c>
    </row>
    <row r="905" spans="1:13" x14ac:dyDescent="0.3">
      <c r="A905">
        <v>39</v>
      </c>
      <c r="B905" t="s">
        <v>25</v>
      </c>
      <c r="C905" s="1">
        <v>6</v>
      </c>
      <c r="D905" t="s">
        <v>19</v>
      </c>
      <c r="E905" t="s">
        <v>14</v>
      </c>
      <c r="F905" t="s">
        <v>22</v>
      </c>
      <c r="G905" t="s">
        <v>29</v>
      </c>
      <c r="H905" t="s">
        <v>17</v>
      </c>
      <c r="I905" s="3">
        <v>16519</v>
      </c>
      <c r="J905" s="3" t="str">
        <f t="shared" si="14"/>
        <v>High</v>
      </c>
      <c r="K905" t="b">
        <v>1</v>
      </c>
      <c r="L905" t="b">
        <v>1</v>
      </c>
      <c r="M905" t="b">
        <v>1</v>
      </c>
    </row>
    <row r="906" spans="1:13" x14ac:dyDescent="0.3">
      <c r="A906">
        <v>43</v>
      </c>
      <c r="B906" t="s">
        <v>18</v>
      </c>
      <c r="C906" s="1">
        <v>2</v>
      </c>
      <c r="D906" t="s">
        <v>13</v>
      </c>
      <c r="E906" t="s">
        <v>14</v>
      </c>
      <c r="F906" t="s">
        <v>27</v>
      </c>
      <c r="G906" t="s">
        <v>29</v>
      </c>
      <c r="H906" t="s">
        <v>17</v>
      </c>
      <c r="I906" s="3">
        <v>11777</v>
      </c>
      <c r="J906" s="3" t="str">
        <f t="shared" si="14"/>
        <v>Low</v>
      </c>
      <c r="K906" t="b">
        <v>1</v>
      </c>
      <c r="L906" t="b">
        <v>0</v>
      </c>
      <c r="M906" t="b">
        <v>1</v>
      </c>
    </row>
    <row r="907" spans="1:13" x14ac:dyDescent="0.3">
      <c r="A907">
        <v>61</v>
      </c>
      <c r="B907" t="s">
        <v>18</v>
      </c>
      <c r="C907" s="1">
        <v>6</v>
      </c>
      <c r="D907" t="s">
        <v>28</v>
      </c>
      <c r="E907" t="s">
        <v>20</v>
      </c>
      <c r="F907" t="s">
        <v>22</v>
      </c>
      <c r="G907" t="s">
        <v>29</v>
      </c>
      <c r="H907" t="s">
        <v>17</v>
      </c>
      <c r="I907" s="3">
        <v>11222</v>
      </c>
      <c r="J907" s="3" t="str">
        <f t="shared" si="14"/>
        <v>Low</v>
      </c>
      <c r="K907" t="b">
        <v>0</v>
      </c>
      <c r="L907" t="b">
        <v>0</v>
      </c>
      <c r="M907" t="b">
        <v>0</v>
      </c>
    </row>
    <row r="908" spans="1:13" x14ac:dyDescent="0.3">
      <c r="A908">
        <v>42</v>
      </c>
      <c r="B908" t="s">
        <v>25</v>
      </c>
      <c r="C908" s="1">
        <v>3</v>
      </c>
      <c r="D908" t="s">
        <v>13</v>
      </c>
      <c r="E908" t="s">
        <v>14</v>
      </c>
      <c r="F908" t="s">
        <v>27</v>
      </c>
      <c r="G908" t="s">
        <v>16</v>
      </c>
      <c r="H908" t="s">
        <v>17</v>
      </c>
      <c r="I908" s="3">
        <v>17630</v>
      </c>
      <c r="J908" s="3" t="str">
        <f t="shared" si="14"/>
        <v>High</v>
      </c>
      <c r="K908" t="b">
        <v>0</v>
      </c>
      <c r="L908" t="b">
        <v>0</v>
      </c>
      <c r="M908" t="b">
        <v>0</v>
      </c>
    </row>
    <row r="909" spans="1:13" x14ac:dyDescent="0.3">
      <c r="A909">
        <v>34</v>
      </c>
      <c r="B909" t="s">
        <v>12</v>
      </c>
      <c r="C909" s="1">
        <v>9</v>
      </c>
      <c r="D909" t="s">
        <v>13</v>
      </c>
      <c r="E909" t="s">
        <v>14</v>
      </c>
      <c r="F909" t="s">
        <v>22</v>
      </c>
      <c r="G909" t="s">
        <v>29</v>
      </c>
      <c r="H909" t="s">
        <v>24</v>
      </c>
      <c r="I909" s="3">
        <v>11777</v>
      </c>
      <c r="J909" s="3" t="str">
        <f t="shared" si="14"/>
        <v>Low</v>
      </c>
      <c r="K909" t="b">
        <v>0</v>
      </c>
      <c r="L909" t="b">
        <v>0</v>
      </c>
      <c r="M909" t="b">
        <v>1</v>
      </c>
    </row>
    <row r="910" spans="1:13" x14ac:dyDescent="0.3">
      <c r="A910">
        <v>30</v>
      </c>
      <c r="B910" t="s">
        <v>25</v>
      </c>
      <c r="C910" s="1">
        <v>2</v>
      </c>
      <c r="D910" t="s">
        <v>28</v>
      </c>
      <c r="E910" t="s">
        <v>20</v>
      </c>
      <c r="F910" t="s">
        <v>22</v>
      </c>
      <c r="G910" t="s">
        <v>29</v>
      </c>
      <c r="H910" t="s">
        <v>17</v>
      </c>
      <c r="I910" s="3">
        <v>19496</v>
      </c>
      <c r="J910" s="3" t="str">
        <f t="shared" si="14"/>
        <v>High</v>
      </c>
      <c r="K910" t="b">
        <v>0</v>
      </c>
      <c r="L910" t="b">
        <v>0</v>
      </c>
      <c r="M910" t="b">
        <v>1</v>
      </c>
    </row>
    <row r="911" spans="1:13" x14ac:dyDescent="0.3">
      <c r="A911">
        <v>37</v>
      </c>
      <c r="B911" t="s">
        <v>12</v>
      </c>
      <c r="C911" s="1">
        <v>9</v>
      </c>
      <c r="D911" t="s">
        <v>13</v>
      </c>
      <c r="E911" t="s">
        <v>20</v>
      </c>
      <c r="F911" t="s">
        <v>22</v>
      </c>
      <c r="G911" t="s">
        <v>23</v>
      </c>
      <c r="H911" t="s">
        <v>17</v>
      </c>
      <c r="I911" s="3">
        <v>17490</v>
      </c>
      <c r="J911" s="3" t="str">
        <f t="shared" si="14"/>
        <v>High</v>
      </c>
      <c r="K911" t="b">
        <v>1</v>
      </c>
      <c r="L911" t="b">
        <v>1</v>
      </c>
      <c r="M911" t="b">
        <v>1</v>
      </c>
    </row>
    <row r="912" spans="1:13" x14ac:dyDescent="0.3">
      <c r="A912">
        <v>42</v>
      </c>
      <c r="B912" t="s">
        <v>25</v>
      </c>
      <c r="C912" s="1">
        <v>5</v>
      </c>
      <c r="D912" t="s">
        <v>13</v>
      </c>
      <c r="E912" t="s">
        <v>20</v>
      </c>
      <c r="F912" t="s">
        <v>22</v>
      </c>
      <c r="G912" t="s">
        <v>23</v>
      </c>
      <c r="H912" t="s">
        <v>24</v>
      </c>
      <c r="I912" s="3">
        <v>14859</v>
      </c>
      <c r="J912" s="3" t="str">
        <f t="shared" si="14"/>
        <v>Medium</v>
      </c>
      <c r="K912" t="b">
        <v>1</v>
      </c>
      <c r="L912" t="b">
        <v>0</v>
      </c>
      <c r="M912" t="b">
        <v>1</v>
      </c>
    </row>
    <row r="913" spans="1:13" x14ac:dyDescent="0.3">
      <c r="A913">
        <v>21</v>
      </c>
      <c r="B913" t="s">
        <v>25</v>
      </c>
      <c r="C913" s="1">
        <v>8</v>
      </c>
      <c r="D913" t="s">
        <v>19</v>
      </c>
      <c r="E913" t="s">
        <v>20</v>
      </c>
      <c r="F913" t="s">
        <v>15</v>
      </c>
      <c r="G913" t="s">
        <v>16</v>
      </c>
      <c r="H913" t="s">
        <v>17</v>
      </c>
      <c r="I913" s="3">
        <v>18893</v>
      </c>
      <c r="J913" s="3" t="str">
        <f t="shared" si="14"/>
        <v>High</v>
      </c>
      <c r="K913" t="b">
        <v>1</v>
      </c>
      <c r="L913" t="b">
        <v>0</v>
      </c>
      <c r="M913" t="b">
        <v>1</v>
      </c>
    </row>
    <row r="914" spans="1:13" x14ac:dyDescent="0.3">
      <c r="A914">
        <v>27</v>
      </c>
      <c r="B914" t="s">
        <v>18</v>
      </c>
      <c r="C914" s="1">
        <v>2</v>
      </c>
      <c r="D914" t="s">
        <v>13</v>
      </c>
      <c r="E914" t="s">
        <v>26</v>
      </c>
      <c r="F914" t="s">
        <v>22</v>
      </c>
      <c r="G914" t="s">
        <v>23</v>
      </c>
      <c r="H914" t="s">
        <v>21</v>
      </c>
      <c r="I914" s="3">
        <v>18118</v>
      </c>
      <c r="J914" s="3" t="str">
        <f t="shared" si="14"/>
        <v>High</v>
      </c>
      <c r="K914" t="b">
        <v>0</v>
      </c>
      <c r="L914" t="b">
        <v>1</v>
      </c>
      <c r="M914" t="b">
        <v>1</v>
      </c>
    </row>
    <row r="915" spans="1:13" x14ac:dyDescent="0.3">
      <c r="A915">
        <v>20</v>
      </c>
      <c r="B915" t="s">
        <v>12</v>
      </c>
      <c r="C915" s="1">
        <v>6</v>
      </c>
      <c r="D915" t="s">
        <v>19</v>
      </c>
      <c r="E915" t="s">
        <v>26</v>
      </c>
      <c r="F915" t="s">
        <v>27</v>
      </c>
      <c r="G915" t="s">
        <v>23</v>
      </c>
      <c r="H915" t="s">
        <v>21</v>
      </c>
      <c r="I915" s="3">
        <v>12989</v>
      </c>
      <c r="J915" s="3" t="str">
        <f t="shared" si="14"/>
        <v>Medium</v>
      </c>
      <c r="K915" t="b">
        <v>1</v>
      </c>
      <c r="L915" t="b">
        <v>0</v>
      </c>
      <c r="M915" t="b">
        <v>0</v>
      </c>
    </row>
    <row r="916" spans="1:13" x14ac:dyDescent="0.3">
      <c r="A916">
        <v>58</v>
      </c>
      <c r="B916" t="s">
        <v>18</v>
      </c>
      <c r="C916" s="1">
        <v>3</v>
      </c>
      <c r="D916" t="s">
        <v>28</v>
      </c>
      <c r="E916" t="s">
        <v>20</v>
      </c>
      <c r="F916" t="s">
        <v>15</v>
      </c>
      <c r="G916" t="s">
        <v>29</v>
      </c>
      <c r="H916" t="s">
        <v>17</v>
      </c>
      <c r="I916" s="3">
        <v>18343</v>
      </c>
      <c r="J916" s="3" t="str">
        <f t="shared" si="14"/>
        <v>High</v>
      </c>
      <c r="K916" t="b">
        <v>0</v>
      </c>
      <c r="L916" t="b">
        <v>0</v>
      </c>
      <c r="M916" t="b">
        <v>0</v>
      </c>
    </row>
    <row r="917" spans="1:13" x14ac:dyDescent="0.3">
      <c r="A917">
        <v>62</v>
      </c>
      <c r="B917" t="s">
        <v>12</v>
      </c>
      <c r="C917" s="1">
        <v>5</v>
      </c>
      <c r="D917" t="s">
        <v>28</v>
      </c>
      <c r="E917" t="s">
        <v>14</v>
      </c>
      <c r="F917" t="s">
        <v>15</v>
      </c>
      <c r="G917" t="s">
        <v>29</v>
      </c>
      <c r="H917" t="s">
        <v>24</v>
      </c>
      <c r="I917" s="3">
        <v>11325</v>
      </c>
      <c r="J917" s="3" t="str">
        <f t="shared" si="14"/>
        <v>Low</v>
      </c>
      <c r="K917" t="b">
        <v>0</v>
      </c>
      <c r="L917" t="b">
        <v>1</v>
      </c>
      <c r="M917" t="b">
        <v>1</v>
      </c>
    </row>
    <row r="918" spans="1:13" x14ac:dyDescent="0.3">
      <c r="A918">
        <v>35</v>
      </c>
      <c r="B918" t="s">
        <v>25</v>
      </c>
      <c r="C918" s="1">
        <v>8</v>
      </c>
      <c r="D918" t="s">
        <v>19</v>
      </c>
      <c r="E918" t="s">
        <v>20</v>
      </c>
      <c r="F918" t="s">
        <v>22</v>
      </c>
      <c r="G918" t="s">
        <v>23</v>
      </c>
      <c r="H918" t="s">
        <v>21</v>
      </c>
      <c r="I918" s="3">
        <v>19493</v>
      </c>
      <c r="J918" s="3" t="str">
        <f t="shared" si="14"/>
        <v>High</v>
      </c>
      <c r="K918" t="b">
        <v>0</v>
      </c>
      <c r="L918" t="b">
        <v>0</v>
      </c>
      <c r="M918" t="b">
        <v>0</v>
      </c>
    </row>
    <row r="919" spans="1:13" x14ac:dyDescent="0.3">
      <c r="A919">
        <v>64</v>
      </c>
      <c r="B919" t="s">
        <v>25</v>
      </c>
      <c r="C919" s="1">
        <v>1</v>
      </c>
      <c r="D919" t="s">
        <v>28</v>
      </c>
      <c r="E919" t="s">
        <v>20</v>
      </c>
      <c r="F919" t="s">
        <v>15</v>
      </c>
      <c r="G919" t="s">
        <v>23</v>
      </c>
      <c r="H919" t="s">
        <v>24</v>
      </c>
      <c r="I919" s="3">
        <v>19903</v>
      </c>
      <c r="J919" s="3" t="str">
        <f t="shared" si="14"/>
        <v>High</v>
      </c>
      <c r="K919" t="b">
        <v>1</v>
      </c>
      <c r="L919" t="b">
        <v>1</v>
      </c>
      <c r="M919" t="b">
        <v>1</v>
      </c>
    </row>
    <row r="920" spans="1:13" x14ac:dyDescent="0.3">
      <c r="A920">
        <v>53</v>
      </c>
      <c r="B920" t="s">
        <v>12</v>
      </c>
      <c r="C920" s="1">
        <v>5</v>
      </c>
      <c r="D920" t="s">
        <v>13</v>
      </c>
      <c r="E920" t="s">
        <v>14</v>
      </c>
      <c r="F920" t="s">
        <v>22</v>
      </c>
      <c r="G920" t="s">
        <v>23</v>
      </c>
      <c r="H920" t="s">
        <v>21</v>
      </c>
      <c r="I920" s="3">
        <v>15127</v>
      </c>
      <c r="J920" s="3" t="str">
        <f t="shared" si="14"/>
        <v>High</v>
      </c>
      <c r="K920" t="b">
        <v>0</v>
      </c>
      <c r="L920" t="b">
        <v>0</v>
      </c>
      <c r="M920" t="b">
        <v>1</v>
      </c>
    </row>
    <row r="921" spans="1:13" x14ac:dyDescent="0.3">
      <c r="A921">
        <v>64</v>
      </c>
      <c r="B921" t="s">
        <v>18</v>
      </c>
      <c r="C921" s="1">
        <v>3</v>
      </c>
      <c r="D921" t="s">
        <v>13</v>
      </c>
      <c r="E921" t="s">
        <v>26</v>
      </c>
      <c r="F921" t="s">
        <v>27</v>
      </c>
      <c r="G921" t="s">
        <v>16</v>
      </c>
      <c r="H921" t="s">
        <v>17</v>
      </c>
      <c r="I921" s="3">
        <v>18998</v>
      </c>
      <c r="J921" s="3" t="str">
        <f t="shared" si="14"/>
        <v>High</v>
      </c>
      <c r="K921" t="b">
        <v>0</v>
      </c>
      <c r="L921" t="b">
        <v>1</v>
      </c>
      <c r="M921" t="b">
        <v>0</v>
      </c>
    </row>
    <row r="922" spans="1:13" x14ac:dyDescent="0.3">
      <c r="A922">
        <v>39</v>
      </c>
      <c r="B922" t="s">
        <v>18</v>
      </c>
      <c r="C922" s="1">
        <v>4</v>
      </c>
      <c r="D922" t="s">
        <v>13</v>
      </c>
      <c r="E922" t="s">
        <v>20</v>
      </c>
      <c r="F922" t="s">
        <v>22</v>
      </c>
      <c r="G922" t="s">
        <v>16</v>
      </c>
      <c r="H922" t="s">
        <v>24</v>
      </c>
      <c r="I922" s="3">
        <v>12722</v>
      </c>
      <c r="J922" s="3" t="str">
        <f t="shared" si="14"/>
        <v>Medium</v>
      </c>
      <c r="K922" t="b">
        <v>0</v>
      </c>
      <c r="L922" t="b">
        <v>1</v>
      </c>
      <c r="M922" t="b">
        <v>0</v>
      </c>
    </row>
    <row r="923" spans="1:13" x14ac:dyDescent="0.3">
      <c r="A923">
        <v>51</v>
      </c>
      <c r="B923" t="s">
        <v>18</v>
      </c>
      <c r="C923" s="1">
        <v>2</v>
      </c>
      <c r="D923" t="s">
        <v>28</v>
      </c>
      <c r="E923" t="s">
        <v>20</v>
      </c>
      <c r="F923" t="s">
        <v>15</v>
      </c>
      <c r="G923" t="s">
        <v>16</v>
      </c>
      <c r="H923" t="s">
        <v>24</v>
      </c>
      <c r="I923" s="3">
        <v>14656</v>
      </c>
      <c r="J923" s="3" t="str">
        <f t="shared" si="14"/>
        <v>Medium</v>
      </c>
      <c r="K923" t="b">
        <v>0</v>
      </c>
      <c r="L923" t="b">
        <v>0</v>
      </c>
      <c r="M923" t="b">
        <v>1</v>
      </c>
    </row>
    <row r="924" spans="1:13" x14ac:dyDescent="0.3">
      <c r="A924">
        <v>64</v>
      </c>
      <c r="B924" t="s">
        <v>18</v>
      </c>
      <c r="C924" s="1">
        <v>9</v>
      </c>
      <c r="D924" t="s">
        <v>13</v>
      </c>
      <c r="E924" t="s">
        <v>26</v>
      </c>
      <c r="F924" t="s">
        <v>27</v>
      </c>
      <c r="G924" t="s">
        <v>23</v>
      </c>
      <c r="H924" t="s">
        <v>24</v>
      </c>
      <c r="I924" s="3">
        <v>11325</v>
      </c>
      <c r="J924" s="3" t="str">
        <f t="shared" si="14"/>
        <v>Low</v>
      </c>
      <c r="K924" t="b">
        <v>0</v>
      </c>
      <c r="L924" t="b">
        <v>1</v>
      </c>
      <c r="M924" t="b">
        <v>1</v>
      </c>
    </row>
    <row r="925" spans="1:13" x14ac:dyDescent="0.3">
      <c r="A925">
        <v>25</v>
      </c>
      <c r="B925" t="s">
        <v>25</v>
      </c>
      <c r="C925" s="1">
        <v>3</v>
      </c>
      <c r="D925" t="s">
        <v>28</v>
      </c>
      <c r="E925" t="s">
        <v>26</v>
      </c>
      <c r="F925" t="s">
        <v>22</v>
      </c>
      <c r="G925" t="s">
        <v>23</v>
      </c>
      <c r="H925" t="s">
        <v>21</v>
      </c>
      <c r="I925" s="3">
        <v>14133</v>
      </c>
      <c r="J925" s="3" t="str">
        <f t="shared" si="14"/>
        <v>Medium</v>
      </c>
      <c r="K925" t="b">
        <v>0</v>
      </c>
      <c r="L925" t="b">
        <v>1</v>
      </c>
      <c r="M925" t="b">
        <v>0</v>
      </c>
    </row>
    <row r="926" spans="1:13" x14ac:dyDescent="0.3">
      <c r="A926">
        <v>57</v>
      </c>
      <c r="B926" t="s">
        <v>25</v>
      </c>
      <c r="C926" s="1">
        <v>2</v>
      </c>
      <c r="D926" t="s">
        <v>13</v>
      </c>
      <c r="E926" t="s">
        <v>14</v>
      </c>
      <c r="F926" t="s">
        <v>27</v>
      </c>
      <c r="G926" t="s">
        <v>16</v>
      </c>
      <c r="H926" t="s">
        <v>21</v>
      </c>
      <c r="I926" s="3">
        <v>19351</v>
      </c>
      <c r="J926" s="3" t="str">
        <f t="shared" si="14"/>
        <v>High</v>
      </c>
      <c r="K926" t="b">
        <v>0</v>
      </c>
      <c r="L926" t="b">
        <v>0</v>
      </c>
      <c r="M926" t="b">
        <v>0</v>
      </c>
    </row>
    <row r="927" spans="1:13" x14ac:dyDescent="0.3">
      <c r="A927">
        <v>61</v>
      </c>
      <c r="B927" t="s">
        <v>25</v>
      </c>
      <c r="C927" s="1">
        <v>9</v>
      </c>
      <c r="D927" t="s">
        <v>19</v>
      </c>
      <c r="E927" t="s">
        <v>26</v>
      </c>
      <c r="F927" t="s">
        <v>27</v>
      </c>
      <c r="G927" t="s">
        <v>16</v>
      </c>
      <c r="H927" t="s">
        <v>21</v>
      </c>
      <c r="I927" s="3">
        <v>12869</v>
      </c>
      <c r="J927" s="3" t="str">
        <f t="shared" si="14"/>
        <v>Medium</v>
      </c>
      <c r="K927" t="b">
        <v>0</v>
      </c>
      <c r="L927" t="b">
        <v>0</v>
      </c>
      <c r="M927" t="b">
        <v>1</v>
      </c>
    </row>
    <row r="928" spans="1:13" x14ac:dyDescent="0.3">
      <c r="A928">
        <v>36</v>
      </c>
      <c r="B928" t="s">
        <v>25</v>
      </c>
      <c r="C928" s="1">
        <v>7</v>
      </c>
      <c r="D928" t="s">
        <v>28</v>
      </c>
      <c r="E928" t="s">
        <v>26</v>
      </c>
      <c r="F928" t="s">
        <v>15</v>
      </c>
      <c r="G928" t="s">
        <v>23</v>
      </c>
      <c r="H928" t="s">
        <v>17</v>
      </c>
      <c r="I928" s="3">
        <v>11242</v>
      </c>
      <c r="J928" s="3" t="str">
        <f t="shared" si="14"/>
        <v>Low</v>
      </c>
      <c r="K928" t="b">
        <v>0</v>
      </c>
      <c r="L928" t="b">
        <v>1</v>
      </c>
      <c r="M928" t="b">
        <v>1</v>
      </c>
    </row>
    <row r="929" spans="1:13" x14ac:dyDescent="0.3">
      <c r="A929">
        <v>59</v>
      </c>
      <c r="B929" t="s">
        <v>25</v>
      </c>
      <c r="C929" s="1">
        <v>6</v>
      </c>
      <c r="D929" t="s">
        <v>28</v>
      </c>
      <c r="E929" t="s">
        <v>26</v>
      </c>
      <c r="F929" t="s">
        <v>27</v>
      </c>
      <c r="G929" t="s">
        <v>29</v>
      </c>
      <c r="H929" t="s">
        <v>21</v>
      </c>
      <c r="I929" s="3">
        <v>18539</v>
      </c>
      <c r="J929" s="3" t="str">
        <f t="shared" si="14"/>
        <v>High</v>
      </c>
      <c r="K929" t="b">
        <v>0</v>
      </c>
      <c r="L929" t="b">
        <v>0</v>
      </c>
      <c r="M929" t="b">
        <v>1</v>
      </c>
    </row>
    <row r="930" spans="1:13" x14ac:dyDescent="0.3">
      <c r="A930">
        <v>58</v>
      </c>
      <c r="B930" t="s">
        <v>18</v>
      </c>
      <c r="C930" s="1">
        <v>1</v>
      </c>
      <c r="D930" t="s">
        <v>13</v>
      </c>
      <c r="E930" t="s">
        <v>14</v>
      </c>
      <c r="F930" t="s">
        <v>15</v>
      </c>
      <c r="G930" t="s">
        <v>16</v>
      </c>
      <c r="H930" t="s">
        <v>17</v>
      </c>
      <c r="I930" s="3">
        <v>11831</v>
      </c>
      <c r="J930" s="3" t="str">
        <f t="shared" si="14"/>
        <v>Low</v>
      </c>
      <c r="K930" t="b">
        <v>0</v>
      </c>
      <c r="L930" t="b">
        <v>1</v>
      </c>
      <c r="M930" t="b">
        <v>0</v>
      </c>
    </row>
    <row r="931" spans="1:13" x14ac:dyDescent="0.3">
      <c r="A931">
        <v>54</v>
      </c>
      <c r="B931" t="s">
        <v>18</v>
      </c>
      <c r="C931" s="1">
        <v>5</v>
      </c>
      <c r="D931" t="s">
        <v>28</v>
      </c>
      <c r="E931" t="s">
        <v>26</v>
      </c>
      <c r="F931" t="s">
        <v>27</v>
      </c>
      <c r="G931" t="s">
        <v>23</v>
      </c>
      <c r="H931" t="s">
        <v>24</v>
      </c>
      <c r="I931" s="3">
        <v>11569</v>
      </c>
      <c r="J931" s="3" t="str">
        <f t="shared" si="14"/>
        <v>Low</v>
      </c>
      <c r="K931" t="b">
        <v>0</v>
      </c>
      <c r="L931" t="b">
        <v>1</v>
      </c>
      <c r="M931" t="b">
        <v>1</v>
      </c>
    </row>
    <row r="932" spans="1:13" x14ac:dyDescent="0.3">
      <c r="A932">
        <v>23</v>
      </c>
      <c r="B932" t="s">
        <v>18</v>
      </c>
      <c r="C932" s="1">
        <v>3</v>
      </c>
      <c r="D932" t="s">
        <v>28</v>
      </c>
      <c r="E932" t="s">
        <v>26</v>
      </c>
      <c r="F932" t="s">
        <v>22</v>
      </c>
      <c r="G932" t="s">
        <v>23</v>
      </c>
      <c r="H932" t="s">
        <v>24</v>
      </c>
      <c r="I932" s="3">
        <v>17246</v>
      </c>
      <c r="J932" s="3" t="str">
        <f t="shared" si="14"/>
        <v>High</v>
      </c>
      <c r="K932" t="b">
        <v>1</v>
      </c>
      <c r="L932" t="b">
        <v>0</v>
      </c>
      <c r="M932" t="b">
        <v>0</v>
      </c>
    </row>
    <row r="933" spans="1:13" x14ac:dyDescent="0.3">
      <c r="A933">
        <v>43</v>
      </c>
      <c r="B933" t="s">
        <v>18</v>
      </c>
      <c r="C933" s="1">
        <v>1</v>
      </c>
      <c r="D933" t="s">
        <v>19</v>
      </c>
      <c r="E933" t="s">
        <v>14</v>
      </c>
      <c r="F933" t="s">
        <v>27</v>
      </c>
      <c r="G933" t="s">
        <v>29</v>
      </c>
      <c r="H933" t="s">
        <v>17</v>
      </c>
      <c r="I933" s="3">
        <v>11918</v>
      </c>
      <c r="J933" s="3" t="str">
        <f t="shared" si="14"/>
        <v>Low</v>
      </c>
      <c r="K933" t="b">
        <v>1</v>
      </c>
      <c r="L933" t="b">
        <v>0</v>
      </c>
      <c r="M933" t="b">
        <v>1</v>
      </c>
    </row>
    <row r="934" spans="1:13" x14ac:dyDescent="0.3">
      <c r="A934">
        <v>51</v>
      </c>
      <c r="B934" t="s">
        <v>25</v>
      </c>
      <c r="C934" s="1">
        <v>4</v>
      </c>
      <c r="D934" t="s">
        <v>19</v>
      </c>
      <c r="E934" t="s">
        <v>26</v>
      </c>
      <c r="F934" t="s">
        <v>22</v>
      </c>
      <c r="G934" t="s">
        <v>23</v>
      </c>
      <c r="H934" t="s">
        <v>21</v>
      </c>
      <c r="I934" s="3">
        <v>16416</v>
      </c>
      <c r="J934" s="3" t="str">
        <f t="shared" si="14"/>
        <v>High</v>
      </c>
      <c r="K934" t="b">
        <v>0</v>
      </c>
      <c r="L934" t="b">
        <v>1</v>
      </c>
      <c r="M934" t="b">
        <v>0</v>
      </c>
    </row>
    <row r="935" spans="1:13" x14ac:dyDescent="0.3">
      <c r="A935">
        <v>62</v>
      </c>
      <c r="B935" t="s">
        <v>25</v>
      </c>
      <c r="C935" s="1">
        <v>2</v>
      </c>
      <c r="D935" t="s">
        <v>13</v>
      </c>
      <c r="E935" t="s">
        <v>26</v>
      </c>
      <c r="F935" t="s">
        <v>22</v>
      </c>
      <c r="G935" t="s">
        <v>23</v>
      </c>
      <c r="H935" t="s">
        <v>17</v>
      </c>
      <c r="I935" s="3">
        <v>13232</v>
      </c>
      <c r="J935" s="3" t="str">
        <f t="shared" si="14"/>
        <v>Medium</v>
      </c>
      <c r="K935" t="b">
        <v>0</v>
      </c>
      <c r="L935" t="b">
        <v>0</v>
      </c>
      <c r="M935" t="b">
        <v>0</v>
      </c>
    </row>
    <row r="936" spans="1:13" x14ac:dyDescent="0.3">
      <c r="A936">
        <v>23</v>
      </c>
      <c r="B936" t="s">
        <v>25</v>
      </c>
      <c r="C936" s="1">
        <v>2</v>
      </c>
      <c r="D936" t="s">
        <v>19</v>
      </c>
      <c r="E936" t="s">
        <v>14</v>
      </c>
      <c r="F936" t="s">
        <v>27</v>
      </c>
      <c r="G936" t="s">
        <v>16</v>
      </c>
      <c r="H936" t="s">
        <v>24</v>
      </c>
      <c r="I936" s="3">
        <v>13758</v>
      </c>
      <c r="J936" s="3" t="str">
        <f t="shared" si="14"/>
        <v>Medium</v>
      </c>
      <c r="K936" t="b">
        <v>0</v>
      </c>
      <c r="L936" t="b">
        <v>0</v>
      </c>
      <c r="M936" t="b">
        <v>0</v>
      </c>
    </row>
    <row r="937" spans="1:13" x14ac:dyDescent="0.3">
      <c r="A937">
        <v>54</v>
      </c>
      <c r="B937" t="s">
        <v>12</v>
      </c>
      <c r="C937" s="1">
        <v>3</v>
      </c>
      <c r="D937" t="s">
        <v>13</v>
      </c>
      <c r="E937" t="s">
        <v>20</v>
      </c>
      <c r="F937" t="s">
        <v>22</v>
      </c>
      <c r="G937" t="s">
        <v>16</v>
      </c>
      <c r="H937" t="s">
        <v>24</v>
      </c>
      <c r="I937" s="3">
        <v>15997</v>
      </c>
      <c r="J937" s="3" t="str">
        <f t="shared" si="14"/>
        <v>High</v>
      </c>
      <c r="K937" t="b">
        <v>1</v>
      </c>
      <c r="L937" t="b">
        <v>1</v>
      </c>
      <c r="M937" t="b">
        <v>0</v>
      </c>
    </row>
    <row r="938" spans="1:13" x14ac:dyDescent="0.3">
      <c r="A938">
        <v>50</v>
      </c>
      <c r="B938" t="s">
        <v>18</v>
      </c>
      <c r="C938" s="1">
        <v>8</v>
      </c>
      <c r="D938" t="s">
        <v>13</v>
      </c>
      <c r="E938" t="s">
        <v>14</v>
      </c>
      <c r="F938" t="s">
        <v>27</v>
      </c>
      <c r="G938" t="s">
        <v>29</v>
      </c>
      <c r="H938" t="s">
        <v>17</v>
      </c>
      <c r="I938" s="3">
        <v>12355</v>
      </c>
      <c r="J938" s="3" t="str">
        <f t="shared" si="14"/>
        <v>Medium</v>
      </c>
      <c r="K938" t="b">
        <v>1</v>
      </c>
      <c r="L938" t="b">
        <v>1</v>
      </c>
      <c r="M938" t="b">
        <v>1</v>
      </c>
    </row>
    <row r="939" spans="1:13" x14ac:dyDescent="0.3">
      <c r="A939">
        <v>39</v>
      </c>
      <c r="B939" t="s">
        <v>18</v>
      </c>
      <c r="C939" s="1">
        <v>8</v>
      </c>
      <c r="D939" t="s">
        <v>13</v>
      </c>
      <c r="E939" t="s">
        <v>26</v>
      </c>
      <c r="F939" t="s">
        <v>27</v>
      </c>
      <c r="G939" t="s">
        <v>29</v>
      </c>
      <c r="H939" t="s">
        <v>21</v>
      </c>
      <c r="I939" s="3">
        <v>19589</v>
      </c>
      <c r="J939" s="3" t="str">
        <f t="shared" si="14"/>
        <v>High</v>
      </c>
      <c r="K939" t="b">
        <v>1</v>
      </c>
      <c r="L939" t="b">
        <v>1</v>
      </c>
      <c r="M939" t="b">
        <v>0</v>
      </c>
    </row>
    <row r="940" spans="1:13" x14ac:dyDescent="0.3">
      <c r="A940">
        <v>38</v>
      </c>
      <c r="B940" t="s">
        <v>25</v>
      </c>
      <c r="C940" s="1">
        <v>7</v>
      </c>
      <c r="D940" t="s">
        <v>28</v>
      </c>
      <c r="E940" t="s">
        <v>26</v>
      </c>
      <c r="F940" t="s">
        <v>22</v>
      </c>
      <c r="G940" t="s">
        <v>23</v>
      </c>
      <c r="H940" t="s">
        <v>21</v>
      </c>
      <c r="I940" s="3">
        <v>11824</v>
      </c>
      <c r="J940" s="3" t="str">
        <f t="shared" si="14"/>
        <v>Low</v>
      </c>
      <c r="K940" t="b">
        <v>0</v>
      </c>
      <c r="L940" t="b">
        <v>1</v>
      </c>
      <c r="M940" t="b">
        <v>0</v>
      </c>
    </row>
    <row r="941" spans="1:13" x14ac:dyDescent="0.3">
      <c r="A941">
        <v>23</v>
      </c>
      <c r="B941" t="s">
        <v>18</v>
      </c>
      <c r="C941" s="1">
        <v>6</v>
      </c>
      <c r="D941" t="s">
        <v>19</v>
      </c>
      <c r="E941" t="s">
        <v>26</v>
      </c>
      <c r="F941" t="s">
        <v>22</v>
      </c>
      <c r="G941" t="s">
        <v>16</v>
      </c>
      <c r="H941" t="s">
        <v>17</v>
      </c>
      <c r="I941" s="3">
        <v>17280</v>
      </c>
      <c r="J941" s="3" t="str">
        <f t="shared" si="14"/>
        <v>High</v>
      </c>
      <c r="K941" t="b">
        <v>0</v>
      </c>
      <c r="L941" t="b">
        <v>1</v>
      </c>
      <c r="M941" t="b">
        <v>0</v>
      </c>
    </row>
    <row r="942" spans="1:13" x14ac:dyDescent="0.3">
      <c r="A942">
        <v>23</v>
      </c>
      <c r="B942" t="s">
        <v>18</v>
      </c>
      <c r="C942" s="1">
        <v>9</v>
      </c>
      <c r="D942" t="s">
        <v>13</v>
      </c>
      <c r="E942" t="s">
        <v>14</v>
      </c>
      <c r="F942" t="s">
        <v>15</v>
      </c>
      <c r="G942" t="s">
        <v>29</v>
      </c>
      <c r="H942" t="s">
        <v>17</v>
      </c>
      <c r="I942" s="3">
        <v>14060</v>
      </c>
      <c r="J942" s="3" t="str">
        <f t="shared" si="14"/>
        <v>Medium</v>
      </c>
      <c r="K942" t="b">
        <v>0</v>
      </c>
      <c r="L942" t="b">
        <v>1</v>
      </c>
      <c r="M942" t="b">
        <v>1</v>
      </c>
    </row>
    <row r="943" spans="1:13" x14ac:dyDescent="0.3">
      <c r="A943">
        <v>21</v>
      </c>
      <c r="B943" t="s">
        <v>25</v>
      </c>
      <c r="C943" s="1">
        <v>4</v>
      </c>
      <c r="D943" t="s">
        <v>19</v>
      </c>
      <c r="E943" t="s">
        <v>26</v>
      </c>
      <c r="F943" t="s">
        <v>22</v>
      </c>
      <c r="G943" t="s">
        <v>29</v>
      </c>
      <c r="H943" t="s">
        <v>21</v>
      </c>
      <c r="I943" s="3">
        <v>15324</v>
      </c>
      <c r="J943" s="3" t="str">
        <f t="shared" si="14"/>
        <v>High</v>
      </c>
      <c r="K943" t="b">
        <v>0</v>
      </c>
      <c r="L943" t="b">
        <v>0</v>
      </c>
      <c r="M943" t="b">
        <v>1</v>
      </c>
    </row>
    <row r="944" spans="1:13" x14ac:dyDescent="0.3">
      <c r="A944">
        <v>47</v>
      </c>
      <c r="B944" t="s">
        <v>12</v>
      </c>
      <c r="C944" s="1">
        <v>1</v>
      </c>
      <c r="D944" t="s">
        <v>13</v>
      </c>
      <c r="E944" t="s">
        <v>26</v>
      </c>
      <c r="F944" t="s">
        <v>15</v>
      </c>
      <c r="G944" t="s">
        <v>29</v>
      </c>
      <c r="H944" t="s">
        <v>24</v>
      </c>
      <c r="I944" s="3">
        <v>10404</v>
      </c>
      <c r="J944" s="3" t="str">
        <f t="shared" si="14"/>
        <v>Low</v>
      </c>
      <c r="K944" t="b">
        <v>1</v>
      </c>
      <c r="L944" t="b">
        <v>1</v>
      </c>
      <c r="M944" t="b">
        <v>1</v>
      </c>
    </row>
    <row r="945" spans="1:13" x14ac:dyDescent="0.3">
      <c r="A945">
        <v>28</v>
      </c>
      <c r="B945" t="s">
        <v>12</v>
      </c>
      <c r="C945" s="1">
        <v>8</v>
      </c>
      <c r="D945" t="s">
        <v>19</v>
      </c>
      <c r="E945" t="s">
        <v>14</v>
      </c>
      <c r="F945" t="s">
        <v>22</v>
      </c>
      <c r="G945" t="s">
        <v>23</v>
      </c>
      <c r="H945" t="s">
        <v>17</v>
      </c>
      <c r="I945" s="3">
        <v>11721</v>
      </c>
      <c r="J945" s="3" t="str">
        <f t="shared" si="14"/>
        <v>Low</v>
      </c>
      <c r="K945" t="b">
        <v>0</v>
      </c>
      <c r="L945" t="b">
        <v>0</v>
      </c>
      <c r="M945" t="b">
        <v>1</v>
      </c>
    </row>
    <row r="946" spans="1:13" x14ac:dyDescent="0.3">
      <c r="A946">
        <v>47</v>
      </c>
      <c r="B946" t="s">
        <v>12</v>
      </c>
      <c r="C946" s="1">
        <v>7</v>
      </c>
      <c r="D946" t="s">
        <v>19</v>
      </c>
      <c r="E946" t="s">
        <v>20</v>
      </c>
      <c r="F946" t="s">
        <v>27</v>
      </c>
      <c r="G946" t="s">
        <v>16</v>
      </c>
      <c r="H946" t="s">
        <v>21</v>
      </c>
      <c r="I946" s="3">
        <v>15316</v>
      </c>
      <c r="J946" s="3" t="str">
        <f t="shared" si="14"/>
        <v>High</v>
      </c>
      <c r="K946" t="b">
        <v>1</v>
      </c>
      <c r="L946" t="b">
        <v>0</v>
      </c>
      <c r="M946" t="b">
        <v>1</v>
      </c>
    </row>
    <row r="947" spans="1:13" x14ac:dyDescent="0.3">
      <c r="A947">
        <v>48</v>
      </c>
      <c r="B947" t="s">
        <v>25</v>
      </c>
      <c r="C947" s="1">
        <v>7</v>
      </c>
      <c r="D947" t="s">
        <v>13</v>
      </c>
      <c r="E947" t="s">
        <v>20</v>
      </c>
      <c r="F947" t="s">
        <v>22</v>
      </c>
      <c r="G947" t="s">
        <v>29</v>
      </c>
      <c r="H947" t="s">
        <v>21</v>
      </c>
      <c r="I947" s="3">
        <v>13845</v>
      </c>
      <c r="J947" s="3" t="str">
        <f t="shared" si="14"/>
        <v>Medium</v>
      </c>
      <c r="K947" t="b">
        <v>1</v>
      </c>
      <c r="L947" t="b">
        <v>1</v>
      </c>
      <c r="M947" t="b">
        <v>1</v>
      </c>
    </row>
    <row r="948" spans="1:13" x14ac:dyDescent="0.3">
      <c r="A948">
        <v>41</v>
      </c>
      <c r="B948" t="s">
        <v>18</v>
      </c>
      <c r="C948" s="1">
        <v>3</v>
      </c>
      <c r="D948" t="s">
        <v>28</v>
      </c>
      <c r="E948" t="s">
        <v>26</v>
      </c>
      <c r="F948" t="s">
        <v>27</v>
      </c>
      <c r="G948" t="s">
        <v>16</v>
      </c>
      <c r="H948" t="s">
        <v>24</v>
      </c>
      <c r="I948" s="3">
        <v>14210</v>
      </c>
      <c r="J948" s="3" t="str">
        <f t="shared" si="14"/>
        <v>Medium</v>
      </c>
      <c r="K948" t="b">
        <v>0</v>
      </c>
      <c r="L948" t="b">
        <v>0</v>
      </c>
      <c r="M948" t="b">
        <v>0</v>
      </c>
    </row>
    <row r="949" spans="1:13" x14ac:dyDescent="0.3">
      <c r="A949">
        <v>26</v>
      </c>
      <c r="B949" t="s">
        <v>25</v>
      </c>
      <c r="C949" s="1">
        <v>4</v>
      </c>
      <c r="D949" t="s">
        <v>19</v>
      </c>
      <c r="E949" t="s">
        <v>14</v>
      </c>
      <c r="F949" t="s">
        <v>27</v>
      </c>
      <c r="G949" t="s">
        <v>29</v>
      </c>
      <c r="H949" t="s">
        <v>24</v>
      </c>
      <c r="I949" s="3">
        <v>10064</v>
      </c>
      <c r="J949" s="3" t="str">
        <f t="shared" si="14"/>
        <v>Low</v>
      </c>
      <c r="K949" t="b">
        <v>1</v>
      </c>
      <c r="L949" t="b">
        <v>1</v>
      </c>
      <c r="M949" t="b">
        <v>0</v>
      </c>
    </row>
    <row r="950" spans="1:13" x14ac:dyDescent="0.3">
      <c r="A950">
        <v>20</v>
      </c>
      <c r="B950" t="s">
        <v>25</v>
      </c>
      <c r="C950" s="1">
        <v>9</v>
      </c>
      <c r="D950" t="s">
        <v>28</v>
      </c>
      <c r="E950" t="s">
        <v>26</v>
      </c>
      <c r="F950" t="s">
        <v>27</v>
      </c>
      <c r="G950" t="s">
        <v>29</v>
      </c>
      <c r="H950" t="s">
        <v>24</v>
      </c>
      <c r="I950" s="3">
        <v>19491</v>
      </c>
      <c r="J950" s="3" t="str">
        <f t="shared" si="14"/>
        <v>High</v>
      </c>
      <c r="K950" t="b">
        <v>1</v>
      </c>
      <c r="L950" t="b">
        <v>0</v>
      </c>
      <c r="M950" t="b">
        <v>0</v>
      </c>
    </row>
    <row r="951" spans="1:13" x14ac:dyDescent="0.3">
      <c r="A951">
        <v>48</v>
      </c>
      <c r="B951" t="s">
        <v>18</v>
      </c>
      <c r="C951" s="1">
        <v>6</v>
      </c>
      <c r="D951" t="s">
        <v>28</v>
      </c>
      <c r="E951" t="s">
        <v>14</v>
      </c>
      <c r="F951" t="s">
        <v>15</v>
      </c>
      <c r="G951" t="s">
        <v>16</v>
      </c>
      <c r="H951" t="s">
        <v>24</v>
      </c>
      <c r="I951" s="3">
        <v>16382</v>
      </c>
      <c r="J951" s="3" t="str">
        <f t="shared" si="14"/>
        <v>High</v>
      </c>
      <c r="K951" t="b">
        <v>1</v>
      </c>
      <c r="L951" t="b">
        <v>1</v>
      </c>
      <c r="M951" t="b">
        <v>1</v>
      </c>
    </row>
    <row r="952" spans="1:13" x14ac:dyDescent="0.3">
      <c r="A952">
        <v>57</v>
      </c>
      <c r="B952" t="s">
        <v>12</v>
      </c>
      <c r="C952" s="1">
        <v>5</v>
      </c>
      <c r="D952" t="s">
        <v>13</v>
      </c>
      <c r="E952" t="s">
        <v>14</v>
      </c>
      <c r="F952" t="s">
        <v>22</v>
      </c>
      <c r="G952" t="s">
        <v>16</v>
      </c>
      <c r="H952" t="s">
        <v>24</v>
      </c>
      <c r="I952" s="3">
        <v>19607</v>
      </c>
      <c r="J952" s="3" t="str">
        <f t="shared" si="14"/>
        <v>High</v>
      </c>
      <c r="K952" t="b">
        <v>1</v>
      </c>
      <c r="L952" t="b">
        <v>1</v>
      </c>
      <c r="M952" t="b">
        <v>0</v>
      </c>
    </row>
    <row r="953" spans="1:13" x14ac:dyDescent="0.3">
      <c r="A953">
        <v>54</v>
      </c>
      <c r="B953" t="s">
        <v>12</v>
      </c>
      <c r="C953" s="1">
        <v>3</v>
      </c>
      <c r="D953" t="s">
        <v>13</v>
      </c>
      <c r="E953" t="s">
        <v>20</v>
      </c>
      <c r="F953" t="s">
        <v>27</v>
      </c>
      <c r="G953" t="s">
        <v>16</v>
      </c>
      <c r="H953" t="s">
        <v>17</v>
      </c>
      <c r="I953" s="3">
        <v>10968</v>
      </c>
      <c r="J953" s="3" t="str">
        <f t="shared" si="14"/>
        <v>Low</v>
      </c>
      <c r="K953" t="b">
        <v>0</v>
      </c>
      <c r="L953" t="b">
        <v>1</v>
      </c>
      <c r="M953" t="b">
        <v>0</v>
      </c>
    </row>
    <row r="954" spans="1:13" x14ac:dyDescent="0.3">
      <c r="A954">
        <v>53</v>
      </c>
      <c r="B954" t="s">
        <v>25</v>
      </c>
      <c r="C954" s="1">
        <v>9</v>
      </c>
      <c r="D954" t="s">
        <v>13</v>
      </c>
      <c r="E954" t="s">
        <v>20</v>
      </c>
      <c r="F954" t="s">
        <v>27</v>
      </c>
      <c r="G954" t="s">
        <v>23</v>
      </c>
      <c r="H954" t="s">
        <v>21</v>
      </c>
      <c r="I954" s="3">
        <v>10368</v>
      </c>
      <c r="J954" s="3" t="str">
        <f t="shared" si="14"/>
        <v>Low</v>
      </c>
      <c r="K954" t="b">
        <v>0</v>
      </c>
      <c r="L954" t="b">
        <v>1</v>
      </c>
      <c r="M954" t="b">
        <v>1</v>
      </c>
    </row>
    <row r="955" spans="1:13" x14ac:dyDescent="0.3">
      <c r="A955">
        <v>41</v>
      </c>
      <c r="B955" t="s">
        <v>12</v>
      </c>
      <c r="C955" s="1">
        <v>5</v>
      </c>
      <c r="D955" t="s">
        <v>19</v>
      </c>
      <c r="E955" t="s">
        <v>14</v>
      </c>
      <c r="F955" t="s">
        <v>15</v>
      </c>
      <c r="G955" t="s">
        <v>29</v>
      </c>
      <c r="H955" t="s">
        <v>17</v>
      </c>
      <c r="I955" s="3">
        <v>18424</v>
      </c>
      <c r="J955" s="3" t="str">
        <f t="shared" si="14"/>
        <v>High</v>
      </c>
      <c r="K955" t="b">
        <v>1</v>
      </c>
      <c r="L955" t="b">
        <v>0</v>
      </c>
      <c r="M955" t="b">
        <v>0</v>
      </c>
    </row>
    <row r="956" spans="1:13" x14ac:dyDescent="0.3">
      <c r="A956">
        <v>48</v>
      </c>
      <c r="B956" t="s">
        <v>25</v>
      </c>
      <c r="C956" s="1">
        <v>5</v>
      </c>
      <c r="D956" t="s">
        <v>13</v>
      </c>
      <c r="E956" t="s">
        <v>26</v>
      </c>
      <c r="F956" t="s">
        <v>22</v>
      </c>
      <c r="G956" t="s">
        <v>23</v>
      </c>
      <c r="H956" t="s">
        <v>17</v>
      </c>
      <c r="I956" s="3">
        <v>12242</v>
      </c>
      <c r="J956" s="3" t="str">
        <f t="shared" si="14"/>
        <v>Medium</v>
      </c>
      <c r="K956" t="b">
        <v>0</v>
      </c>
      <c r="L956" t="b">
        <v>0</v>
      </c>
      <c r="M956" t="b">
        <v>1</v>
      </c>
    </row>
    <row r="957" spans="1:13" x14ac:dyDescent="0.3">
      <c r="A957">
        <v>23</v>
      </c>
      <c r="B957" t="s">
        <v>25</v>
      </c>
      <c r="C957" s="1">
        <v>4</v>
      </c>
      <c r="D957" t="s">
        <v>13</v>
      </c>
      <c r="E957" t="s">
        <v>20</v>
      </c>
      <c r="F957" t="s">
        <v>22</v>
      </c>
      <c r="G957" t="s">
        <v>16</v>
      </c>
      <c r="H957" t="s">
        <v>17</v>
      </c>
      <c r="I957" s="3">
        <v>15002</v>
      </c>
      <c r="J957" s="3" t="str">
        <f t="shared" si="14"/>
        <v>High</v>
      </c>
      <c r="K957" t="b">
        <v>1</v>
      </c>
      <c r="L957" t="b">
        <v>0</v>
      </c>
      <c r="M957" t="b">
        <v>0</v>
      </c>
    </row>
    <row r="958" spans="1:13" x14ac:dyDescent="0.3">
      <c r="A958">
        <v>19</v>
      </c>
      <c r="B958" t="s">
        <v>18</v>
      </c>
      <c r="C958" s="1">
        <v>4</v>
      </c>
      <c r="D958" t="s">
        <v>19</v>
      </c>
      <c r="E958" t="s">
        <v>26</v>
      </c>
      <c r="F958" t="s">
        <v>15</v>
      </c>
      <c r="G958" t="s">
        <v>29</v>
      </c>
      <c r="H958" t="s">
        <v>17</v>
      </c>
      <c r="I958" s="3">
        <v>13083</v>
      </c>
      <c r="J958" s="3" t="str">
        <f t="shared" si="14"/>
        <v>Medium</v>
      </c>
      <c r="K958" t="b">
        <v>0</v>
      </c>
      <c r="L958" t="b">
        <v>0</v>
      </c>
      <c r="M958" t="b">
        <v>1</v>
      </c>
    </row>
    <row r="959" spans="1:13" x14ac:dyDescent="0.3">
      <c r="A959">
        <v>37</v>
      </c>
      <c r="B959" t="s">
        <v>18</v>
      </c>
      <c r="C959" s="1">
        <v>1</v>
      </c>
      <c r="D959" t="s">
        <v>19</v>
      </c>
      <c r="E959" t="s">
        <v>20</v>
      </c>
      <c r="F959" t="s">
        <v>15</v>
      </c>
      <c r="G959" t="s">
        <v>23</v>
      </c>
      <c r="H959" t="s">
        <v>17</v>
      </c>
      <c r="I959" s="3">
        <v>18073</v>
      </c>
      <c r="J959" s="3" t="str">
        <f t="shared" si="14"/>
        <v>High</v>
      </c>
      <c r="K959" t="b">
        <v>0</v>
      </c>
      <c r="L959" t="b">
        <v>0</v>
      </c>
      <c r="M959" t="b">
        <v>1</v>
      </c>
    </row>
    <row r="960" spans="1:13" x14ac:dyDescent="0.3">
      <c r="A960">
        <v>45</v>
      </c>
      <c r="B960" t="s">
        <v>18</v>
      </c>
      <c r="C960" s="1">
        <v>7</v>
      </c>
      <c r="D960" t="s">
        <v>13</v>
      </c>
      <c r="E960" t="s">
        <v>20</v>
      </c>
      <c r="F960" t="s">
        <v>22</v>
      </c>
      <c r="G960" t="s">
        <v>29</v>
      </c>
      <c r="H960" t="s">
        <v>24</v>
      </c>
      <c r="I960" s="3">
        <v>19112</v>
      </c>
      <c r="J960" s="3" t="str">
        <f t="shared" si="14"/>
        <v>High</v>
      </c>
      <c r="K960" t="b">
        <v>0</v>
      </c>
      <c r="L960" t="b">
        <v>1</v>
      </c>
      <c r="M960" t="b">
        <v>1</v>
      </c>
    </row>
    <row r="961" spans="1:13" x14ac:dyDescent="0.3">
      <c r="A961">
        <v>28</v>
      </c>
      <c r="B961" t="s">
        <v>25</v>
      </c>
      <c r="C961" s="1">
        <v>9</v>
      </c>
      <c r="D961" t="s">
        <v>13</v>
      </c>
      <c r="E961" t="s">
        <v>26</v>
      </c>
      <c r="F961" t="s">
        <v>15</v>
      </c>
      <c r="G961" t="s">
        <v>23</v>
      </c>
      <c r="H961" t="s">
        <v>24</v>
      </c>
      <c r="I961" s="3">
        <v>18880</v>
      </c>
      <c r="J961" s="3" t="str">
        <f t="shared" si="14"/>
        <v>High</v>
      </c>
      <c r="K961" t="b">
        <v>0</v>
      </c>
      <c r="L961" t="b">
        <v>1</v>
      </c>
      <c r="M961" t="b">
        <v>0</v>
      </c>
    </row>
    <row r="962" spans="1:13" x14ac:dyDescent="0.3">
      <c r="A962">
        <v>21</v>
      </c>
      <c r="B962" t="s">
        <v>18</v>
      </c>
      <c r="C962" s="1">
        <v>3</v>
      </c>
      <c r="D962" t="s">
        <v>13</v>
      </c>
      <c r="E962" t="s">
        <v>20</v>
      </c>
      <c r="F962" t="s">
        <v>22</v>
      </c>
      <c r="G962" t="s">
        <v>16</v>
      </c>
      <c r="H962" t="s">
        <v>21</v>
      </c>
      <c r="I962" s="3">
        <v>11469</v>
      </c>
      <c r="J962" s="3" t="str">
        <f t="shared" si="14"/>
        <v>Low</v>
      </c>
      <c r="K962" t="b">
        <v>0</v>
      </c>
      <c r="L962" t="b">
        <v>1</v>
      </c>
      <c r="M962" t="b">
        <v>0</v>
      </c>
    </row>
    <row r="963" spans="1:13" x14ac:dyDescent="0.3">
      <c r="A963">
        <v>32</v>
      </c>
      <c r="B963" t="s">
        <v>12</v>
      </c>
      <c r="C963" s="1">
        <v>2</v>
      </c>
      <c r="D963" t="s">
        <v>13</v>
      </c>
      <c r="E963" t="s">
        <v>20</v>
      </c>
      <c r="F963" t="s">
        <v>22</v>
      </c>
      <c r="G963" t="s">
        <v>23</v>
      </c>
      <c r="H963" t="s">
        <v>17</v>
      </c>
      <c r="I963" s="3">
        <v>14725</v>
      </c>
      <c r="J963" s="3" t="str">
        <f t="shared" ref="J963:J1001" si="15">IF(I963&gt;16000, "High", IF(I963&gt;=12000, IF(I963&lt;=15000, "Medium", "High"), "Low"))</f>
        <v>Medium</v>
      </c>
      <c r="K963" t="b">
        <v>1</v>
      </c>
      <c r="L963" t="b">
        <v>1</v>
      </c>
      <c r="M963" t="b">
        <v>1</v>
      </c>
    </row>
    <row r="964" spans="1:13" x14ac:dyDescent="0.3">
      <c r="A964">
        <v>23</v>
      </c>
      <c r="B964" t="s">
        <v>12</v>
      </c>
      <c r="C964" s="1">
        <v>3</v>
      </c>
      <c r="D964" t="s">
        <v>28</v>
      </c>
      <c r="E964" t="s">
        <v>26</v>
      </c>
      <c r="F964" t="s">
        <v>27</v>
      </c>
      <c r="G964" t="s">
        <v>29</v>
      </c>
      <c r="H964" t="s">
        <v>21</v>
      </c>
      <c r="I964" s="3">
        <v>14259</v>
      </c>
      <c r="J964" s="3" t="str">
        <f t="shared" si="15"/>
        <v>Medium</v>
      </c>
      <c r="K964" t="b">
        <v>0</v>
      </c>
      <c r="L964" t="b">
        <v>1</v>
      </c>
      <c r="M964" t="b">
        <v>1</v>
      </c>
    </row>
    <row r="965" spans="1:13" x14ac:dyDescent="0.3">
      <c r="A965">
        <v>47</v>
      </c>
      <c r="B965" t="s">
        <v>25</v>
      </c>
      <c r="C965" s="1">
        <v>1</v>
      </c>
      <c r="D965" t="s">
        <v>28</v>
      </c>
      <c r="E965" t="s">
        <v>20</v>
      </c>
      <c r="F965" t="s">
        <v>27</v>
      </c>
      <c r="G965" t="s">
        <v>29</v>
      </c>
      <c r="H965" t="s">
        <v>24</v>
      </c>
      <c r="I965" s="3">
        <v>13622</v>
      </c>
      <c r="J965" s="3" t="str">
        <f t="shared" si="15"/>
        <v>Medium</v>
      </c>
      <c r="K965" t="b">
        <v>1</v>
      </c>
      <c r="L965" t="b">
        <v>0</v>
      </c>
      <c r="M965" t="b">
        <v>0</v>
      </c>
    </row>
    <row r="966" spans="1:13" x14ac:dyDescent="0.3">
      <c r="A966">
        <v>55</v>
      </c>
      <c r="B966" t="s">
        <v>25</v>
      </c>
      <c r="C966" s="1">
        <v>6</v>
      </c>
      <c r="D966" t="s">
        <v>13</v>
      </c>
      <c r="E966" t="s">
        <v>20</v>
      </c>
      <c r="F966" t="s">
        <v>22</v>
      </c>
      <c r="G966" t="s">
        <v>29</v>
      </c>
      <c r="H966" t="s">
        <v>24</v>
      </c>
      <c r="I966" s="3">
        <v>10823</v>
      </c>
      <c r="J966" s="3" t="str">
        <f t="shared" si="15"/>
        <v>Low</v>
      </c>
      <c r="K966" t="b">
        <v>1</v>
      </c>
      <c r="L966" t="b">
        <v>1</v>
      </c>
      <c r="M966" t="b">
        <v>0</v>
      </c>
    </row>
    <row r="967" spans="1:13" x14ac:dyDescent="0.3">
      <c r="A967">
        <v>19</v>
      </c>
      <c r="B967" t="s">
        <v>18</v>
      </c>
      <c r="C967" s="1">
        <v>7</v>
      </c>
      <c r="D967" t="s">
        <v>28</v>
      </c>
      <c r="E967" t="s">
        <v>20</v>
      </c>
      <c r="F967" t="s">
        <v>22</v>
      </c>
      <c r="G967" t="s">
        <v>29</v>
      </c>
      <c r="H967" t="s">
        <v>24</v>
      </c>
      <c r="I967" s="3">
        <v>13431</v>
      </c>
      <c r="J967" s="3" t="str">
        <f t="shared" si="15"/>
        <v>Medium</v>
      </c>
      <c r="K967" t="b">
        <v>0</v>
      </c>
      <c r="L967" t="b">
        <v>1</v>
      </c>
      <c r="M967" t="b">
        <v>1</v>
      </c>
    </row>
    <row r="968" spans="1:13" x14ac:dyDescent="0.3">
      <c r="A968">
        <v>32</v>
      </c>
      <c r="B968" t="s">
        <v>25</v>
      </c>
      <c r="C968" s="1">
        <v>2</v>
      </c>
      <c r="D968" t="s">
        <v>19</v>
      </c>
      <c r="E968" t="s">
        <v>26</v>
      </c>
      <c r="F968" t="s">
        <v>22</v>
      </c>
      <c r="G968" t="s">
        <v>16</v>
      </c>
      <c r="H968" t="s">
        <v>17</v>
      </c>
      <c r="I968" s="3">
        <v>16528</v>
      </c>
      <c r="J968" s="3" t="str">
        <f t="shared" si="15"/>
        <v>High</v>
      </c>
      <c r="K968" t="b">
        <v>1</v>
      </c>
      <c r="L968" t="b">
        <v>0</v>
      </c>
      <c r="M968" t="b">
        <v>0</v>
      </c>
    </row>
    <row r="969" spans="1:13" x14ac:dyDescent="0.3">
      <c r="A969">
        <v>28</v>
      </c>
      <c r="B969" t="s">
        <v>25</v>
      </c>
      <c r="C969" s="1">
        <v>8</v>
      </c>
      <c r="D969" t="s">
        <v>28</v>
      </c>
      <c r="E969" t="s">
        <v>14</v>
      </c>
      <c r="F969" t="s">
        <v>22</v>
      </c>
      <c r="G969" t="s">
        <v>23</v>
      </c>
      <c r="H969" t="s">
        <v>17</v>
      </c>
      <c r="I969" s="3">
        <v>14151</v>
      </c>
      <c r="J969" s="3" t="str">
        <f t="shared" si="15"/>
        <v>Medium</v>
      </c>
      <c r="K969" t="b">
        <v>0</v>
      </c>
      <c r="L969" t="b">
        <v>0</v>
      </c>
      <c r="M969" t="b">
        <v>0</v>
      </c>
    </row>
    <row r="970" spans="1:13" x14ac:dyDescent="0.3">
      <c r="A970">
        <v>25</v>
      </c>
      <c r="B970" t="s">
        <v>12</v>
      </c>
      <c r="C970" s="1">
        <v>6</v>
      </c>
      <c r="D970" t="s">
        <v>28</v>
      </c>
      <c r="E970" t="s">
        <v>26</v>
      </c>
      <c r="F970" t="s">
        <v>22</v>
      </c>
      <c r="G970" t="s">
        <v>16</v>
      </c>
      <c r="H970" t="s">
        <v>24</v>
      </c>
      <c r="I970" s="3">
        <v>14213</v>
      </c>
      <c r="J970" s="3" t="str">
        <f t="shared" si="15"/>
        <v>Medium</v>
      </c>
      <c r="K970" t="b">
        <v>1</v>
      </c>
      <c r="L970" t="b">
        <v>1</v>
      </c>
      <c r="M970" t="b">
        <v>0</v>
      </c>
    </row>
    <row r="971" spans="1:13" x14ac:dyDescent="0.3">
      <c r="A971">
        <v>43</v>
      </c>
      <c r="B971" t="s">
        <v>12</v>
      </c>
      <c r="C971" s="1">
        <v>4</v>
      </c>
      <c r="D971" t="s">
        <v>13</v>
      </c>
      <c r="E971" t="s">
        <v>14</v>
      </c>
      <c r="F971" t="s">
        <v>22</v>
      </c>
      <c r="G971" t="s">
        <v>16</v>
      </c>
      <c r="H971" t="s">
        <v>21</v>
      </c>
      <c r="I971" s="3">
        <v>17420</v>
      </c>
      <c r="J971" s="3" t="str">
        <f t="shared" si="15"/>
        <v>High</v>
      </c>
      <c r="K971" t="b">
        <v>1</v>
      </c>
      <c r="L971" t="b">
        <v>1</v>
      </c>
      <c r="M971" t="b">
        <v>1</v>
      </c>
    </row>
    <row r="972" spans="1:13" x14ac:dyDescent="0.3">
      <c r="A972">
        <v>62</v>
      </c>
      <c r="B972" t="s">
        <v>18</v>
      </c>
      <c r="C972" s="1">
        <v>5</v>
      </c>
      <c r="D972" t="s">
        <v>28</v>
      </c>
      <c r="E972" t="s">
        <v>20</v>
      </c>
      <c r="F972" t="s">
        <v>15</v>
      </c>
      <c r="G972" t="s">
        <v>16</v>
      </c>
      <c r="H972" t="s">
        <v>21</v>
      </c>
      <c r="I972" s="3">
        <v>18989</v>
      </c>
      <c r="J972" s="3" t="str">
        <f t="shared" si="15"/>
        <v>High</v>
      </c>
      <c r="K972" t="b">
        <v>0</v>
      </c>
      <c r="L972" t="b">
        <v>0</v>
      </c>
      <c r="M972" t="b">
        <v>1</v>
      </c>
    </row>
    <row r="973" spans="1:13" x14ac:dyDescent="0.3">
      <c r="A973">
        <v>61</v>
      </c>
      <c r="B973" t="s">
        <v>25</v>
      </c>
      <c r="C973" s="1">
        <v>8</v>
      </c>
      <c r="D973" t="s">
        <v>28</v>
      </c>
      <c r="E973" t="s">
        <v>14</v>
      </c>
      <c r="F973" t="s">
        <v>22</v>
      </c>
      <c r="G973" t="s">
        <v>29</v>
      </c>
      <c r="H973" t="s">
        <v>24</v>
      </c>
      <c r="I973" s="3">
        <v>10779</v>
      </c>
      <c r="J973" s="3" t="str">
        <f t="shared" si="15"/>
        <v>Low</v>
      </c>
      <c r="K973" t="b">
        <v>0</v>
      </c>
      <c r="L973" t="b">
        <v>1</v>
      </c>
      <c r="M973" t="b">
        <v>0</v>
      </c>
    </row>
    <row r="974" spans="1:13" x14ac:dyDescent="0.3">
      <c r="A974">
        <v>22</v>
      </c>
      <c r="B974" t="s">
        <v>25</v>
      </c>
      <c r="C974" s="1">
        <v>3</v>
      </c>
      <c r="D974" t="s">
        <v>28</v>
      </c>
      <c r="E974" t="s">
        <v>26</v>
      </c>
      <c r="F974" t="s">
        <v>15</v>
      </c>
      <c r="G974" t="s">
        <v>29</v>
      </c>
      <c r="H974" t="s">
        <v>21</v>
      </c>
      <c r="I974" s="3">
        <v>12892</v>
      </c>
      <c r="J974" s="3" t="str">
        <f t="shared" si="15"/>
        <v>Medium</v>
      </c>
      <c r="K974" t="b">
        <v>0</v>
      </c>
      <c r="L974" t="b">
        <v>1</v>
      </c>
      <c r="M974" t="b">
        <v>1</v>
      </c>
    </row>
    <row r="975" spans="1:13" x14ac:dyDescent="0.3">
      <c r="A975">
        <v>23</v>
      </c>
      <c r="B975" t="s">
        <v>12</v>
      </c>
      <c r="C975" s="1">
        <v>3</v>
      </c>
      <c r="D975" t="s">
        <v>28</v>
      </c>
      <c r="E975" t="s">
        <v>26</v>
      </c>
      <c r="F975" t="s">
        <v>15</v>
      </c>
      <c r="G975" t="s">
        <v>29</v>
      </c>
      <c r="H975" t="s">
        <v>24</v>
      </c>
      <c r="I975" s="3">
        <v>15534</v>
      </c>
      <c r="J975" s="3" t="str">
        <f t="shared" si="15"/>
        <v>High</v>
      </c>
      <c r="K975" t="b">
        <v>0</v>
      </c>
      <c r="L975" t="b">
        <v>1</v>
      </c>
      <c r="M975" t="b">
        <v>0</v>
      </c>
    </row>
    <row r="976" spans="1:13" x14ac:dyDescent="0.3">
      <c r="A976">
        <v>43</v>
      </c>
      <c r="B976" t="s">
        <v>25</v>
      </c>
      <c r="C976" s="1">
        <v>4</v>
      </c>
      <c r="D976" t="s">
        <v>19</v>
      </c>
      <c r="E976" t="s">
        <v>20</v>
      </c>
      <c r="F976" t="s">
        <v>22</v>
      </c>
      <c r="G976" t="s">
        <v>23</v>
      </c>
      <c r="H976" t="s">
        <v>21</v>
      </c>
      <c r="I976" s="3">
        <v>13306</v>
      </c>
      <c r="J976" s="3" t="str">
        <f t="shared" si="15"/>
        <v>Medium</v>
      </c>
      <c r="K976" t="b">
        <v>1</v>
      </c>
      <c r="L976" t="b">
        <v>0</v>
      </c>
      <c r="M976" t="b">
        <v>0</v>
      </c>
    </row>
    <row r="977" spans="1:13" x14ac:dyDescent="0.3">
      <c r="A977">
        <v>21</v>
      </c>
      <c r="B977" t="s">
        <v>12</v>
      </c>
      <c r="C977" s="1">
        <v>1</v>
      </c>
      <c r="D977" t="s">
        <v>13</v>
      </c>
      <c r="E977" t="s">
        <v>14</v>
      </c>
      <c r="F977" t="s">
        <v>22</v>
      </c>
      <c r="G977" t="s">
        <v>29</v>
      </c>
      <c r="H977" t="s">
        <v>24</v>
      </c>
      <c r="I977" s="3">
        <v>12902</v>
      </c>
      <c r="J977" s="3" t="str">
        <f t="shared" si="15"/>
        <v>Medium</v>
      </c>
      <c r="K977" t="b">
        <v>0</v>
      </c>
      <c r="L977" t="b">
        <v>1</v>
      </c>
      <c r="M977" t="b">
        <v>1</v>
      </c>
    </row>
    <row r="978" spans="1:13" x14ac:dyDescent="0.3">
      <c r="A978">
        <v>36</v>
      </c>
      <c r="B978" t="s">
        <v>18</v>
      </c>
      <c r="C978" s="1">
        <v>9</v>
      </c>
      <c r="D978" t="s">
        <v>13</v>
      </c>
      <c r="E978" t="s">
        <v>20</v>
      </c>
      <c r="F978" t="s">
        <v>15</v>
      </c>
      <c r="G978" t="s">
        <v>23</v>
      </c>
      <c r="H978" t="s">
        <v>21</v>
      </c>
      <c r="I978" s="3">
        <v>13718</v>
      </c>
      <c r="J978" s="3" t="str">
        <f t="shared" si="15"/>
        <v>Medium</v>
      </c>
      <c r="K978" t="b">
        <v>1</v>
      </c>
      <c r="L978" t="b">
        <v>1</v>
      </c>
      <c r="M978" t="b">
        <v>1</v>
      </c>
    </row>
    <row r="979" spans="1:13" x14ac:dyDescent="0.3">
      <c r="A979">
        <v>37</v>
      </c>
      <c r="B979" t="s">
        <v>12</v>
      </c>
      <c r="C979" s="1">
        <v>8</v>
      </c>
      <c r="D979" t="s">
        <v>19</v>
      </c>
      <c r="E979" t="s">
        <v>20</v>
      </c>
      <c r="F979" t="s">
        <v>15</v>
      </c>
      <c r="G979" t="s">
        <v>29</v>
      </c>
      <c r="H979" t="s">
        <v>17</v>
      </c>
      <c r="I979" s="3">
        <v>10021</v>
      </c>
      <c r="J979" s="3" t="str">
        <f t="shared" si="15"/>
        <v>Low</v>
      </c>
      <c r="K979" t="b">
        <v>1</v>
      </c>
      <c r="L979" t="b">
        <v>0</v>
      </c>
      <c r="M979" t="b">
        <v>1</v>
      </c>
    </row>
    <row r="980" spans="1:13" x14ac:dyDescent="0.3">
      <c r="A980">
        <v>50</v>
      </c>
      <c r="B980" t="s">
        <v>25</v>
      </c>
      <c r="C980" s="1">
        <v>8</v>
      </c>
      <c r="D980" t="s">
        <v>28</v>
      </c>
      <c r="E980" t="s">
        <v>26</v>
      </c>
      <c r="F980" t="s">
        <v>22</v>
      </c>
      <c r="G980" t="s">
        <v>29</v>
      </c>
      <c r="H980" t="s">
        <v>24</v>
      </c>
      <c r="I980" s="3">
        <v>11500</v>
      </c>
      <c r="J980" s="3" t="str">
        <f t="shared" si="15"/>
        <v>Low</v>
      </c>
      <c r="K980" t="b">
        <v>1</v>
      </c>
      <c r="L980" t="b">
        <v>0</v>
      </c>
      <c r="M980" t="b">
        <v>0</v>
      </c>
    </row>
    <row r="981" spans="1:13" x14ac:dyDescent="0.3">
      <c r="A981">
        <v>37</v>
      </c>
      <c r="B981" t="s">
        <v>18</v>
      </c>
      <c r="C981" s="1">
        <v>6</v>
      </c>
      <c r="D981" t="s">
        <v>19</v>
      </c>
      <c r="E981" t="s">
        <v>14</v>
      </c>
      <c r="F981" t="s">
        <v>22</v>
      </c>
      <c r="G981" t="s">
        <v>16</v>
      </c>
      <c r="H981" t="s">
        <v>24</v>
      </c>
      <c r="I981" s="3">
        <v>19034</v>
      </c>
      <c r="J981" s="3" t="str">
        <f t="shared" si="15"/>
        <v>High</v>
      </c>
      <c r="K981" t="b">
        <v>1</v>
      </c>
      <c r="L981" t="b">
        <v>0</v>
      </c>
      <c r="M981" t="b">
        <v>0</v>
      </c>
    </row>
    <row r="982" spans="1:13" x14ac:dyDescent="0.3">
      <c r="A982">
        <v>29</v>
      </c>
      <c r="B982" t="s">
        <v>12</v>
      </c>
      <c r="C982" s="1">
        <v>7</v>
      </c>
      <c r="D982" t="s">
        <v>28</v>
      </c>
      <c r="E982" t="s">
        <v>14</v>
      </c>
      <c r="F982" t="s">
        <v>15</v>
      </c>
      <c r="G982" t="s">
        <v>16</v>
      </c>
      <c r="H982" t="s">
        <v>21</v>
      </c>
      <c r="I982" s="3">
        <v>19952</v>
      </c>
      <c r="J982" s="3" t="str">
        <f t="shared" si="15"/>
        <v>High</v>
      </c>
      <c r="K982" t="b">
        <v>1</v>
      </c>
      <c r="L982" t="b">
        <v>1</v>
      </c>
      <c r="M982" t="b">
        <v>1</v>
      </c>
    </row>
    <row r="983" spans="1:13" x14ac:dyDescent="0.3">
      <c r="A983">
        <v>64</v>
      </c>
      <c r="B983" t="s">
        <v>12</v>
      </c>
      <c r="C983" s="1">
        <v>6</v>
      </c>
      <c r="D983" t="s">
        <v>19</v>
      </c>
      <c r="E983" t="s">
        <v>14</v>
      </c>
      <c r="F983" t="s">
        <v>15</v>
      </c>
      <c r="G983" t="s">
        <v>16</v>
      </c>
      <c r="H983" t="s">
        <v>24</v>
      </c>
      <c r="I983" s="3">
        <v>13641</v>
      </c>
      <c r="J983" s="3" t="str">
        <f t="shared" si="15"/>
        <v>Medium</v>
      </c>
      <c r="K983" t="b">
        <v>1</v>
      </c>
      <c r="L983" t="b">
        <v>0</v>
      </c>
      <c r="M983" t="b">
        <v>1</v>
      </c>
    </row>
    <row r="984" spans="1:13" x14ac:dyDescent="0.3">
      <c r="A984">
        <v>18</v>
      </c>
      <c r="B984" t="s">
        <v>18</v>
      </c>
      <c r="C984" s="1">
        <v>9</v>
      </c>
      <c r="D984" t="s">
        <v>13</v>
      </c>
      <c r="E984" t="s">
        <v>14</v>
      </c>
      <c r="F984" t="s">
        <v>15</v>
      </c>
      <c r="G984" t="s">
        <v>23</v>
      </c>
      <c r="H984" t="s">
        <v>24</v>
      </c>
      <c r="I984" s="3">
        <v>15212</v>
      </c>
      <c r="J984" s="3" t="str">
        <f t="shared" si="15"/>
        <v>High</v>
      </c>
      <c r="K984" t="b">
        <v>0</v>
      </c>
      <c r="L984" t="b">
        <v>1</v>
      </c>
      <c r="M984" t="b">
        <v>1</v>
      </c>
    </row>
    <row r="985" spans="1:13" x14ac:dyDescent="0.3">
      <c r="A985">
        <v>43</v>
      </c>
      <c r="B985" t="s">
        <v>18</v>
      </c>
      <c r="C985" s="1">
        <v>3</v>
      </c>
      <c r="D985" t="s">
        <v>13</v>
      </c>
      <c r="E985" t="s">
        <v>20</v>
      </c>
      <c r="F985" t="s">
        <v>27</v>
      </c>
      <c r="G985" t="s">
        <v>23</v>
      </c>
      <c r="H985" t="s">
        <v>24</v>
      </c>
      <c r="I985" s="3">
        <v>10191</v>
      </c>
      <c r="J985" s="3" t="str">
        <f t="shared" si="15"/>
        <v>Low</v>
      </c>
      <c r="K985" t="b">
        <v>1</v>
      </c>
      <c r="L985" t="b">
        <v>0</v>
      </c>
      <c r="M985" t="b">
        <v>0</v>
      </c>
    </row>
    <row r="986" spans="1:13" x14ac:dyDescent="0.3">
      <c r="A986">
        <v>31</v>
      </c>
      <c r="B986" t="s">
        <v>12</v>
      </c>
      <c r="C986" s="1">
        <v>3</v>
      </c>
      <c r="D986" t="s">
        <v>13</v>
      </c>
      <c r="E986" t="s">
        <v>20</v>
      </c>
      <c r="F986" t="s">
        <v>15</v>
      </c>
      <c r="G986" t="s">
        <v>29</v>
      </c>
      <c r="H986" t="s">
        <v>17</v>
      </c>
      <c r="I986" s="3">
        <v>18587</v>
      </c>
      <c r="J986" s="3" t="str">
        <f t="shared" si="15"/>
        <v>High</v>
      </c>
      <c r="K986" t="b">
        <v>1</v>
      </c>
      <c r="L986" t="b">
        <v>1</v>
      </c>
      <c r="M986" t="b">
        <v>0</v>
      </c>
    </row>
    <row r="987" spans="1:13" x14ac:dyDescent="0.3">
      <c r="A987">
        <v>55</v>
      </c>
      <c r="B987" t="s">
        <v>25</v>
      </c>
      <c r="C987" s="1">
        <v>3</v>
      </c>
      <c r="D987" t="s">
        <v>28</v>
      </c>
      <c r="E987" t="s">
        <v>26</v>
      </c>
      <c r="F987" t="s">
        <v>27</v>
      </c>
      <c r="G987" t="s">
        <v>23</v>
      </c>
      <c r="H987" t="s">
        <v>17</v>
      </c>
      <c r="I987" s="3">
        <v>17174</v>
      </c>
      <c r="J987" s="3" t="str">
        <f t="shared" si="15"/>
        <v>High</v>
      </c>
      <c r="K987" t="b">
        <v>1</v>
      </c>
      <c r="L987" t="b">
        <v>0</v>
      </c>
      <c r="M987" t="b">
        <v>0</v>
      </c>
    </row>
    <row r="988" spans="1:13" x14ac:dyDescent="0.3">
      <c r="A988">
        <v>54</v>
      </c>
      <c r="B988" t="s">
        <v>12</v>
      </c>
      <c r="C988" s="1">
        <v>3</v>
      </c>
      <c r="D988" t="s">
        <v>28</v>
      </c>
      <c r="E988" t="s">
        <v>20</v>
      </c>
      <c r="F988" t="s">
        <v>22</v>
      </c>
      <c r="G988" t="s">
        <v>29</v>
      </c>
      <c r="H988" t="s">
        <v>21</v>
      </c>
      <c r="I988" s="3">
        <v>15114</v>
      </c>
      <c r="J988" s="3" t="str">
        <f t="shared" si="15"/>
        <v>High</v>
      </c>
      <c r="K988" t="b">
        <v>0</v>
      </c>
      <c r="L988" t="b">
        <v>1</v>
      </c>
      <c r="M988" t="b">
        <v>1</v>
      </c>
    </row>
    <row r="989" spans="1:13" x14ac:dyDescent="0.3">
      <c r="A989">
        <v>28</v>
      </c>
      <c r="B989" t="s">
        <v>18</v>
      </c>
      <c r="C989" s="1">
        <v>9</v>
      </c>
      <c r="D989" t="s">
        <v>19</v>
      </c>
      <c r="E989" t="s">
        <v>20</v>
      </c>
      <c r="F989" t="s">
        <v>22</v>
      </c>
      <c r="G989" t="s">
        <v>23</v>
      </c>
      <c r="H989" t="s">
        <v>17</v>
      </c>
      <c r="I989" s="3">
        <v>14662</v>
      </c>
      <c r="J989" s="3" t="str">
        <f t="shared" si="15"/>
        <v>Medium</v>
      </c>
      <c r="K989" t="b">
        <v>0</v>
      </c>
      <c r="L989" t="b">
        <v>1</v>
      </c>
      <c r="M989" t="b">
        <v>1</v>
      </c>
    </row>
    <row r="990" spans="1:13" x14ac:dyDescent="0.3">
      <c r="A990">
        <v>53</v>
      </c>
      <c r="B990" t="s">
        <v>12</v>
      </c>
      <c r="C990" s="1">
        <v>4</v>
      </c>
      <c r="D990" t="s">
        <v>19</v>
      </c>
      <c r="E990" t="s">
        <v>26</v>
      </c>
      <c r="F990" t="s">
        <v>15</v>
      </c>
      <c r="G990" t="s">
        <v>23</v>
      </c>
      <c r="H990" t="s">
        <v>21</v>
      </c>
      <c r="I990" s="3">
        <v>14326</v>
      </c>
      <c r="J990" s="3" t="str">
        <f t="shared" si="15"/>
        <v>Medium</v>
      </c>
      <c r="K990" t="b">
        <v>1</v>
      </c>
      <c r="L990" t="b">
        <v>0</v>
      </c>
      <c r="M990" t="b">
        <v>0</v>
      </c>
    </row>
    <row r="991" spans="1:13" x14ac:dyDescent="0.3">
      <c r="A991">
        <v>30</v>
      </c>
      <c r="B991" t="s">
        <v>18</v>
      </c>
      <c r="C991" s="1">
        <v>7</v>
      </c>
      <c r="D991" t="s">
        <v>13</v>
      </c>
      <c r="E991" t="s">
        <v>26</v>
      </c>
      <c r="F991" t="s">
        <v>22</v>
      </c>
      <c r="G991" t="s">
        <v>23</v>
      </c>
      <c r="H991" t="s">
        <v>17</v>
      </c>
      <c r="I991" s="3">
        <v>19065</v>
      </c>
      <c r="J991" s="3" t="str">
        <f t="shared" si="15"/>
        <v>High</v>
      </c>
      <c r="K991" t="b">
        <v>0</v>
      </c>
      <c r="L991" t="b">
        <v>0</v>
      </c>
      <c r="M991" t="b">
        <v>1</v>
      </c>
    </row>
    <row r="992" spans="1:13" x14ac:dyDescent="0.3">
      <c r="A992">
        <v>60</v>
      </c>
      <c r="B992" t="s">
        <v>18</v>
      </c>
      <c r="C992" s="1">
        <v>9</v>
      </c>
      <c r="D992" t="s">
        <v>28</v>
      </c>
      <c r="E992" t="s">
        <v>26</v>
      </c>
      <c r="F992" t="s">
        <v>22</v>
      </c>
      <c r="G992" t="s">
        <v>16</v>
      </c>
      <c r="H992" t="s">
        <v>21</v>
      </c>
      <c r="I992" s="3">
        <v>14335</v>
      </c>
      <c r="J992" s="3" t="str">
        <f t="shared" si="15"/>
        <v>Medium</v>
      </c>
      <c r="K992" t="b">
        <v>1</v>
      </c>
      <c r="L992" t="b">
        <v>1</v>
      </c>
      <c r="M992" t="b">
        <v>1</v>
      </c>
    </row>
    <row r="993" spans="1:13" x14ac:dyDescent="0.3">
      <c r="A993">
        <v>20</v>
      </c>
      <c r="B993" t="s">
        <v>25</v>
      </c>
      <c r="C993" s="1">
        <v>7</v>
      </c>
      <c r="D993" t="s">
        <v>19</v>
      </c>
      <c r="E993" t="s">
        <v>20</v>
      </c>
      <c r="F993" t="s">
        <v>22</v>
      </c>
      <c r="G993" t="s">
        <v>23</v>
      </c>
      <c r="H993" t="s">
        <v>17</v>
      </c>
      <c r="I993" s="3">
        <v>18281</v>
      </c>
      <c r="J993" s="3" t="str">
        <f t="shared" si="15"/>
        <v>High</v>
      </c>
      <c r="K993" t="b">
        <v>0</v>
      </c>
      <c r="L993" t="b">
        <v>0</v>
      </c>
      <c r="M993" t="b">
        <v>1</v>
      </c>
    </row>
    <row r="994" spans="1:13" x14ac:dyDescent="0.3">
      <c r="A994">
        <v>50</v>
      </c>
      <c r="B994" t="s">
        <v>18</v>
      </c>
      <c r="C994" s="1">
        <v>9</v>
      </c>
      <c r="D994" t="s">
        <v>28</v>
      </c>
      <c r="E994" t="s">
        <v>20</v>
      </c>
      <c r="F994" t="s">
        <v>22</v>
      </c>
      <c r="G994" t="s">
        <v>16</v>
      </c>
      <c r="H994" t="s">
        <v>17</v>
      </c>
      <c r="I994" s="3">
        <v>18648</v>
      </c>
      <c r="J994" s="3" t="str">
        <f t="shared" si="15"/>
        <v>High</v>
      </c>
      <c r="K994" t="b">
        <v>1</v>
      </c>
      <c r="L994" t="b">
        <v>1</v>
      </c>
      <c r="M994" t="b">
        <v>1</v>
      </c>
    </row>
    <row r="995" spans="1:13" x14ac:dyDescent="0.3">
      <c r="A995">
        <v>23</v>
      </c>
      <c r="B995" t="s">
        <v>18</v>
      </c>
      <c r="C995" s="1">
        <v>3</v>
      </c>
      <c r="D995" t="s">
        <v>28</v>
      </c>
      <c r="E995" t="s">
        <v>26</v>
      </c>
      <c r="F995" t="s">
        <v>27</v>
      </c>
      <c r="G995" t="s">
        <v>16</v>
      </c>
      <c r="H995" t="s">
        <v>21</v>
      </c>
      <c r="I995" s="3">
        <v>19196</v>
      </c>
      <c r="J995" s="3" t="str">
        <f t="shared" si="15"/>
        <v>High</v>
      </c>
      <c r="K995" t="b">
        <v>0</v>
      </c>
      <c r="L995" t="b">
        <v>0</v>
      </c>
      <c r="M995" t="b">
        <v>0</v>
      </c>
    </row>
    <row r="996" spans="1:13" x14ac:dyDescent="0.3">
      <c r="A996">
        <v>27</v>
      </c>
      <c r="B996" t="s">
        <v>25</v>
      </c>
      <c r="C996" s="1">
        <v>4</v>
      </c>
      <c r="D996" t="s">
        <v>13</v>
      </c>
      <c r="E996" t="s">
        <v>26</v>
      </c>
      <c r="F996" t="s">
        <v>27</v>
      </c>
      <c r="G996" t="s">
        <v>23</v>
      </c>
      <c r="H996" t="s">
        <v>24</v>
      </c>
      <c r="I996" s="3">
        <v>15494</v>
      </c>
      <c r="J996" s="3" t="str">
        <f t="shared" si="15"/>
        <v>High</v>
      </c>
      <c r="K996" t="b">
        <v>0</v>
      </c>
      <c r="L996" t="b">
        <v>0</v>
      </c>
      <c r="M996" t="b">
        <v>1</v>
      </c>
    </row>
    <row r="997" spans="1:13" x14ac:dyDescent="0.3">
      <c r="A997">
        <v>22</v>
      </c>
      <c r="B997" t="s">
        <v>18</v>
      </c>
      <c r="C997" s="1">
        <v>8</v>
      </c>
      <c r="D997" t="s">
        <v>13</v>
      </c>
      <c r="E997" t="s">
        <v>26</v>
      </c>
      <c r="F997" t="s">
        <v>15</v>
      </c>
      <c r="G997" t="s">
        <v>29</v>
      </c>
      <c r="H997" t="s">
        <v>24</v>
      </c>
      <c r="I997" s="3">
        <v>18536</v>
      </c>
      <c r="J997" s="3" t="str">
        <f t="shared" si="15"/>
        <v>High</v>
      </c>
      <c r="K997" t="b">
        <v>0</v>
      </c>
      <c r="L997" t="b">
        <v>1</v>
      </c>
      <c r="M997" t="b">
        <v>0</v>
      </c>
    </row>
    <row r="998" spans="1:13" x14ac:dyDescent="0.3">
      <c r="A998">
        <v>40</v>
      </c>
      <c r="B998" t="s">
        <v>25</v>
      </c>
      <c r="C998" s="1">
        <v>6</v>
      </c>
      <c r="D998" t="s">
        <v>28</v>
      </c>
      <c r="E998" t="s">
        <v>20</v>
      </c>
      <c r="F998" t="s">
        <v>15</v>
      </c>
      <c r="G998" t="s">
        <v>29</v>
      </c>
      <c r="H998" t="s">
        <v>17</v>
      </c>
      <c r="I998" s="3">
        <v>12711</v>
      </c>
      <c r="J998" s="3" t="str">
        <f t="shared" si="15"/>
        <v>Medium</v>
      </c>
      <c r="K998" t="b">
        <v>1</v>
      </c>
      <c r="L998" t="b">
        <v>0</v>
      </c>
      <c r="M998" t="b">
        <v>0</v>
      </c>
    </row>
    <row r="999" spans="1:13" x14ac:dyDescent="0.3">
      <c r="A999">
        <v>27</v>
      </c>
      <c r="B999" t="s">
        <v>25</v>
      </c>
      <c r="C999" s="1">
        <v>5</v>
      </c>
      <c r="D999" t="s">
        <v>28</v>
      </c>
      <c r="E999" t="s">
        <v>20</v>
      </c>
      <c r="F999" t="s">
        <v>15</v>
      </c>
      <c r="G999" t="s">
        <v>29</v>
      </c>
      <c r="H999" t="s">
        <v>21</v>
      </c>
      <c r="I999" s="3">
        <v>17595</v>
      </c>
      <c r="J999" s="3" t="str">
        <f t="shared" si="15"/>
        <v>High</v>
      </c>
      <c r="K999" t="b">
        <v>1</v>
      </c>
      <c r="L999" t="b">
        <v>0</v>
      </c>
      <c r="M999" t="b">
        <v>1</v>
      </c>
    </row>
    <row r="1000" spans="1:13" x14ac:dyDescent="0.3">
      <c r="A1000">
        <v>61</v>
      </c>
      <c r="B1000" t="s">
        <v>18</v>
      </c>
      <c r="C1000" s="1">
        <v>4</v>
      </c>
      <c r="D1000" t="s">
        <v>28</v>
      </c>
      <c r="E1000" t="s">
        <v>14</v>
      </c>
      <c r="F1000" t="s">
        <v>22</v>
      </c>
      <c r="G1000" t="s">
        <v>23</v>
      </c>
      <c r="H1000" t="s">
        <v>24</v>
      </c>
      <c r="I1000" s="3">
        <v>16273</v>
      </c>
      <c r="J1000" s="3" t="str">
        <f t="shared" si="15"/>
        <v>High</v>
      </c>
      <c r="K1000" t="b">
        <v>1</v>
      </c>
      <c r="L1000" t="b">
        <v>1</v>
      </c>
      <c r="M1000" t="b">
        <v>0</v>
      </c>
    </row>
    <row r="1001" spans="1:13" x14ac:dyDescent="0.3">
      <c r="A1001">
        <v>19</v>
      </c>
      <c r="B1001" t="s">
        <v>18</v>
      </c>
      <c r="C1001" s="1">
        <v>8</v>
      </c>
      <c r="D1001" t="s">
        <v>28</v>
      </c>
      <c r="E1001" t="s">
        <v>20</v>
      </c>
      <c r="F1001" t="s">
        <v>22</v>
      </c>
      <c r="G1001" t="s">
        <v>29</v>
      </c>
      <c r="H1001" t="s">
        <v>21</v>
      </c>
      <c r="I1001" s="3">
        <v>16284</v>
      </c>
      <c r="J1001" s="3" t="str">
        <f t="shared" si="15"/>
        <v>High</v>
      </c>
      <c r="K1001" t="b">
        <v>0</v>
      </c>
      <c r="L1001" t="b">
        <v>1</v>
      </c>
      <c r="M1001" t="b">
        <v>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C0EE-2619-4E07-8083-D310B2BF0C38}">
  <dimension ref="A1:M1002"/>
  <sheetViews>
    <sheetView workbookViewId="0">
      <selection activeCell="H2" sqref="H2"/>
    </sheetView>
  </sheetViews>
  <sheetFormatPr defaultRowHeight="14.4" x14ac:dyDescent="0.3"/>
  <cols>
    <col min="1" max="9" width="10.44140625" customWidth="1"/>
    <col min="10" max="13" width="11.44140625" customWidth="1"/>
  </cols>
  <sheetData>
    <row r="1" spans="1:13" x14ac:dyDescent="0.3">
      <c r="A1" t="s">
        <v>0</v>
      </c>
      <c r="B1" t="s">
        <v>1</v>
      </c>
      <c r="C1" s="1" t="s">
        <v>2</v>
      </c>
      <c r="D1" t="s">
        <v>3</v>
      </c>
      <c r="E1" t="s">
        <v>4</v>
      </c>
      <c r="F1" t="s">
        <v>5</v>
      </c>
      <c r="G1" t="s">
        <v>6</v>
      </c>
      <c r="H1" t="s">
        <v>7</v>
      </c>
      <c r="I1" s="3" t="s">
        <v>8</v>
      </c>
      <c r="J1" s="3" t="s">
        <v>33</v>
      </c>
      <c r="K1" t="s">
        <v>9</v>
      </c>
      <c r="L1" t="s">
        <v>10</v>
      </c>
      <c r="M1" t="s">
        <v>11</v>
      </c>
    </row>
    <row r="2" spans="1:13" x14ac:dyDescent="0.3">
      <c r="A2" t="s">
        <v>36</v>
      </c>
      <c r="B2" t="s">
        <v>37</v>
      </c>
      <c r="C2" s="1" t="s">
        <v>38</v>
      </c>
      <c r="D2" t="s">
        <v>39</v>
      </c>
      <c r="E2" t="s">
        <v>40</v>
      </c>
      <c r="F2" t="s">
        <v>41</v>
      </c>
      <c r="G2" t="s">
        <v>42</v>
      </c>
      <c r="H2" t="s">
        <v>43</v>
      </c>
      <c r="I2" s="3" t="s">
        <v>44</v>
      </c>
      <c r="J2" s="3" t="s">
        <v>45</v>
      </c>
      <c r="K2" t="s">
        <v>46</v>
      </c>
      <c r="L2" t="s">
        <v>47</v>
      </c>
      <c r="M2" t="s">
        <v>48</v>
      </c>
    </row>
    <row r="3" spans="1:13" hidden="1" x14ac:dyDescent="0.3">
      <c r="A3">
        <v>56</v>
      </c>
      <c r="B3" t="s">
        <v>12</v>
      </c>
      <c r="C3" s="1">
        <v>3</v>
      </c>
      <c r="D3" t="s">
        <v>13</v>
      </c>
      <c r="E3" t="s">
        <v>14</v>
      </c>
      <c r="F3" t="s">
        <v>15</v>
      </c>
      <c r="G3" t="s">
        <v>16</v>
      </c>
      <c r="H3" t="s">
        <v>17</v>
      </c>
      <c r="I3" s="3">
        <v>19774</v>
      </c>
      <c r="J3" s="3" t="str">
        <f>IF(I3&gt;16000, "High", IF(I3&gt;=12000, IF(I3&lt;=15000, "Medium", "High"), "Low"))</f>
        <v>High</v>
      </c>
      <c r="K3" t="b">
        <v>1</v>
      </c>
      <c r="L3" t="b">
        <v>0</v>
      </c>
      <c r="M3" t="b">
        <v>0</v>
      </c>
    </row>
    <row r="4" spans="1:13" x14ac:dyDescent="0.3">
      <c r="A4">
        <v>46</v>
      </c>
      <c r="B4" t="s">
        <v>18</v>
      </c>
      <c r="C4" s="1">
        <v>2</v>
      </c>
      <c r="D4" t="s">
        <v>19</v>
      </c>
      <c r="E4" t="s">
        <v>20</v>
      </c>
      <c r="F4" t="s">
        <v>15</v>
      </c>
      <c r="G4" t="s">
        <v>16</v>
      </c>
      <c r="H4" t="s">
        <v>21</v>
      </c>
      <c r="I4" s="3">
        <v>10564</v>
      </c>
      <c r="J4" s="3" t="str">
        <f>IF(I4&gt;16000, "High", IF(I4&gt;=12000, IF(I4&lt;=15000, "Medium", "High"), "Low"))</f>
        <v>Low</v>
      </c>
      <c r="K4" t="b">
        <v>1</v>
      </c>
      <c r="L4" t="b">
        <v>1</v>
      </c>
      <c r="M4" t="b">
        <v>1</v>
      </c>
    </row>
    <row r="5" spans="1:13" hidden="1" x14ac:dyDescent="0.3">
      <c r="A5">
        <v>32</v>
      </c>
      <c r="B5" t="s">
        <v>12</v>
      </c>
      <c r="C5" s="1">
        <v>8</v>
      </c>
      <c r="D5" t="s">
        <v>13</v>
      </c>
      <c r="E5" t="s">
        <v>14</v>
      </c>
      <c r="F5" t="s">
        <v>22</v>
      </c>
      <c r="G5" t="s">
        <v>23</v>
      </c>
      <c r="H5" t="s">
        <v>24</v>
      </c>
      <c r="I5" s="3">
        <v>13258</v>
      </c>
      <c r="J5" s="3" t="str">
        <f>IF(I5&gt;16000, "High", IF(I5&gt;=12000, IF(I5&lt;=15000, "Medium", "High"), "Low"))</f>
        <v>Medium</v>
      </c>
      <c r="K5" t="b">
        <v>0</v>
      </c>
      <c r="L5" t="b">
        <v>0</v>
      </c>
      <c r="M5" t="b">
        <v>0</v>
      </c>
    </row>
    <row r="6" spans="1:13" hidden="1" x14ac:dyDescent="0.3">
      <c r="A6">
        <v>60</v>
      </c>
      <c r="B6" t="s">
        <v>25</v>
      </c>
      <c r="C6" s="1">
        <v>5</v>
      </c>
      <c r="D6" t="s">
        <v>13</v>
      </c>
      <c r="E6" t="s">
        <v>20</v>
      </c>
      <c r="F6" t="s">
        <v>15</v>
      </c>
      <c r="G6" t="s">
        <v>16</v>
      </c>
      <c r="H6" t="s">
        <v>21</v>
      </c>
      <c r="I6" s="3">
        <v>12500</v>
      </c>
      <c r="J6" s="3" t="str">
        <f>IF(I6&gt;16000, "High", IF(I6&gt;=12000, IF(I6&lt;=15000, "Medium", "High"), "Low"))</f>
        <v>Medium</v>
      </c>
      <c r="K6" t="b">
        <v>0</v>
      </c>
      <c r="L6" t="b">
        <v>1</v>
      </c>
      <c r="M6" t="b">
        <v>0</v>
      </c>
    </row>
    <row r="7" spans="1:13" hidden="1" x14ac:dyDescent="0.3">
      <c r="A7">
        <v>25</v>
      </c>
      <c r="B7" t="s">
        <v>12</v>
      </c>
      <c r="C7" s="1">
        <v>1</v>
      </c>
      <c r="D7" t="s">
        <v>13</v>
      </c>
      <c r="E7" t="s">
        <v>26</v>
      </c>
      <c r="F7" t="s">
        <v>22</v>
      </c>
      <c r="G7" t="s">
        <v>16</v>
      </c>
      <c r="H7" t="s">
        <v>17</v>
      </c>
      <c r="I7" s="3">
        <v>14566</v>
      </c>
      <c r="J7" s="3" t="str">
        <f>IF(I7&gt;16000, "High", IF(I7&gt;=12000, IF(I7&lt;=15000, "Medium", "High"), "Low"))</f>
        <v>Medium</v>
      </c>
      <c r="K7" t="b">
        <v>0</v>
      </c>
      <c r="L7" t="b">
        <v>1</v>
      </c>
      <c r="M7" t="b">
        <v>1</v>
      </c>
    </row>
    <row r="8" spans="1:13" hidden="1" x14ac:dyDescent="0.3">
      <c r="A8">
        <v>38</v>
      </c>
      <c r="B8" t="s">
        <v>12</v>
      </c>
      <c r="C8" s="1">
        <v>3</v>
      </c>
      <c r="D8" t="s">
        <v>19</v>
      </c>
      <c r="E8" t="s">
        <v>20</v>
      </c>
      <c r="F8" t="s">
        <v>27</v>
      </c>
      <c r="G8" t="s">
        <v>16</v>
      </c>
      <c r="H8" t="s">
        <v>24</v>
      </c>
      <c r="I8" s="3">
        <v>19179</v>
      </c>
      <c r="J8" s="3" t="str">
        <f>IF(I8&gt;16000, "High", IF(I8&gt;=12000, IF(I8&lt;=15000, "Medium", "High"), "Low"))</f>
        <v>High</v>
      </c>
      <c r="K8" t="b">
        <v>1</v>
      </c>
      <c r="L8" t="b">
        <v>1</v>
      </c>
      <c r="M8" t="b">
        <v>1</v>
      </c>
    </row>
    <row r="9" spans="1:13" hidden="1" x14ac:dyDescent="0.3">
      <c r="A9">
        <v>56</v>
      </c>
      <c r="B9" t="s">
        <v>12</v>
      </c>
      <c r="C9" s="1">
        <v>8</v>
      </c>
      <c r="D9" t="s">
        <v>28</v>
      </c>
      <c r="E9" t="s">
        <v>14</v>
      </c>
      <c r="F9" t="s">
        <v>27</v>
      </c>
      <c r="G9" t="s">
        <v>16</v>
      </c>
      <c r="H9" t="s">
        <v>21</v>
      </c>
      <c r="I9" s="3">
        <v>16881</v>
      </c>
      <c r="J9" s="3" t="str">
        <f>IF(I9&gt;16000, "High", IF(I9&gt;=12000, IF(I9&lt;=15000, "Medium", "High"), "Low"))</f>
        <v>High</v>
      </c>
      <c r="K9" t="b">
        <v>1</v>
      </c>
      <c r="L9" t="b">
        <v>1</v>
      </c>
      <c r="M9" t="b">
        <v>1</v>
      </c>
    </row>
    <row r="10" spans="1:13" hidden="1" x14ac:dyDescent="0.3">
      <c r="A10">
        <v>36</v>
      </c>
      <c r="B10" t="s">
        <v>12</v>
      </c>
      <c r="C10" s="1">
        <v>4</v>
      </c>
      <c r="D10" t="s">
        <v>13</v>
      </c>
      <c r="E10" t="s">
        <v>14</v>
      </c>
      <c r="F10" t="s">
        <v>22</v>
      </c>
      <c r="G10" t="s">
        <v>16</v>
      </c>
      <c r="H10" t="s">
        <v>24</v>
      </c>
      <c r="I10" s="3">
        <v>13636</v>
      </c>
      <c r="J10" s="3" t="str">
        <f>IF(I10&gt;16000, "High", IF(I10&gt;=12000, IF(I10&lt;=15000, "Medium", "High"), "Low"))</f>
        <v>Medium</v>
      </c>
      <c r="K10" t="b">
        <v>1</v>
      </c>
      <c r="L10" t="b">
        <v>0</v>
      </c>
      <c r="M10" t="b">
        <v>1</v>
      </c>
    </row>
    <row r="11" spans="1:13" hidden="1" x14ac:dyDescent="0.3">
      <c r="A11">
        <v>40</v>
      </c>
      <c r="B11" t="s">
        <v>25</v>
      </c>
      <c r="C11" s="1">
        <v>7</v>
      </c>
      <c r="D11" t="s">
        <v>28</v>
      </c>
      <c r="E11" t="s">
        <v>26</v>
      </c>
      <c r="F11" t="s">
        <v>22</v>
      </c>
      <c r="G11" t="s">
        <v>23</v>
      </c>
      <c r="H11" t="s">
        <v>24</v>
      </c>
      <c r="I11" s="3">
        <v>16030</v>
      </c>
      <c r="J11" s="3" t="str">
        <f>IF(I11&gt;16000, "High", IF(I11&gt;=12000, IF(I11&lt;=15000, "Medium", "High"), "Low"))</f>
        <v>High</v>
      </c>
      <c r="K11" t="b">
        <v>0</v>
      </c>
      <c r="L11" t="b">
        <v>0</v>
      </c>
      <c r="M11" t="b">
        <v>1</v>
      </c>
    </row>
    <row r="12" spans="1:13" hidden="1" x14ac:dyDescent="0.3">
      <c r="A12">
        <v>28</v>
      </c>
      <c r="B12" t="s">
        <v>25</v>
      </c>
      <c r="C12" s="1">
        <v>2</v>
      </c>
      <c r="D12" t="s">
        <v>13</v>
      </c>
      <c r="E12" t="s">
        <v>14</v>
      </c>
      <c r="F12" t="s">
        <v>22</v>
      </c>
      <c r="G12" t="s">
        <v>23</v>
      </c>
      <c r="H12" t="s">
        <v>24</v>
      </c>
      <c r="I12" s="3">
        <v>10223</v>
      </c>
      <c r="J12" s="3" t="str">
        <f>IF(I12&gt;16000, "High", IF(I12&gt;=12000, IF(I12&lt;=15000, "Medium", "High"), "Low"))</f>
        <v>Low</v>
      </c>
      <c r="K12" t="b">
        <v>1</v>
      </c>
      <c r="L12" t="b">
        <v>0</v>
      </c>
      <c r="M12" t="b">
        <v>1</v>
      </c>
    </row>
    <row r="13" spans="1:13" hidden="1" x14ac:dyDescent="0.3">
      <c r="A13">
        <v>28</v>
      </c>
      <c r="B13" t="s">
        <v>18</v>
      </c>
      <c r="C13" s="1">
        <v>7</v>
      </c>
      <c r="D13" t="s">
        <v>28</v>
      </c>
      <c r="E13" t="s">
        <v>26</v>
      </c>
      <c r="F13" t="s">
        <v>15</v>
      </c>
      <c r="G13" t="s">
        <v>16</v>
      </c>
      <c r="H13" t="s">
        <v>21</v>
      </c>
      <c r="I13" s="3">
        <v>16297</v>
      </c>
      <c r="J13" s="3" t="str">
        <f>IF(I13&gt;16000, "High", IF(I13&gt;=12000, IF(I13&lt;=15000, "Medium", "High"), "Low"))</f>
        <v>High</v>
      </c>
      <c r="K13" t="b">
        <v>1</v>
      </c>
      <c r="L13" t="b">
        <v>1</v>
      </c>
      <c r="M13" t="b">
        <v>0</v>
      </c>
    </row>
    <row r="14" spans="1:13" hidden="1" x14ac:dyDescent="0.3">
      <c r="A14">
        <v>41</v>
      </c>
      <c r="B14" t="s">
        <v>25</v>
      </c>
      <c r="C14" s="1">
        <v>5</v>
      </c>
      <c r="D14" t="s">
        <v>19</v>
      </c>
      <c r="E14" t="s">
        <v>14</v>
      </c>
      <c r="F14" t="s">
        <v>27</v>
      </c>
      <c r="G14" t="s">
        <v>23</v>
      </c>
      <c r="H14" t="s">
        <v>24</v>
      </c>
      <c r="I14" s="3">
        <v>10350</v>
      </c>
      <c r="J14" s="3" t="str">
        <f>IF(I14&gt;16000, "High", IF(I14&gt;=12000, IF(I14&lt;=15000, "Medium", "High"), "Low"))</f>
        <v>Low</v>
      </c>
      <c r="K14" t="b">
        <v>0</v>
      </c>
      <c r="L14" t="b">
        <v>0</v>
      </c>
      <c r="M14" t="b">
        <v>0</v>
      </c>
    </row>
    <row r="15" spans="1:13" hidden="1" x14ac:dyDescent="0.3">
      <c r="A15">
        <v>53</v>
      </c>
      <c r="B15" t="s">
        <v>25</v>
      </c>
      <c r="C15" s="1">
        <v>5</v>
      </c>
      <c r="D15" t="s">
        <v>19</v>
      </c>
      <c r="E15" t="s">
        <v>14</v>
      </c>
      <c r="F15" t="s">
        <v>22</v>
      </c>
      <c r="G15" t="s">
        <v>29</v>
      </c>
      <c r="H15" t="s">
        <v>21</v>
      </c>
      <c r="I15" s="3">
        <v>17314</v>
      </c>
      <c r="J15" s="3" t="str">
        <f>IF(I15&gt;16000, "High", IF(I15&gt;=12000, IF(I15&lt;=15000, "Medium", "High"), "Low"))</f>
        <v>High</v>
      </c>
      <c r="K15" t="b">
        <v>0</v>
      </c>
      <c r="L15" t="b">
        <v>1</v>
      </c>
      <c r="M15" t="b">
        <v>1</v>
      </c>
    </row>
    <row r="16" spans="1:13" hidden="1" x14ac:dyDescent="0.3">
      <c r="A16">
        <v>57</v>
      </c>
      <c r="B16" t="s">
        <v>18</v>
      </c>
      <c r="C16" s="1">
        <v>6</v>
      </c>
      <c r="D16" t="s">
        <v>13</v>
      </c>
      <c r="E16" t="s">
        <v>26</v>
      </c>
      <c r="F16" t="s">
        <v>15</v>
      </c>
      <c r="G16" t="s">
        <v>16</v>
      </c>
      <c r="H16" t="s">
        <v>17</v>
      </c>
      <c r="I16" s="3">
        <v>11928</v>
      </c>
      <c r="J16" s="3" t="str">
        <f>IF(I16&gt;16000, "High", IF(I16&gt;=12000, IF(I16&lt;=15000, "Medium", "High"), "Low"))</f>
        <v>Low</v>
      </c>
      <c r="K16" t="b">
        <v>0</v>
      </c>
      <c r="L16" t="b">
        <v>1</v>
      </c>
      <c r="M16" t="b">
        <v>0</v>
      </c>
    </row>
    <row r="17" spans="1:13" hidden="1" x14ac:dyDescent="0.3">
      <c r="A17">
        <v>41</v>
      </c>
      <c r="B17" t="s">
        <v>25</v>
      </c>
      <c r="C17" s="1">
        <v>9</v>
      </c>
      <c r="D17" t="s">
        <v>28</v>
      </c>
      <c r="E17" t="s">
        <v>20</v>
      </c>
      <c r="F17" t="s">
        <v>27</v>
      </c>
      <c r="G17" t="s">
        <v>29</v>
      </c>
      <c r="H17" t="s">
        <v>21</v>
      </c>
      <c r="I17" s="3">
        <v>17743</v>
      </c>
      <c r="J17" s="3" t="str">
        <f>IF(I17&gt;16000, "High", IF(I17&gt;=12000, IF(I17&lt;=15000, "Medium", "High"), "Low"))</f>
        <v>High</v>
      </c>
      <c r="K17" t="b">
        <v>1</v>
      </c>
      <c r="L17" t="b">
        <v>1</v>
      </c>
      <c r="M17" t="b">
        <v>0</v>
      </c>
    </row>
    <row r="18" spans="1:13" hidden="1" x14ac:dyDescent="0.3">
      <c r="A18">
        <v>20</v>
      </c>
      <c r="B18" t="s">
        <v>12</v>
      </c>
      <c r="C18" s="1">
        <v>6</v>
      </c>
      <c r="D18" t="s">
        <v>19</v>
      </c>
      <c r="E18" t="s">
        <v>14</v>
      </c>
      <c r="F18" t="s">
        <v>15</v>
      </c>
      <c r="G18" t="s">
        <v>23</v>
      </c>
      <c r="H18" t="s">
        <v>17</v>
      </c>
      <c r="I18" s="3">
        <v>18540</v>
      </c>
      <c r="J18" s="3" t="str">
        <f>IF(I18&gt;16000, "High", IF(I18&gt;=12000, IF(I18&lt;=15000, "Medium", "High"), "Low"))</f>
        <v>High</v>
      </c>
      <c r="K18" t="b">
        <v>1</v>
      </c>
      <c r="L18" t="b">
        <v>1</v>
      </c>
      <c r="M18" t="b">
        <v>0</v>
      </c>
    </row>
    <row r="19" spans="1:13" hidden="1" x14ac:dyDescent="0.3">
      <c r="A19">
        <v>39</v>
      </c>
      <c r="B19" t="s">
        <v>12</v>
      </c>
      <c r="C19" s="1">
        <v>8</v>
      </c>
      <c r="D19" t="s">
        <v>13</v>
      </c>
      <c r="E19" t="s">
        <v>20</v>
      </c>
      <c r="F19" t="s">
        <v>27</v>
      </c>
      <c r="G19" t="s">
        <v>23</v>
      </c>
      <c r="H19" t="s">
        <v>21</v>
      </c>
      <c r="I19" s="3">
        <v>14732</v>
      </c>
      <c r="J19" s="3" t="str">
        <f>IF(I19&gt;16000, "High", IF(I19&gt;=12000, IF(I19&lt;=15000, "Medium", "High"), "Low"))</f>
        <v>Medium</v>
      </c>
      <c r="K19" t="b">
        <v>1</v>
      </c>
      <c r="L19" t="b">
        <v>1</v>
      </c>
      <c r="M19" t="b">
        <v>0</v>
      </c>
    </row>
    <row r="20" spans="1:13" hidden="1" x14ac:dyDescent="0.3">
      <c r="A20">
        <v>19</v>
      </c>
      <c r="B20" t="s">
        <v>18</v>
      </c>
      <c r="C20" s="1">
        <v>7</v>
      </c>
      <c r="D20" t="s">
        <v>13</v>
      </c>
      <c r="E20" t="s">
        <v>14</v>
      </c>
      <c r="F20" t="s">
        <v>15</v>
      </c>
      <c r="G20" t="s">
        <v>29</v>
      </c>
      <c r="H20" t="s">
        <v>24</v>
      </c>
      <c r="I20" s="3">
        <v>11017</v>
      </c>
      <c r="J20" s="3" t="str">
        <f>IF(I20&gt;16000, "High", IF(I20&gt;=12000, IF(I20&lt;=15000, "Medium", "High"), "Low"))</f>
        <v>Low</v>
      </c>
      <c r="K20" t="b">
        <v>0</v>
      </c>
      <c r="L20" t="b">
        <v>1</v>
      </c>
      <c r="M20" t="b">
        <v>1</v>
      </c>
    </row>
    <row r="21" spans="1:13" x14ac:dyDescent="0.3">
      <c r="A21">
        <v>41</v>
      </c>
      <c r="B21" t="s">
        <v>18</v>
      </c>
      <c r="C21" s="1">
        <v>9</v>
      </c>
      <c r="D21" t="s">
        <v>19</v>
      </c>
      <c r="E21" t="s">
        <v>14</v>
      </c>
      <c r="F21" t="s">
        <v>27</v>
      </c>
      <c r="G21" t="s">
        <v>23</v>
      </c>
      <c r="H21" t="s">
        <v>21</v>
      </c>
      <c r="I21" s="3">
        <v>12226</v>
      </c>
      <c r="J21" s="3" t="str">
        <f>IF(I21&gt;16000, "High", IF(I21&gt;=12000, IF(I21&lt;=15000, "Medium", "High"), "Low"))</f>
        <v>Medium</v>
      </c>
      <c r="K21" t="b">
        <v>0</v>
      </c>
      <c r="L21" t="b">
        <v>0</v>
      </c>
      <c r="M21" t="b">
        <v>0</v>
      </c>
    </row>
    <row r="22" spans="1:13" x14ac:dyDescent="0.3">
      <c r="A22">
        <v>29</v>
      </c>
      <c r="B22" t="s">
        <v>18</v>
      </c>
      <c r="C22" s="1">
        <v>9</v>
      </c>
      <c r="D22" t="s">
        <v>19</v>
      </c>
      <c r="E22" t="s">
        <v>26</v>
      </c>
      <c r="F22" t="s">
        <v>27</v>
      </c>
      <c r="G22" t="s">
        <v>23</v>
      </c>
      <c r="H22" t="s">
        <v>21</v>
      </c>
      <c r="I22" s="3">
        <v>11840</v>
      </c>
      <c r="J22" s="3" t="str">
        <f>IF(I22&gt;16000, "High", IF(I22&gt;=12000, IF(I22&lt;=15000, "Medium", "High"), "Low"))</f>
        <v>Low</v>
      </c>
      <c r="K22" t="b">
        <v>0</v>
      </c>
      <c r="L22" t="b">
        <v>1</v>
      </c>
      <c r="M22" t="b">
        <v>0</v>
      </c>
    </row>
    <row r="23" spans="1:13" hidden="1" x14ac:dyDescent="0.3">
      <c r="A23">
        <v>47</v>
      </c>
      <c r="B23" t="s">
        <v>12</v>
      </c>
      <c r="C23" s="1">
        <v>2</v>
      </c>
      <c r="D23" t="s">
        <v>13</v>
      </c>
      <c r="E23" t="s">
        <v>14</v>
      </c>
      <c r="F23" t="s">
        <v>15</v>
      </c>
      <c r="G23" t="s">
        <v>29</v>
      </c>
      <c r="H23" t="s">
        <v>17</v>
      </c>
      <c r="I23" s="3">
        <v>17170</v>
      </c>
      <c r="J23" s="3" t="str">
        <f>IF(I23&gt;16000, "High", IF(I23&gt;=12000, IF(I23&lt;=15000, "Medium", "High"), "Low"))</f>
        <v>High</v>
      </c>
      <c r="K23" t="b">
        <v>0</v>
      </c>
      <c r="L23" t="b">
        <v>0</v>
      </c>
      <c r="M23" t="b">
        <v>1</v>
      </c>
    </row>
    <row r="24" spans="1:13" hidden="1" x14ac:dyDescent="0.3">
      <c r="A24">
        <v>55</v>
      </c>
      <c r="B24" t="s">
        <v>25</v>
      </c>
      <c r="C24" s="1">
        <v>7</v>
      </c>
      <c r="D24" t="s">
        <v>28</v>
      </c>
      <c r="E24" t="s">
        <v>20</v>
      </c>
      <c r="F24" t="s">
        <v>22</v>
      </c>
      <c r="G24" t="s">
        <v>16</v>
      </c>
      <c r="H24" t="s">
        <v>21</v>
      </c>
      <c r="I24" s="3">
        <v>16207</v>
      </c>
      <c r="J24" s="3" t="str">
        <f>IF(I24&gt;16000, "High", IF(I24&gt;=12000, IF(I24&lt;=15000, "Medium", "High"), "Low"))</f>
        <v>High</v>
      </c>
      <c r="K24" t="b">
        <v>1</v>
      </c>
      <c r="L24" t="b">
        <v>0</v>
      </c>
      <c r="M24" t="b">
        <v>1</v>
      </c>
    </row>
    <row r="25" spans="1:13" hidden="1" x14ac:dyDescent="0.3">
      <c r="A25">
        <v>19</v>
      </c>
      <c r="B25" t="s">
        <v>12</v>
      </c>
      <c r="C25" s="1">
        <v>6</v>
      </c>
      <c r="D25" t="s">
        <v>28</v>
      </c>
      <c r="E25" t="s">
        <v>20</v>
      </c>
      <c r="F25" t="s">
        <v>27</v>
      </c>
      <c r="G25" t="s">
        <v>29</v>
      </c>
      <c r="H25" t="s">
        <v>24</v>
      </c>
      <c r="I25" s="3">
        <v>12419</v>
      </c>
      <c r="J25" s="3" t="str">
        <f>IF(I25&gt;16000, "High", IF(I25&gt;=12000, IF(I25&lt;=15000, "Medium", "High"), "Low"))</f>
        <v>Medium</v>
      </c>
      <c r="K25" t="b">
        <v>1</v>
      </c>
      <c r="L25" t="b">
        <v>1</v>
      </c>
      <c r="M25" t="b">
        <v>1</v>
      </c>
    </row>
    <row r="26" spans="1:13" hidden="1" x14ac:dyDescent="0.3">
      <c r="A26">
        <v>38</v>
      </c>
      <c r="B26" t="s">
        <v>18</v>
      </c>
      <c r="C26" s="1">
        <v>1</v>
      </c>
      <c r="D26" t="s">
        <v>28</v>
      </c>
      <c r="E26" t="s">
        <v>14</v>
      </c>
      <c r="F26" t="s">
        <v>22</v>
      </c>
      <c r="G26" t="s">
        <v>23</v>
      </c>
      <c r="H26" t="s">
        <v>17</v>
      </c>
      <c r="I26" s="3">
        <v>16240</v>
      </c>
      <c r="J26" s="3" t="str">
        <f>IF(I26&gt;16000, "High", IF(I26&gt;=12000, IF(I26&lt;=15000, "Medium", "High"), "Low"))</f>
        <v>High</v>
      </c>
      <c r="K26" t="b">
        <v>1</v>
      </c>
      <c r="L26" t="b">
        <v>1</v>
      </c>
      <c r="M26" t="b">
        <v>1</v>
      </c>
    </row>
    <row r="27" spans="1:13" hidden="1" x14ac:dyDescent="0.3">
      <c r="A27">
        <v>50</v>
      </c>
      <c r="B27" t="s">
        <v>25</v>
      </c>
      <c r="C27" s="1">
        <v>9</v>
      </c>
      <c r="D27" t="s">
        <v>13</v>
      </c>
      <c r="E27" t="s">
        <v>14</v>
      </c>
      <c r="F27" t="s">
        <v>15</v>
      </c>
      <c r="G27" t="s">
        <v>29</v>
      </c>
      <c r="H27" t="s">
        <v>17</v>
      </c>
      <c r="I27" s="3">
        <v>11893</v>
      </c>
      <c r="J27" s="3" t="str">
        <f>IF(I27&gt;16000, "High", IF(I27&gt;=12000, IF(I27&lt;=15000, "Medium", "High"), "Low"))</f>
        <v>Low</v>
      </c>
      <c r="K27" t="b">
        <v>1</v>
      </c>
      <c r="L27" t="b">
        <v>0</v>
      </c>
      <c r="M27" t="b">
        <v>0</v>
      </c>
    </row>
    <row r="28" spans="1:13" hidden="1" x14ac:dyDescent="0.3">
      <c r="A28">
        <v>29</v>
      </c>
      <c r="B28" t="s">
        <v>25</v>
      </c>
      <c r="C28" s="1">
        <v>9</v>
      </c>
      <c r="D28" t="s">
        <v>19</v>
      </c>
      <c r="E28" t="s">
        <v>20</v>
      </c>
      <c r="F28" t="s">
        <v>22</v>
      </c>
      <c r="G28" t="s">
        <v>29</v>
      </c>
      <c r="H28" t="s">
        <v>21</v>
      </c>
      <c r="I28" s="3">
        <v>15322</v>
      </c>
      <c r="J28" s="3" t="str">
        <f>IF(I28&gt;16000, "High", IF(I28&gt;=12000, IF(I28&lt;=15000, "Medium", "High"), "Low"))</f>
        <v>High</v>
      </c>
      <c r="K28" t="b">
        <v>1</v>
      </c>
      <c r="L28" t="b">
        <v>0</v>
      </c>
      <c r="M28" t="b">
        <v>1</v>
      </c>
    </row>
    <row r="29" spans="1:13" hidden="1" x14ac:dyDescent="0.3">
      <c r="A29">
        <v>39</v>
      </c>
      <c r="B29" t="s">
        <v>12</v>
      </c>
      <c r="C29" s="1">
        <v>2</v>
      </c>
      <c r="D29" t="s">
        <v>13</v>
      </c>
      <c r="E29" t="s">
        <v>26</v>
      </c>
      <c r="F29" t="s">
        <v>22</v>
      </c>
      <c r="G29" t="s">
        <v>16</v>
      </c>
      <c r="H29" t="s">
        <v>17</v>
      </c>
      <c r="I29" s="3">
        <v>17718</v>
      </c>
      <c r="J29" s="3" t="str">
        <f>IF(I29&gt;16000, "High", IF(I29&gt;=12000, IF(I29&lt;=15000, "Medium", "High"), "Low"))</f>
        <v>High</v>
      </c>
      <c r="K29" t="b">
        <v>1</v>
      </c>
      <c r="L29" t="b">
        <v>0</v>
      </c>
      <c r="M29" t="b">
        <v>0</v>
      </c>
    </row>
    <row r="30" spans="1:13" x14ac:dyDescent="0.3">
      <c r="A30">
        <v>53</v>
      </c>
      <c r="B30" t="s">
        <v>18</v>
      </c>
      <c r="C30" s="1">
        <v>3</v>
      </c>
      <c r="D30" t="s">
        <v>19</v>
      </c>
      <c r="E30" t="s">
        <v>26</v>
      </c>
      <c r="F30" t="s">
        <v>27</v>
      </c>
      <c r="G30" t="s">
        <v>16</v>
      </c>
      <c r="H30" t="s">
        <v>21</v>
      </c>
      <c r="I30" s="3">
        <v>17226</v>
      </c>
      <c r="J30" s="3" t="str">
        <f>IF(I30&gt;16000, "High", IF(I30&gt;=12000, IF(I30&lt;=15000, "Medium", "High"), "Low"))</f>
        <v>High</v>
      </c>
      <c r="K30" t="b">
        <v>0</v>
      </c>
      <c r="L30" t="b">
        <v>1</v>
      </c>
      <c r="M30" t="b">
        <v>1</v>
      </c>
    </row>
    <row r="31" spans="1:13" hidden="1" x14ac:dyDescent="0.3">
      <c r="A31">
        <v>42</v>
      </c>
      <c r="B31" t="s">
        <v>12</v>
      </c>
      <c r="C31" s="1">
        <v>5</v>
      </c>
      <c r="D31" t="s">
        <v>28</v>
      </c>
      <c r="E31" t="s">
        <v>20</v>
      </c>
      <c r="F31" t="s">
        <v>22</v>
      </c>
      <c r="G31" t="s">
        <v>16</v>
      </c>
      <c r="H31" t="s">
        <v>17</v>
      </c>
      <c r="I31" s="3">
        <v>11125</v>
      </c>
      <c r="J31" s="3" t="str">
        <f>IF(I31&gt;16000, "High", IF(I31&gt;=12000, IF(I31&lt;=15000, "Medium", "High"), "Low"))</f>
        <v>Low</v>
      </c>
      <c r="K31" t="b">
        <v>1</v>
      </c>
      <c r="L31" t="b">
        <v>0</v>
      </c>
      <c r="M31" t="b">
        <v>1</v>
      </c>
    </row>
    <row r="32" spans="1:13" hidden="1" x14ac:dyDescent="0.3">
      <c r="A32">
        <v>44</v>
      </c>
      <c r="B32" t="s">
        <v>25</v>
      </c>
      <c r="C32" s="1">
        <v>5</v>
      </c>
      <c r="D32" t="s">
        <v>28</v>
      </c>
      <c r="E32" t="s">
        <v>14</v>
      </c>
      <c r="F32" t="s">
        <v>22</v>
      </c>
      <c r="G32" t="s">
        <v>23</v>
      </c>
      <c r="H32" t="s">
        <v>17</v>
      </c>
      <c r="I32" s="3">
        <v>13117</v>
      </c>
      <c r="J32" s="3" t="str">
        <f>IF(I32&gt;16000, "High", IF(I32&gt;=12000, IF(I32&lt;=15000, "Medium", "High"), "Low"))</f>
        <v>Medium</v>
      </c>
      <c r="K32" t="b">
        <v>0</v>
      </c>
      <c r="L32" t="b">
        <v>0</v>
      </c>
      <c r="M32" t="b">
        <v>1</v>
      </c>
    </row>
    <row r="33" spans="1:13" hidden="1" x14ac:dyDescent="0.3">
      <c r="A33">
        <v>59</v>
      </c>
      <c r="B33" t="s">
        <v>12</v>
      </c>
      <c r="C33" s="1">
        <v>1</v>
      </c>
      <c r="D33" t="s">
        <v>19</v>
      </c>
      <c r="E33" t="s">
        <v>14</v>
      </c>
      <c r="F33" t="s">
        <v>27</v>
      </c>
      <c r="G33" t="s">
        <v>16</v>
      </c>
      <c r="H33" t="s">
        <v>24</v>
      </c>
      <c r="I33" s="3">
        <v>14161</v>
      </c>
      <c r="J33" s="3" t="str">
        <f>IF(I33&gt;16000, "High", IF(I33&gt;=12000, IF(I33&lt;=15000, "Medium", "High"), "Low"))</f>
        <v>Medium</v>
      </c>
      <c r="K33" t="b">
        <v>0</v>
      </c>
      <c r="L33" t="b">
        <v>0</v>
      </c>
      <c r="M33" t="b">
        <v>1</v>
      </c>
    </row>
    <row r="34" spans="1:13" hidden="1" x14ac:dyDescent="0.3">
      <c r="A34">
        <v>45</v>
      </c>
      <c r="B34" t="s">
        <v>12</v>
      </c>
      <c r="C34" s="1">
        <v>8</v>
      </c>
      <c r="D34" t="s">
        <v>19</v>
      </c>
      <c r="E34" t="s">
        <v>26</v>
      </c>
      <c r="F34" t="s">
        <v>27</v>
      </c>
      <c r="G34" t="s">
        <v>29</v>
      </c>
      <c r="H34" t="s">
        <v>17</v>
      </c>
      <c r="I34" s="3">
        <v>14042</v>
      </c>
      <c r="J34" s="3" t="str">
        <f>IF(I34&gt;16000, "High", IF(I34&gt;=12000, IF(I34&lt;=15000, "Medium", "High"), "Low"))</f>
        <v>Medium</v>
      </c>
      <c r="K34" t="b">
        <v>1</v>
      </c>
      <c r="L34" t="b">
        <v>0</v>
      </c>
      <c r="M34" t="b">
        <v>1</v>
      </c>
    </row>
    <row r="35" spans="1:13" hidden="1" x14ac:dyDescent="0.3">
      <c r="A35">
        <v>33</v>
      </c>
      <c r="B35" t="s">
        <v>18</v>
      </c>
      <c r="C35" s="1">
        <v>8</v>
      </c>
      <c r="D35" t="s">
        <v>13</v>
      </c>
      <c r="E35" t="s">
        <v>26</v>
      </c>
      <c r="F35" t="s">
        <v>27</v>
      </c>
      <c r="G35" t="s">
        <v>16</v>
      </c>
      <c r="H35" t="s">
        <v>17</v>
      </c>
      <c r="I35" s="3">
        <v>14433</v>
      </c>
      <c r="J35" s="3" t="str">
        <f>IF(I35&gt;16000, "High", IF(I35&gt;=12000, IF(I35&lt;=15000, "Medium", "High"), "Low"))</f>
        <v>Medium</v>
      </c>
      <c r="K35" t="b">
        <v>0</v>
      </c>
      <c r="L35" t="b">
        <v>1</v>
      </c>
      <c r="M35" t="b">
        <v>1</v>
      </c>
    </row>
    <row r="36" spans="1:13" hidden="1" x14ac:dyDescent="0.3">
      <c r="A36">
        <v>32</v>
      </c>
      <c r="B36" t="s">
        <v>18</v>
      </c>
      <c r="C36" s="1">
        <v>4</v>
      </c>
      <c r="D36" t="s">
        <v>28</v>
      </c>
      <c r="E36" t="s">
        <v>20</v>
      </c>
      <c r="F36" t="s">
        <v>15</v>
      </c>
      <c r="G36" t="s">
        <v>23</v>
      </c>
      <c r="H36" t="s">
        <v>17</v>
      </c>
      <c r="I36" s="3">
        <v>18638</v>
      </c>
      <c r="J36" s="3" t="str">
        <f>IF(I36&gt;16000, "High", IF(I36&gt;=12000, IF(I36&lt;=15000, "Medium", "High"), "Low"))</f>
        <v>High</v>
      </c>
      <c r="K36" t="b">
        <v>1</v>
      </c>
      <c r="L36" t="b">
        <v>1</v>
      </c>
      <c r="M36" t="b">
        <v>1</v>
      </c>
    </row>
    <row r="37" spans="1:13" hidden="1" x14ac:dyDescent="0.3">
      <c r="A37">
        <v>64</v>
      </c>
      <c r="B37" t="s">
        <v>25</v>
      </c>
      <c r="C37" s="1">
        <v>7</v>
      </c>
      <c r="D37" t="s">
        <v>13</v>
      </c>
      <c r="E37" t="s">
        <v>26</v>
      </c>
      <c r="F37" t="s">
        <v>22</v>
      </c>
      <c r="G37" t="s">
        <v>23</v>
      </c>
      <c r="H37" t="s">
        <v>17</v>
      </c>
      <c r="I37" s="3">
        <v>12658</v>
      </c>
      <c r="J37" s="3" t="str">
        <f>IF(I37&gt;16000, "High", IF(I37&gt;=12000, IF(I37&lt;=15000, "Medium", "High"), "Low"))</f>
        <v>Medium</v>
      </c>
      <c r="K37" t="b">
        <v>1</v>
      </c>
      <c r="L37" t="b">
        <v>1</v>
      </c>
      <c r="M37" t="b">
        <v>0</v>
      </c>
    </row>
    <row r="38" spans="1:13" hidden="1" x14ac:dyDescent="0.3">
      <c r="A38">
        <v>61</v>
      </c>
      <c r="B38" t="s">
        <v>12</v>
      </c>
      <c r="C38" s="1">
        <v>3</v>
      </c>
      <c r="D38" t="s">
        <v>13</v>
      </c>
      <c r="E38" t="s">
        <v>20</v>
      </c>
      <c r="F38" t="s">
        <v>27</v>
      </c>
      <c r="G38" t="s">
        <v>29</v>
      </c>
      <c r="H38" t="s">
        <v>24</v>
      </c>
      <c r="I38" s="3">
        <v>13483</v>
      </c>
      <c r="J38" s="3" t="str">
        <f>IF(I38&gt;16000, "High", IF(I38&gt;=12000, IF(I38&lt;=15000, "Medium", "High"), "Low"))</f>
        <v>Medium</v>
      </c>
      <c r="K38" t="b">
        <v>0</v>
      </c>
      <c r="L38" t="b">
        <v>1</v>
      </c>
      <c r="M38" t="b">
        <v>0</v>
      </c>
    </row>
    <row r="39" spans="1:13" hidden="1" x14ac:dyDescent="0.3">
      <c r="A39">
        <v>20</v>
      </c>
      <c r="B39" t="s">
        <v>12</v>
      </c>
      <c r="C39" s="1">
        <v>6</v>
      </c>
      <c r="D39" t="s">
        <v>13</v>
      </c>
      <c r="E39" t="s">
        <v>26</v>
      </c>
      <c r="F39" t="s">
        <v>15</v>
      </c>
      <c r="G39" t="s">
        <v>23</v>
      </c>
      <c r="H39" t="s">
        <v>17</v>
      </c>
      <c r="I39" s="3">
        <v>12944</v>
      </c>
      <c r="J39" s="3" t="str">
        <f>IF(I39&gt;16000, "High", IF(I39&gt;=12000, IF(I39&lt;=15000, "Medium", "High"), "Low"))</f>
        <v>Medium</v>
      </c>
      <c r="K39" t="b">
        <v>1</v>
      </c>
      <c r="L39" t="b">
        <v>0</v>
      </c>
      <c r="M39" t="b">
        <v>0</v>
      </c>
    </row>
    <row r="40" spans="1:13" hidden="1" x14ac:dyDescent="0.3">
      <c r="A40">
        <v>54</v>
      </c>
      <c r="B40" t="s">
        <v>12</v>
      </c>
      <c r="C40" s="1">
        <v>9</v>
      </c>
      <c r="D40" t="s">
        <v>28</v>
      </c>
      <c r="E40" t="s">
        <v>26</v>
      </c>
      <c r="F40" t="s">
        <v>27</v>
      </c>
      <c r="G40" t="s">
        <v>16</v>
      </c>
      <c r="H40" t="s">
        <v>24</v>
      </c>
      <c r="I40" s="3">
        <v>17210</v>
      </c>
      <c r="J40" s="3" t="str">
        <f>IF(I40&gt;16000, "High", IF(I40&gt;=12000, IF(I40&lt;=15000, "Medium", "High"), "Low"))</f>
        <v>High</v>
      </c>
      <c r="K40" t="b">
        <v>1</v>
      </c>
      <c r="L40" t="b">
        <v>1</v>
      </c>
      <c r="M40" t="b">
        <v>0</v>
      </c>
    </row>
    <row r="41" spans="1:13" hidden="1" x14ac:dyDescent="0.3">
      <c r="A41">
        <v>24</v>
      </c>
      <c r="B41" t="s">
        <v>25</v>
      </c>
      <c r="C41" s="1">
        <v>1</v>
      </c>
      <c r="D41" t="s">
        <v>13</v>
      </c>
      <c r="E41" t="s">
        <v>26</v>
      </c>
      <c r="F41" t="s">
        <v>27</v>
      </c>
      <c r="G41" t="s">
        <v>29</v>
      </c>
      <c r="H41" t="s">
        <v>17</v>
      </c>
      <c r="I41" s="3">
        <v>17653</v>
      </c>
      <c r="J41" s="3" t="str">
        <f>IF(I41&gt;16000, "High", IF(I41&gt;=12000, IF(I41&lt;=15000, "Medium", "High"), "Low"))</f>
        <v>High</v>
      </c>
      <c r="K41" t="b">
        <v>1</v>
      </c>
      <c r="L41" t="b">
        <v>0</v>
      </c>
      <c r="M41" t="b">
        <v>1</v>
      </c>
    </row>
    <row r="42" spans="1:13" hidden="1" x14ac:dyDescent="0.3">
      <c r="A42">
        <v>38</v>
      </c>
      <c r="B42" t="s">
        <v>25</v>
      </c>
      <c r="C42" s="1">
        <v>5</v>
      </c>
      <c r="D42" t="s">
        <v>13</v>
      </c>
      <c r="E42" t="s">
        <v>14</v>
      </c>
      <c r="F42" t="s">
        <v>22</v>
      </c>
      <c r="G42" t="s">
        <v>23</v>
      </c>
      <c r="H42" t="s">
        <v>17</v>
      </c>
      <c r="I42" s="3">
        <v>18787</v>
      </c>
      <c r="J42" s="3" t="str">
        <f>IF(I42&gt;16000, "High", IF(I42&gt;=12000, IF(I42&lt;=15000, "Medium", "High"), "Low"))</f>
        <v>High</v>
      </c>
      <c r="K42" t="b">
        <v>1</v>
      </c>
      <c r="L42" t="b">
        <v>1</v>
      </c>
      <c r="M42" t="b">
        <v>1</v>
      </c>
    </row>
    <row r="43" spans="1:13" hidden="1" x14ac:dyDescent="0.3">
      <c r="A43">
        <v>26</v>
      </c>
      <c r="B43" t="s">
        <v>18</v>
      </c>
      <c r="C43" s="1">
        <v>4</v>
      </c>
      <c r="D43" t="s">
        <v>13</v>
      </c>
      <c r="E43" t="s">
        <v>14</v>
      </c>
      <c r="F43" t="s">
        <v>15</v>
      </c>
      <c r="G43" t="s">
        <v>23</v>
      </c>
      <c r="H43" t="s">
        <v>17</v>
      </c>
      <c r="I43" s="3">
        <v>11986</v>
      </c>
      <c r="J43" s="3" t="str">
        <f>IF(I43&gt;16000, "High", IF(I43&gt;=12000, IF(I43&lt;=15000, "Medium", "High"), "Low"))</f>
        <v>Low</v>
      </c>
      <c r="K43" t="b">
        <v>1</v>
      </c>
      <c r="L43" t="b">
        <v>0</v>
      </c>
      <c r="M43" t="b">
        <v>0</v>
      </c>
    </row>
    <row r="44" spans="1:13" hidden="1" x14ac:dyDescent="0.3">
      <c r="A44">
        <v>56</v>
      </c>
      <c r="B44" t="s">
        <v>18</v>
      </c>
      <c r="C44" s="1">
        <v>8</v>
      </c>
      <c r="D44" t="s">
        <v>13</v>
      </c>
      <c r="E44" t="s">
        <v>14</v>
      </c>
      <c r="F44" t="s">
        <v>22</v>
      </c>
      <c r="G44" t="s">
        <v>16</v>
      </c>
      <c r="H44" t="s">
        <v>17</v>
      </c>
      <c r="I44" s="3">
        <v>11074</v>
      </c>
      <c r="J44" s="3" t="str">
        <f>IF(I44&gt;16000, "High", IF(I44&gt;=12000, IF(I44&lt;=15000, "Medium", "High"), "Low"))</f>
        <v>Low</v>
      </c>
      <c r="K44" t="b">
        <v>1</v>
      </c>
      <c r="L44" t="b">
        <v>0</v>
      </c>
      <c r="M44" t="b">
        <v>0</v>
      </c>
    </row>
    <row r="45" spans="1:13" hidden="1" x14ac:dyDescent="0.3">
      <c r="A45">
        <v>35</v>
      </c>
      <c r="B45" t="s">
        <v>18</v>
      </c>
      <c r="C45" s="1">
        <v>1</v>
      </c>
      <c r="D45" t="s">
        <v>13</v>
      </c>
      <c r="E45" t="s">
        <v>26</v>
      </c>
      <c r="F45" t="s">
        <v>22</v>
      </c>
      <c r="G45" t="s">
        <v>16</v>
      </c>
      <c r="H45" t="s">
        <v>24</v>
      </c>
      <c r="I45" s="3">
        <v>14305</v>
      </c>
      <c r="J45" s="3" t="str">
        <f>IF(I45&gt;16000, "High", IF(I45&gt;=12000, IF(I45&lt;=15000, "Medium", "High"), "Low"))</f>
        <v>Medium</v>
      </c>
      <c r="K45" t="b">
        <v>1</v>
      </c>
      <c r="L45" t="b">
        <v>1</v>
      </c>
      <c r="M45" t="b">
        <v>0</v>
      </c>
    </row>
    <row r="46" spans="1:13" hidden="1" x14ac:dyDescent="0.3">
      <c r="A46">
        <v>21</v>
      </c>
      <c r="B46" t="s">
        <v>12</v>
      </c>
      <c r="C46" s="1">
        <v>9</v>
      </c>
      <c r="D46" t="s">
        <v>13</v>
      </c>
      <c r="E46" t="s">
        <v>20</v>
      </c>
      <c r="F46" t="s">
        <v>27</v>
      </c>
      <c r="G46" t="s">
        <v>29</v>
      </c>
      <c r="H46" t="s">
        <v>24</v>
      </c>
      <c r="I46" s="3">
        <v>13007</v>
      </c>
      <c r="J46" s="3" t="str">
        <f>IF(I46&gt;16000, "High", IF(I46&gt;=12000, IF(I46&lt;=15000, "Medium", "High"), "Low"))</f>
        <v>Medium</v>
      </c>
      <c r="K46" t="b">
        <v>0</v>
      </c>
      <c r="L46" t="b">
        <v>1</v>
      </c>
      <c r="M46" t="b">
        <v>1</v>
      </c>
    </row>
    <row r="47" spans="1:13" hidden="1" x14ac:dyDescent="0.3">
      <c r="A47">
        <v>42</v>
      </c>
      <c r="B47" t="s">
        <v>12</v>
      </c>
      <c r="C47" s="1">
        <v>6</v>
      </c>
      <c r="D47" t="s">
        <v>28</v>
      </c>
      <c r="E47" t="s">
        <v>20</v>
      </c>
      <c r="F47" t="s">
        <v>22</v>
      </c>
      <c r="G47" t="s">
        <v>23</v>
      </c>
      <c r="H47" t="s">
        <v>24</v>
      </c>
      <c r="I47" s="3">
        <v>10969</v>
      </c>
      <c r="J47" s="3" t="str">
        <f>IF(I47&gt;16000, "High", IF(I47&gt;=12000, IF(I47&lt;=15000, "Medium", "High"), "Low"))</f>
        <v>Low</v>
      </c>
      <c r="K47" t="b">
        <v>0</v>
      </c>
      <c r="L47" t="b">
        <v>0</v>
      </c>
      <c r="M47" t="b">
        <v>1</v>
      </c>
    </row>
    <row r="48" spans="1:13" hidden="1" x14ac:dyDescent="0.3">
      <c r="A48">
        <v>31</v>
      </c>
      <c r="B48" t="s">
        <v>18</v>
      </c>
      <c r="C48" s="1">
        <v>4</v>
      </c>
      <c r="D48" t="s">
        <v>13</v>
      </c>
      <c r="E48" t="s">
        <v>20</v>
      </c>
      <c r="F48" t="s">
        <v>15</v>
      </c>
      <c r="G48" t="s">
        <v>16</v>
      </c>
      <c r="H48" t="s">
        <v>21</v>
      </c>
      <c r="I48" s="3">
        <v>18772</v>
      </c>
      <c r="J48" s="3" t="str">
        <f>IF(I48&gt;16000, "High", IF(I48&gt;=12000, IF(I48&lt;=15000, "Medium", "High"), "Low"))</f>
        <v>High</v>
      </c>
      <c r="K48" t="b">
        <v>1</v>
      </c>
      <c r="L48" t="b">
        <v>0</v>
      </c>
      <c r="M48" t="b">
        <v>1</v>
      </c>
    </row>
    <row r="49" spans="1:13" hidden="1" x14ac:dyDescent="0.3">
      <c r="A49">
        <v>26</v>
      </c>
      <c r="B49" t="s">
        <v>12</v>
      </c>
      <c r="C49" s="1">
        <v>9</v>
      </c>
      <c r="D49" t="s">
        <v>19</v>
      </c>
      <c r="E49" t="s">
        <v>20</v>
      </c>
      <c r="F49" t="s">
        <v>22</v>
      </c>
      <c r="G49" t="s">
        <v>29</v>
      </c>
      <c r="H49" t="s">
        <v>17</v>
      </c>
      <c r="I49" s="3">
        <v>12824</v>
      </c>
      <c r="J49" s="3" t="str">
        <f>IF(I49&gt;16000, "High", IF(I49&gt;=12000, IF(I49&lt;=15000, "Medium", "High"), "Low"))</f>
        <v>Medium</v>
      </c>
      <c r="K49" t="b">
        <v>0</v>
      </c>
      <c r="L49" t="b">
        <v>0</v>
      </c>
      <c r="M49" t="b">
        <v>0</v>
      </c>
    </row>
    <row r="50" spans="1:13" hidden="1" x14ac:dyDescent="0.3">
      <c r="A50">
        <v>43</v>
      </c>
      <c r="B50" t="s">
        <v>18</v>
      </c>
      <c r="C50" s="1">
        <v>5</v>
      </c>
      <c r="D50" t="s">
        <v>13</v>
      </c>
      <c r="E50" t="s">
        <v>14</v>
      </c>
      <c r="F50" t="s">
        <v>22</v>
      </c>
      <c r="G50" t="s">
        <v>23</v>
      </c>
      <c r="H50" t="s">
        <v>17</v>
      </c>
      <c r="I50" s="3">
        <v>11211</v>
      </c>
      <c r="J50" s="3" t="str">
        <f>IF(I50&gt;16000, "High", IF(I50&gt;=12000, IF(I50&lt;=15000, "Medium", "High"), "Low"))</f>
        <v>Low</v>
      </c>
      <c r="K50" t="b">
        <v>1</v>
      </c>
      <c r="L50" t="b">
        <v>1</v>
      </c>
      <c r="M50" t="b">
        <v>0</v>
      </c>
    </row>
    <row r="51" spans="1:13" hidden="1" x14ac:dyDescent="0.3">
      <c r="A51">
        <v>19</v>
      </c>
      <c r="B51" t="s">
        <v>25</v>
      </c>
      <c r="C51" s="1">
        <v>5</v>
      </c>
      <c r="D51" t="s">
        <v>13</v>
      </c>
      <c r="E51" t="s">
        <v>14</v>
      </c>
      <c r="F51" t="s">
        <v>22</v>
      </c>
      <c r="G51" t="s">
        <v>23</v>
      </c>
      <c r="H51" t="s">
        <v>24</v>
      </c>
      <c r="I51" s="3">
        <v>10229</v>
      </c>
      <c r="J51" s="3" t="str">
        <f>IF(I51&gt;16000, "High", IF(I51&gt;=12000, IF(I51&lt;=15000, "Medium", "High"), "Low"))</f>
        <v>Low</v>
      </c>
      <c r="K51" t="b">
        <v>1</v>
      </c>
      <c r="L51" t="b">
        <v>1</v>
      </c>
      <c r="M51" t="b">
        <v>1</v>
      </c>
    </row>
    <row r="52" spans="1:13" hidden="1" x14ac:dyDescent="0.3">
      <c r="A52">
        <v>37</v>
      </c>
      <c r="B52" t="s">
        <v>18</v>
      </c>
      <c r="C52" s="1">
        <v>5</v>
      </c>
      <c r="D52" t="s">
        <v>28</v>
      </c>
      <c r="E52" t="s">
        <v>26</v>
      </c>
      <c r="F52" t="s">
        <v>27</v>
      </c>
      <c r="G52" t="s">
        <v>29</v>
      </c>
      <c r="H52" t="s">
        <v>21</v>
      </c>
      <c r="I52" s="3">
        <v>14284</v>
      </c>
      <c r="J52" s="3" t="str">
        <f>IF(I52&gt;16000, "High", IF(I52&gt;=12000, IF(I52&lt;=15000, "Medium", "High"), "Low"))</f>
        <v>Medium</v>
      </c>
      <c r="K52" t="b">
        <v>1</v>
      </c>
      <c r="L52" t="b">
        <v>0</v>
      </c>
      <c r="M52" t="b">
        <v>1</v>
      </c>
    </row>
    <row r="53" spans="1:13" hidden="1" x14ac:dyDescent="0.3">
      <c r="A53">
        <v>45</v>
      </c>
      <c r="B53" t="s">
        <v>25</v>
      </c>
      <c r="C53" s="1">
        <v>1</v>
      </c>
      <c r="D53" t="s">
        <v>28</v>
      </c>
      <c r="E53" t="s">
        <v>26</v>
      </c>
      <c r="F53" t="s">
        <v>15</v>
      </c>
      <c r="G53" t="s">
        <v>29</v>
      </c>
      <c r="H53" t="s">
        <v>17</v>
      </c>
      <c r="I53" s="3">
        <v>13185</v>
      </c>
      <c r="J53" s="3" t="str">
        <f>IF(I53&gt;16000, "High", IF(I53&gt;=12000, IF(I53&lt;=15000, "Medium", "High"), "Low"))</f>
        <v>Medium</v>
      </c>
      <c r="K53" t="b">
        <v>1</v>
      </c>
      <c r="L53" t="b">
        <v>1</v>
      </c>
      <c r="M53" t="b">
        <v>0</v>
      </c>
    </row>
    <row r="54" spans="1:13" hidden="1" x14ac:dyDescent="0.3">
      <c r="A54">
        <v>64</v>
      </c>
      <c r="B54" t="s">
        <v>12</v>
      </c>
      <c r="C54" s="1">
        <v>1</v>
      </c>
      <c r="D54" t="s">
        <v>19</v>
      </c>
      <c r="E54" t="s">
        <v>20</v>
      </c>
      <c r="F54" t="s">
        <v>27</v>
      </c>
      <c r="G54" t="s">
        <v>16</v>
      </c>
      <c r="H54" t="s">
        <v>24</v>
      </c>
      <c r="I54" s="3">
        <v>10501</v>
      </c>
      <c r="J54" s="3" t="str">
        <f>IF(I54&gt;16000, "High", IF(I54&gt;=12000, IF(I54&lt;=15000, "Medium", "High"), "Low"))</f>
        <v>Low</v>
      </c>
      <c r="K54" t="b">
        <v>0</v>
      </c>
      <c r="L54" t="b">
        <v>0</v>
      </c>
      <c r="M54" t="b">
        <v>0</v>
      </c>
    </row>
    <row r="55" spans="1:13" x14ac:dyDescent="0.3">
      <c r="A55">
        <v>52</v>
      </c>
      <c r="B55" t="s">
        <v>18</v>
      </c>
      <c r="C55" s="1">
        <v>2</v>
      </c>
      <c r="D55" t="s">
        <v>19</v>
      </c>
      <c r="E55" t="s">
        <v>20</v>
      </c>
      <c r="F55" t="s">
        <v>15</v>
      </c>
      <c r="G55" t="s">
        <v>16</v>
      </c>
      <c r="H55" t="s">
        <v>21</v>
      </c>
      <c r="I55" s="3">
        <v>19118</v>
      </c>
      <c r="J55" s="3" t="str">
        <f>IF(I55&gt;16000, "High", IF(I55&gt;=12000, IF(I55&lt;=15000, "Medium", "High"), "Low"))</f>
        <v>High</v>
      </c>
      <c r="K55" t="b">
        <v>0</v>
      </c>
      <c r="L55" t="b">
        <v>0</v>
      </c>
      <c r="M55" t="b">
        <v>1</v>
      </c>
    </row>
    <row r="56" spans="1:13" hidden="1" x14ac:dyDescent="0.3">
      <c r="A56">
        <v>61</v>
      </c>
      <c r="B56" t="s">
        <v>12</v>
      </c>
      <c r="C56" s="1">
        <v>8</v>
      </c>
      <c r="D56" t="s">
        <v>28</v>
      </c>
      <c r="E56" t="s">
        <v>20</v>
      </c>
      <c r="F56" t="s">
        <v>27</v>
      </c>
      <c r="G56" t="s">
        <v>23</v>
      </c>
      <c r="H56" t="s">
        <v>17</v>
      </c>
      <c r="I56" s="3">
        <v>13566</v>
      </c>
      <c r="J56" s="3" t="str">
        <f>IF(I56&gt;16000, "High", IF(I56&gt;=12000, IF(I56&lt;=15000, "Medium", "High"), "Low"))</f>
        <v>Medium</v>
      </c>
      <c r="K56" t="b">
        <v>0</v>
      </c>
      <c r="L56" t="b">
        <v>1</v>
      </c>
      <c r="M56" t="b">
        <v>0</v>
      </c>
    </row>
    <row r="57" spans="1:13" hidden="1" x14ac:dyDescent="0.3">
      <c r="A57">
        <v>25</v>
      </c>
      <c r="B57" t="s">
        <v>25</v>
      </c>
      <c r="C57" s="1">
        <v>6</v>
      </c>
      <c r="D57" t="s">
        <v>28</v>
      </c>
      <c r="E57" t="s">
        <v>26</v>
      </c>
      <c r="F57" t="s">
        <v>27</v>
      </c>
      <c r="G57" t="s">
        <v>23</v>
      </c>
      <c r="H57" t="s">
        <v>24</v>
      </c>
      <c r="I57" s="3">
        <v>13055</v>
      </c>
      <c r="J57" s="3" t="str">
        <f>IF(I57&gt;16000, "High", IF(I57&gt;=12000, IF(I57&lt;=15000, "Medium", "High"), "Low"))</f>
        <v>Medium</v>
      </c>
      <c r="K57" t="b">
        <v>0</v>
      </c>
      <c r="L57" t="b">
        <v>1</v>
      </c>
      <c r="M57" t="b">
        <v>1</v>
      </c>
    </row>
    <row r="58" spans="1:13" hidden="1" x14ac:dyDescent="0.3">
      <c r="A58">
        <v>64</v>
      </c>
      <c r="B58" t="s">
        <v>25</v>
      </c>
      <c r="C58" s="1">
        <v>4</v>
      </c>
      <c r="D58" t="s">
        <v>13</v>
      </c>
      <c r="E58" t="s">
        <v>26</v>
      </c>
      <c r="F58" t="s">
        <v>27</v>
      </c>
      <c r="G58" t="s">
        <v>29</v>
      </c>
      <c r="H58" t="s">
        <v>24</v>
      </c>
      <c r="I58" s="3">
        <v>18880</v>
      </c>
      <c r="J58" s="3" t="str">
        <f>IF(I58&gt;16000, "High", IF(I58&gt;=12000, IF(I58&lt;=15000, "Medium", "High"), "Low"))</f>
        <v>High</v>
      </c>
      <c r="K58" t="b">
        <v>1</v>
      </c>
      <c r="L58" t="b">
        <v>1</v>
      </c>
      <c r="M58" t="b">
        <v>1</v>
      </c>
    </row>
    <row r="59" spans="1:13" hidden="1" x14ac:dyDescent="0.3">
      <c r="A59">
        <v>52</v>
      </c>
      <c r="B59" t="s">
        <v>25</v>
      </c>
      <c r="C59" s="1">
        <v>2</v>
      </c>
      <c r="D59" t="s">
        <v>28</v>
      </c>
      <c r="E59" t="s">
        <v>20</v>
      </c>
      <c r="F59" t="s">
        <v>15</v>
      </c>
      <c r="G59" t="s">
        <v>16</v>
      </c>
      <c r="H59" t="s">
        <v>17</v>
      </c>
      <c r="I59" s="3">
        <v>10386</v>
      </c>
      <c r="J59" s="3" t="str">
        <f>IF(I59&gt;16000, "High", IF(I59&gt;=12000, IF(I59&lt;=15000, "Medium", "High"), "Low"))</f>
        <v>Low</v>
      </c>
      <c r="K59" t="b">
        <v>0</v>
      </c>
      <c r="L59" t="b">
        <v>1</v>
      </c>
      <c r="M59" t="b">
        <v>0</v>
      </c>
    </row>
    <row r="60" spans="1:13" hidden="1" x14ac:dyDescent="0.3">
      <c r="A60">
        <v>31</v>
      </c>
      <c r="B60" t="s">
        <v>12</v>
      </c>
      <c r="C60" s="1">
        <v>2</v>
      </c>
      <c r="D60" t="s">
        <v>19</v>
      </c>
      <c r="E60" t="s">
        <v>26</v>
      </c>
      <c r="F60" t="s">
        <v>22</v>
      </c>
      <c r="G60" t="s">
        <v>23</v>
      </c>
      <c r="H60" t="s">
        <v>17</v>
      </c>
      <c r="I60" s="3">
        <v>10969</v>
      </c>
      <c r="J60" s="3" t="str">
        <f>IF(I60&gt;16000, "High", IF(I60&gt;=12000, IF(I60&lt;=15000, "Medium", "High"), "Low"))</f>
        <v>Low</v>
      </c>
      <c r="K60" t="b">
        <v>1</v>
      </c>
      <c r="L60" t="b">
        <v>0</v>
      </c>
      <c r="M60" t="b">
        <v>0</v>
      </c>
    </row>
    <row r="61" spans="1:13" hidden="1" x14ac:dyDescent="0.3">
      <c r="A61">
        <v>34</v>
      </c>
      <c r="B61" t="s">
        <v>12</v>
      </c>
      <c r="C61" s="1">
        <v>9</v>
      </c>
      <c r="D61" t="s">
        <v>13</v>
      </c>
      <c r="E61" t="s">
        <v>20</v>
      </c>
      <c r="F61" t="s">
        <v>27</v>
      </c>
      <c r="G61" t="s">
        <v>29</v>
      </c>
      <c r="H61" t="s">
        <v>24</v>
      </c>
      <c r="I61" s="3">
        <v>19197</v>
      </c>
      <c r="J61" s="3" t="str">
        <f>IF(I61&gt;16000, "High", IF(I61&gt;=12000, IF(I61&lt;=15000, "Medium", "High"), "Low"))</f>
        <v>High</v>
      </c>
      <c r="K61" t="b">
        <v>1</v>
      </c>
      <c r="L61" t="b">
        <v>0</v>
      </c>
      <c r="M61" t="b">
        <v>0</v>
      </c>
    </row>
    <row r="62" spans="1:13" hidden="1" x14ac:dyDescent="0.3">
      <c r="A62">
        <v>53</v>
      </c>
      <c r="B62" t="s">
        <v>12</v>
      </c>
      <c r="C62" s="1">
        <v>5</v>
      </c>
      <c r="D62" t="s">
        <v>19</v>
      </c>
      <c r="E62" t="s">
        <v>14</v>
      </c>
      <c r="F62" t="s">
        <v>27</v>
      </c>
      <c r="G62" t="s">
        <v>23</v>
      </c>
      <c r="H62" t="s">
        <v>17</v>
      </c>
      <c r="I62" s="3">
        <v>15820</v>
      </c>
      <c r="J62" s="3" t="str">
        <f>IF(I62&gt;16000, "High", IF(I62&gt;=12000, IF(I62&lt;=15000, "Medium", "High"), "Low"))</f>
        <v>High</v>
      </c>
      <c r="K62" t="b">
        <v>0</v>
      </c>
      <c r="L62" t="b">
        <v>1</v>
      </c>
      <c r="M62" t="b">
        <v>1</v>
      </c>
    </row>
    <row r="63" spans="1:13" hidden="1" x14ac:dyDescent="0.3">
      <c r="A63">
        <v>57</v>
      </c>
      <c r="B63" t="s">
        <v>12</v>
      </c>
      <c r="C63" s="1">
        <v>4</v>
      </c>
      <c r="D63" t="s">
        <v>13</v>
      </c>
      <c r="E63" t="s">
        <v>20</v>
      </c>
      <c r="F63" t="s">
        <v>15</v>
      </c>
      <c r="G63" t="s">
        <v>16</v>
      </c>
      <c r="H63" t="s">
        <v>17</v>
      </c>
      <c r="I63" s="3">
        <v>13052</v>
      </c>
      <c r="J63" s="3" t="str">
        <f>IF(I63&gt;16000, "High", IF(I63&gt;=12000, IF(I63&lt;=15000, "Medium", "High"), "Low"))</f>
        <v>Medium</v>
      </c>
      <c r="K63" t="b">
        <v>1</v>
      </c>
      <c r="L63" t="b">
        <v>0</v>
      </c>
      <c r="M63" t="b">
        <v>0</v>
      </c>
    </row>
    <row r="64" spans="1:13" hidden="1" x14ac:dyDescent="0.3">
      <c r="A64">
        <v>21</v>
      </c>
      <c r="B64" t="s">
        <v>25</v>
      </c>
      <c r="C64" s="1">
        <v>1</v>
      </c>
      <c r="D64" t="s">
        <v>28</v>
      </c>
      <c r="E64" t="s">
        <v>14</v>
      </c>
      <c r="F64" t="s">
        <v>15</v>
      </c>
      <c r="G64" t="s">
        <v>23</v>
      </c>
      <c r="H64" t="s">
        <v>24</v>
      </c>
      <c r="I64" s="3">
        <v>17397</v>
      </c>
      <c r="J64" s="3" t="str">
        <f>IF(I64&gt;16000, "High", IF(I64&gt;=12000, IF(I64&lt;=15000, "Medium", "High"), "Low"))</f>
        <v>High</v>
      </c>
      <c r="K64" t="b">
        <v>0</v>
      </c>
      <c r="L64" t="b">
        <v>0</v>
      </c>
      <c r="M64" t="b">
        <v>0</v>
      </c>
    </row>
    <row r="65" spans="1:13" hidden="1" x14ac:dyDescent="0.3">
      <c r="A65">
        <v>19</v>
      </c>
      <c r="B65" t="s">
        <v>25</v>
      </c>
      <c r="C65" s="1">
        <v>7</v>
      </c>
      <c r="D65" t="s">
        <v>19</v>
      </c>
      <c r="E65" t="s">
        <v>14</v>
      </c>
      <c r="F65" t="s">
        <v>22</v>
      </c>
      <c r="G65" t="s">
        <v>16</v>
      </c>
      <c r="H65" t="s">
        <v>17</v>
      </c>
      <c r="I65" s="3">
        <v>12302</v>
      </c>
      <c r="J65" s="3" t="str">
        <f>IF(I65&gt;16000, "High", IF(I65&gt;=12000, IF(I65&lt;=15000, "Medium", "High"), "Low"))</f>
        <v>Medium</v>
      </c>
      <c r="K65" t="b">
        <v>0</v>
      </c>
      <c r="L65" t="b">
        <v>1</v>
      </c>
      <c r="M65" t="b">
        <v>1</v>
      </c>
    </row>
    <row r="66" spans="1:13" hidden="1" x14ac:dyDescent="0.3">
      <c r="A66">
        <v>23</v>
      </c>
      <c r="B66" t="s">
        <v>18</v>
      </c>
      <c r="C66" s="1">
        <v>3</v>
      </c>
      <c r="D66" t="s">
        <v>13</v>
      </c>
      <c r="E66" t="s">
        <v>26</v>
      </c>
      <c r="F66" t="s">
        <v>15</v>
      </c>
      <c r="G66" t="s">
        <v>16</v>
      </c>
      <c r="H66" t="s">
        <v>17</v>
      </c>
      <c r="I66" s="3">
        <v>12283</v>
      </c>
      <c r="J66" s="3" t="str">
        <f>IF(I66&gt;16000, "High", IF(I66&gt;=12000, IF(I66&lt;=15000, "Medium", "High"), "Low"))</f>
        <v>Medium</v>
      </c>
      <c r="K66" t="b">
        <v>0</v>
      </c>
      <c r="L66" t="b">
        <v>0</v>
      </c>
      <c r="M66" t="b">
        <v>1</v>
      </c>
    </row>
    <row r="67" spans="1:13" hidden="1" x14ac:dyDescent="0.3">
      <c r="A67">
        <v>59</v>
      </c>
      <c r="B67" t="s">
        <v>18</v>
      </c>
      <c r="C67" s="1">
        <v>6</v>
      </c>
      <c r="D67" t="s">
        <v>13</v>
      </c>
      <c r="E67" t="s">
        <v>26</v>
      </c>
      <c r="F67" t="s">
        <v>22</v>
      </c>
      <c r="G67" t="s">
        <v>23</v>
      </c>
      <c r="H67" t="s">
        <v>21</v>
      </c>
      <c r="I67" s="3">
        <v>19799</v>
      </c>
      <c r="J67" s="3" t="str">
        <f>IF(I67&gt;16000, "High", IF(I67&gt;=12000, IF(I67&lt;=15000, "Medium", "High"), "Low"))</f>
        <v>High</v>
      </c>
      <c r="K67" t="b">
        <v>0</v>
      </c>
      <c r="L67" t="b">
        <v>1</v>
      </c>
      <c r="M67" t="b">
        <v>0</v>
      </c>
    </row>
    <row r="68" spans="1:13" hidden="1" x14ac:dyDescent="0.3">
      <c r="A68">
        <v>21</v>
      </c>
      <c r="B68" t="s">
        <v>12</v>
      </c>
      <c r="C68" s="1">
        <v>5</v>
      </c>
      <c r="D68" t="s">
        <v>28</v>
      </c>
      <c r="E68" t="s">
        <v>26</v>
      </c>
      <c r="F68" t="s">
        <v>27</v>
      </c>
      <c r="G68" t="s">
        <v>23</v>
      </c>
      <c r="H68" t="s">
        <v>24</v>
      </c>
      <c r="I68" s="3">
        <v>14366</v>
      </c>
      <c r="J68" s="3" t="str">
        <f>IF(I68&gt;16000, "High", IF(I68&gt;=12000, IF(I68&lt;=15000, "Medium", "High"), "Low"))</f>
        <v>Medium</v>
      </c>
      <c r="K68" t="b">
        <v>0</v>
      </c>
      <c r="L68" t="b">
        <v>0</v>
      </c>
      <c r="M68" t="b">
        <v>1</v>
      </c>
    </row>
    <row r="69" spans="1:13" hidden="1" x14ac:dyDescent="0.3">
      <c r="A69">
        <v>46</v>
      </c>
      <c r="B69" t="s">
        <v>25</v>
      </c>
      <c r="C69" s="1">
        <v>5</v>
      </c>
      <c r="D69" t="s">
        <v>28</v>
      </c>
      <c r="E69" t="s">
        <v>20</v>
      </c>
      <c r="F69" t="s">
        <v>27</v>
      </c>
      <c r="G69" t="s">
        <v>16</v>
      </c>
      <c r="H69" t="s">
        <v>21</v>
      </c>
      <c r="I69" s="3">
        <v>10122</v>
      </c>
      <c r="J69" s="3" t="str">
        <f>IF(I69&gt;16000, "High", IF(I69&gt;=12000, IF(I69&lt;=15000, "Medium", "High"), "Low"))</f>
        <v>Low</v>
      </c>
      <c r="K69" t="b">
        <v>1</v>
      </c>
      <c r="L69" t="b">
        <v>0</v>
      </c>
      <c r="M69" t="b">
        <v>1</v>
      </c>
    </row>
    <row r="70" spans="1:13" hidden="1" x14ac:dyDescent="0.3">
      <c r="A70">
        <v>35</v>
      </c>
      <c r="B70" t="s">
        <v>25</v>
      </c>
      <c r="C70" s="1">
        <v>5</v>
      </c>
      <c r="D70" t="s">
        <v>28</v>
      </c>
      <c r="E70" t="s">
        <v>20</v>
      </c>
      <c r="F70" t="s">
        <v>22</v>
      </c>
      <c r="G70" t="s">
        <v>29</v>
      </c>
      <c r="H70" t="s">
        <v>21</v>
      </c>
      <c r="I70" s="3">
        <v>16799</v>
      </c>
      <c r="J70" s="3" t="str">
        <f>IF(I70&gt;16000, "High", IF(I70&gt;=12000, IF(I70&lt;=15000, "Medium", "High"), "Low"))</f>
        <v>High</v>
      </c>
      <c r="K70" t="b">
        <v>0</v>
      </c>
      <c r="L70" t="b">
        <v>0</v>
      </c>
      <c r="M70" t="b">
        <v>1</v>
      </c>
    </row>
    <row r="71" spans="1:13" hidden="1" x14ac:dyDescent="0.3">
      <c r="A71">
        <v>43</v>
      </c>
      <c r="B71" t="s">
        <v>25</v>
      </c>
      <c r="C71" s="1">
        <v>1</v>
      </c>
      <c r="D71" t="s">
        <v>19</v>
      </c>
      <c r="E71" t="s">
        <v>26</v>
      </c>
      <c r="F71" t="s">
        <v>15</v>
      </c>
      <c r="G71" t="s">
        <v>16</v>
      </c>
      <c r="H71" t="s">
        <v>21</v>
      </c>
      <c r="I71" s="3">
        <v>19472</v>
      </c>
      <c r="J71" s="3" t="str">
        <f>IF(I71&gt;16000, "High", IF(I71&gt;=12000, IF(I71&lt;=15000, "Medium", "High"), "Low"))</f>
        <v>High</v>
      </c>
      <c r="K71" t="b">
        <v>0</v>
      </c>
      <c r="L71" t="b">
        <v>0</v>
      </c>
      <c r="M71" t="b">
        <v>0</v>
      </c>
    </row>
    <row r="72" spans="1:13" hidden="1" x14ac:dyDescent="0.3">
      <c r="A72">
        <v>61</v>
      </c>
      <c r="B72" t="s">
        <v>18</v>
      </c>
      <c r="C72" s="1">
        <v>1</v>
      </c>
      <c r="D72" t="s">
        <v>13</v>
      </c>
      <c r="E72" t="s">
        <v>20</v>
      </c>
      <c r="F72" t="s">
        <v>22</v>
      </c>
      <c r="G72" t="s">
        <v>23</v>
      </c>
      <c r="H72" t="s">
        <v>17</v>
      </c>
      <c r="I72" s="3">
        <v>13727</v>
      </c>
      <c r="J72" s="3" t="str">
        <f>IF(I72&gt;16000, "High", IF(I72&gt;=12000, IF(I72&lt;=15000, "Medium", "High"), "Low"))</f>
        <v>Medium</v>
      </c>
      <c r="K72" t="b">
        <v>1</v>
      </c>
      <c r="L72" t="b">
        <v>0</v>
      </c>
      <c r="M72" t="b">
        <v>0</v>
      </c>
    </row>
    <row r="73" spans="1:13" hidden="1" x14ac:dyDescent="0.3">
      <c r="A73">
        <v>51</v>
      </c>
      <c r="B73" t="s">
        <v>18</v>
      </c>
      <c r="C73" s="1">
        <v>3</v>
      </c>
      <c r="D73" t="s">
        <v>28</v>
      </c>
      <c r="E73" t="s">
        <v>26</v>
      </c>
      <c r="F73" t="s">
        <v>15</v>
      </c>
      <c r="G73" t="s">
        <v>23</v>
      </c>
      <c r="H73" t="s">
        <v>17</v>
      </c>
      <c r="I73" s="3">
        <v>18450</v>
      </c>
      <c r="J73" s="3" t="str">
        <f>IF(I73&gt;16000, "High", IF(I73&gt;=12000, IF(I73&lt;=15000, "Medium", "High"), "Low"))</f>
        <v>High</v>
      </c>
      <c r="K73" t="b">
        <v>0</v>
      </c>
      <c r="L73" t="b">
        <v>0</v>
      </c>
      <c r="M73" t="b">
        <v>1</v>
      </c>
    </row>
    <row r="74" spans="1:13" hidden="1" x14ac:dyDescent="0.3">
      <c r="A74">
        <v>27</v>
      </c>
      <c r="B74" t="s">
        <v>25</v>
      </c>
      <c r="C74" s="1">
        <v>4</v>
      </c>
      <c r="D74" t="s">
        <v>19</v>
      </c>
      <c r="E74" t="s">
        <v>20</v>
      </c>
      <c r="F74" t="s">
        <v>27</v>
      </c>
      <c r="G74" t="s">
        <v>29</v>
      </c>
      <c r="H74" t="s">
        <v>21</v>
      </c>
      <c r="I74" s="3">
        <v>19139</v>
      </c>
      <c r="J74" s="3" t="str">
        <f>IF(I74&gt;16000, "High", IF(I74&gt;=12000, IF(I74&lt;=15000, "Medium", "High"), "Low"))</f>
        <v>High</v>
      </c>
      <c r="K74" t="b">
        <v>0</v>
      </c>
      <c r="L74" t="b">
        <v>0</v>
      </c>
      <c r="M74" t="b">
        <v>1</v>
      </c>
    </row>
    <row r="75" spans="1:13" hidden="1" x14ac:dyDescent="0.3">
      <c r="A75">
        <v>53</v>
      </c>
      <c r="B75" t="s">
        <v>25</v>
      </c>
      <c r="C75" s="1">
        <v>5</v>
      </c>
      <c r="D75" t="s">
        <v>19</v>
      </c>
      <c r="E75" t="s">
        <v>14</v>
      </c>
      <c r="F75" t="s">
        <v>15</v>
      </c>
      <c r="G75" t="s">
        <v>16</v>
      </c>
      <c r="H75" t="s">
        <v>21</v>
      </c>
      <c r="I75" s="3">
        <v>14958</v>
      </c>
      <c r="J75" s="3" t="str">
        <f>IF(I75&gt;16000, "High", IF(I75&gt;=12000, IF(I75&lt;=15000, "Medium", "High"), "Low"))</f>
        <v>Medium</v>
      </c>
      <c r="K75" t="b">
        <v>1</v>
      </c>
      <c r="L75" t="b">
        <v>1</v>
      </c>
      <c r="M75" t="b">
        <v>1</v>
      </c>
    </row>
    <row r="76" spans="1:13" hidden="1" x14ac:dyDescent="0.3">
      <c r="A76">
        <v>31</v>
      </c>
      <c r="B76" t="s">
        <v>25</v>
      </c>
      <c r="C76" s="1">
        <v>2</v>
      </c>
      <c r="D76" t="s">
        <v>19</v>
      </c>
      <c r="E76" t="s">
        <v>14</v>
      </c>
      <c r="F76" t="s">
        <v>22</v>
      </c>
      <c r="G76" t="s">
        <v>16</v>
      </c>
      <c r="H76" t="s">
        <v>21</v>
      </c>
      <c r="I76" s="3">
        <v>10524</v>
      </c>
      <c r="J76" s="3" t="str">
        <f>IF(I76&gt;16000, "High", IF(I76&gt;=12000, IF(I76&lt;=15000, "Medium", "High"), "Low"))</f>
        <v>Low</v>
      </c>
      <c r="K76" t="b">
        <v>1</v>
      </c>
      <c r="L76" t="b">
        <v>1</v>
      </c>
      <c r="M76" t="b">
        <v>0</v>
      </c>
    </row>
    <row r="77" spans="1:13" hidden="1" x14ac:dyDescent="0.3">
      <c r="A77">
        <v>48</v>
      </c>
      <c r="B77" t="s">
        <v>18</v>
      </c>
      <c r="C77" s="1">
        <v>8</v>
      </c>
      <c r="D77" t="s">
        <v>28</v>
      </c>
      <c r="E77" t="s">
        <v>26</v>
      </c>
      <c r="F77" t="s">
        <v>22</v>
      </c>
      <c r="G77" t="s">
        <v>16</v>
      </c>
      <c r="H77" t="s">
        <v>17</v>
      </c>
      <c r="I77" s="3">
        <v>19079</v>
      </c>
      <c r="J77" s="3" t="str">
        <f>IF(I77&gt;16000, "High", IF(I77&gt;=12000, IF(I77&lt;=15000, "Medium", "High"), "Low"))</f>
        <v>High</v>
      </c>
      <c r="K77" t="b">
        <v>0</v>
      </c>
      <c r="L77" t="b">
        <v>1</v>
      </c>
      <c r="M77" t="b">
        <v>1</v>
      </c>
    </row>
    <row r="78" spans="1:13" hidden="1" x14ac:dyDescent="0.3">
      <c r="A78">
        <v>32</v>
      </c>
      <c r="B78" t="s">
        <v>25</v>
      </c>
      <c r="C78" s="1">
        <v>2</v>
      </c>
      <c r="D78" t="s">
        <v>28</v>
      </c>
      <c r="E78" t="s">
        <v>20</v>
      </c>
      <c r="F78" t="s">
        <v>27</v>
      </c>
      <c r="G78" t="s">
        <v>23</v>
      </c>
      <c r="H78" t="s">
        <v>21</v>
      </c>
      <c r="I78" s="3">
        <v>18399</v>
      </c>
      <c r="J78" s="3" t="str">
        <f>IF(I78&gt;16000, "High", IF(I78&gt;=12000, IF(I78&lt;=15000, "Medium", "High"), "Low"))</f>
        <v>High</v>
      </c>
      <c r="K78" t="b">
        <v>1</v>
      </c>
      <c r="L78" t="b">
        <v>1</v>
      </c>
      <c r="M78" t="b">
        <v>1</v>
      </c>
    </row>
    <row r="79" spans="1:13" hidden="1" x14ac:dyDescent="0.3">
      <c r="A79">
        <v>25</v>
      </c>
      <c r="B79" t="s">
        <v>25</v>
      </c>
      <c r="C79" s="1">
        <v>9</v>
      </c>
      <c r="D79" t="s">
        <v>13</v>
      </c>
      <c r="E79" t="s">
        <v>20</v>
      </c>
      <c r="F79" t="s">
        <v>15</v>
      </c>
      <c r="G79" t="s">
        <v>16</v>
      </c>
      <c r="H79" t="s">
        <v>21</v>
      </c>
      <c r="I79" s="3">
        <v>10148</v>
      </c>
      <c r="J79" s="3" t="str">
        <f>IF(I79&gt;16000, "High", IF(I79&gt;=12000, IF(I79&lt;=15000, "Medium", "High"), "Low"))</f>
        <v>Low</v>
      </c>
      <c r="K79" t="b">
        <v>0</v>
      </c>
      <c r="L79" t="b">
        <v>0</v>
      </c>
      <c r="M79" t="b">
        <v>0</v>
      </c>
    </row>
    <row r="80" spans="1:13" hidden="1" x14ac:dyDescent="0.3">
      <c r="A80">
        <v>31</v>
      </c>
      <c r="B80" t="s">
        <v>12</v>
      </c>
      <c r="C80" s="1">
        <v>2</v>
      </c>
      <c r="D80" t="s">
        <v>13</v>
      </c>
      <c r="E80" t="s">
        <v>14</v>
      </c>
      <c r="F80" t="s">
        <v>15</v>
      </c>
      <c r="G80" t="s">
        <v>29</v>
      </c>
      <c r="H80" t="s">
        <v>24</v>
      </c>
      <c r="I80" s="3">
        <v>18001</v>
      </c>
      <c r="J80" s="3" t="str">
        <f>IF(I80&gt;16000, "High", IF(I80&gt;=12000, IF(I80&lt;=15000, "Medium", "High"), "Low"))</f>
        <v>High</v>
      </c>
      <c r="K80" t="b">
        <v>1</v>
      </c>
      <c r="L80" t="b">
        <v>0</v>
      </c>
      <c r="M80" t="b">
        <v>1</v>
      </c>
    </row>
    <row r="81" spans="1:13" hidden="1" x14ac:dyDescent="0.3">
      <c r="A81">
        <v>40</v>
      </c>
      <c r="B81" t="s">
        <v>12</v>
      </c>
      <c r="C81" s="1">
        <v>9</v>
      </c>
      <c r="D81" t="s">
        <v>28</v>
      </c>
      <c r="E81" t="s">
        <v>14</v>
      </c>
      <c r="F81" t="s">
        <v>15</v>
      </c>
      <c r="G81" t="s">
        <v>23</v>
      </c>
      <c r="H81" t="s">
        <v>24</v>
      </c>
      <c r="I81" s="3">
        <v>10437</v>
      </c>
      <c r="J81" s="3" t="str">
        <f>IF(I81&gt;16000, "High", IF(I81&gt;=12000, IF(I81&lt;=15000, "Medium", "High"), "Low"))</f>
        <v>Low</v>
      </c>
      <c r="K81" t="b">
        <v>0</v>
      </c>
      <c r="L81" t="b">
        <v>0</v>
      </c>
      <c r="M81" t="b">
        <v>0</v>
      </c>
    </row>
    <row r="82" spans="1:13" x14ac:dyDescent="0.3">
      <c r="A82">
        <v>23</v>
      </c>
      <c r="B82" t="s">
        <v>18</v>
      </c>
      <c r="C82" s="1">
        <v>7</v>
      </c>
      <c r="D82" t="s">
        <v>19</v>
      </c>
      <c r="E82" t="s">
        <v>20</v>
      </c>
      <c r="F82" t="s">
        <v>27</v>
      </c>
      <c r="G82" t="s">
        <v>16</v>
      </c>
      <c r="H82" t="s">
        <v>21</v>
      </c>
      <c r="I82" s="3">
        <v>12073</v>
      </c>
      <c r="J82" s="3" t="str">
        <f>IF(I82&gt;16000, "High", IF(I82&gt;=12000, IF(I82&lt;=15000, "Medium", "High"), "Low"))</f>
        <v>Medium</v>
      </c>
      <c r="K82" t="b">
        <v>0</v>
      </c>
      <c r="L82" t="b">
        <v>0</v>
      </c>
      <c r="M82" t="b">
        <v>0</v>
      </c>
    </row>
    <row r="83" spans="1:13" hidden="1" x14ac:dyDescent="0.3">
      <c r="A83">
        <v>38</v>
      </c>
      <c r="B83" t="s">
        <v>25</v>
      </c>
      <c r="C83" s="1">
        <v>8</v>
      </c>
      <c r="D83" t="s">
        <v>19</v>
      </c>
      <c r="E83" t="s">
        <v>14</v>
      </c>
      <c r="F83" t="s">
        <v>15</v>
      </c>
      <c r="G83" t="s">
        <v>16</v>
      </c>
      <c r="H83" t="s">
        <v>24</v>
      </c>
      <c r="I83" s="3">
        <v>18186</v>
      </c>
      <c r="J83" s="3" t="str">
        <f>IF(I83&gt;16000, "High", IF(I83&gt;=12000, IF(I83&lt;=15000, "Medium", "High"), "Low"))</f>
        <v>High</v>
      </c>
      <c r="K83" t="b">
        <v>0</v>
      </c>
      <c r="L83" t="b">
        <v>1</v>
      </c>
      <c r="M83" t="b">
        <v>0</v>
      </c>
    </row>
    <row r="84" spans="1:13" hidden="1" x14ac:dyDescent="0.3">
      <c r="A84">
        <v>33</v>
      </c>
      <c r="B84" t="s">
        <v>25</v>
      </c>
      <c r="C84" s="1">
        <v>2</v>
      </c>
      <c r="D84" t="s">
        <v>19</v>
      </c>
      <c r="E84" t="s">
        <v>26</v>
      </c>
      <c r="F84" t="s">
        <v>22</v>
      </c>
      <c r="G84" t="s">
        <v>29</v>
      </c>
      <c r="H84" t="s">
        <v>24</v>
      </c>
      <c r="I84" s="3">
        <v>14453</v>
      </c>
      <c r="J84" s="3" t="str">
        <f>IF(I84&gt;16000, "High", IF(I84&gt;=12000, IF(I84&lt;=15000, "Medium", "High"), "Low"))</f>
        <v>Medium</v>
      </c>
      <c r="K84" t="b">
        <v>1</v>
      </c>
      <c r="L84" t="b">
        <v>1</v>
      </c>
      <c r="M84" t="b">
        <v>1</v>
      </c>
    </row>
    <row r="85" spans="1:13" hidden="1" x14ac:dyDescent="0.3">
      <c r="A85">
        <v>62</v>
      </c>
      <c r="B85" t="s">
        <v>12</v>
      </c>
      <c r="C85" s="1">
        <v>7</v>
      </c>
      <c r="D85" t="s">
        <v>13</v>
      </c>
      <c r="E85" t="s">
        <v>14</v>
      </c>
      <c r="F85" t="s">
        <v>15</v>
      </c>
      <c r="G85" t="s">
        <v>23</v>
      </c>
      <c r="H85" t="s">
        <v>24</v>
      </c>
      <c r="I85" s="3">
        <v>15336</v>
      </c>
      <c r="J85" s="3" t="str">
        <f>IF(I85&gt;16000, "High", IF(I85&gt;=12000, IF(I85&lt;=15000, "Medium", "High"), "Low"))</f>
        <v>High</v>
      </c>
      <c r="K85" t="b">
        <v>0</v>
      </c>
      <c r="L85" t="b">
        <v>0</v>
      </c>
      <c r="M85" t="b">
        <v>1</v>
      </c>
    </row>
    <row r="86" spans="1:13" x14ac:dyDescent="0.3">
      <c r="A86">
        <v>32</v>
      </c>
      <c r="B86" t="s">
        <v>18</v>
      </c>
      <c r="C86" s="1">
        <v>5</v>
      </c>
      <c r="D86" t="s">
        <v>19</v>
      </c>
      <c r="E86" t="s">
        <v>20</v>
      </c>
      <c r="F86" t="s">
        <v>27</v>
      </c>
      <c r="G86" t="s">
        <v>16</v>
      </c>
      <c r="H86" t="s">
        <v>21</v>
      </c>
      <c r="I86" s="3">
        <v>10752</v>
      </c>
      <c r="J86" s="3" t="str">
        <f>IF(I86&gt;16000, "High", IF(I86&gt;=12000, IF(I86&lt;=15000, "Medium", "High"), "Low"))</f>
        <v>Low</v>
      </c>
      <c r="K86" t="b">
        <v>1</v>
      </c>
      <c r="L86" t="b">
        <v>0</v>
      </c>
      <c r="M86" t="b">
        <v>0</v>
      </c>
    </row>
    <row r="87" spans="1:13" hidden="1" x14ac:dyDescent="0.3">
      <c r="A87">
        <v>64</v>
      </c>
      <c r="B87" t="s">
        <v>12</v>
      </c>
      <c r="C87" s="1">
        <v>4</v>
      </c>
      <c r="D87" t="s">
        <v>13</v>
      </c>
      <c r="E87" t="s">
        <v>20</v>
      </c>
      <c r="F87" t="s">
        <v>15</v>
      </c>
      <c r="G87" t="s">
        <v>16</v>
      </c>
      <c r="H87" t="s">
        <v>24</v>
      </c>
      <c r="I87" s="3">
        <v>12823</v>
      </c>
      <c r="J87" s="3" t="str">
        <f>IF(I87&gt;16000, "High", IF(I87&gt;=12000, IF(I87&lt;=15000, "Medium", "High"), "Low"))</f>
        <v>Medium</v>
      </c>
      <c r="K87" t="b">
        <v>0</v>
      </c>
      <c r="L87" t="b">
        <v>0</v>
      </c>
      <c r="M87" t="b">
        <v>1</v>
      </c>
    </row>
    <row r="88" spans="1:13" hidden="1" x14ac:dyDescent="0.3">
      <c r="A88">
        <v>41</v>
      </c>
      <c r="B88" t="s">
        <v>12</v>
      </c>
      <c r="C88" s="1">
        <v>7</v>
      </c>
      <c r="D88" t="s">
        <v>13</v>
      </c>
      <c r="E88" t="s">
        <v>14</v>
      </c>
      <c r="F88" t="s">
        <v>15</v>
      </c>
      <c r="G88" t="s">
        <v>16</v>
      </c>
      <c r="H88" t="s">
        <v>17</v>
      </c>
      <c r="I88" s="3">
        <v>15728</v>
      </c>
      <c r="J88" s="3" t="str">
        <f>IF(I88&gt;16000, "High", IF(I88&gt;=12000, IF(I88&lt;=15000, "Medium", "High"), "Low"))</f>
        <v>High</v>
      </c>
      <c r="K88" t="b">
        <v>0</v>
      </c>
      <c r="L88" t="b">
        <v>1</v>
      </c>
      <c r="M88" t="b">
        <v>0</v>
      </c>
    </row>
    <row r="89" spans="1:13" hidden="1" x14ac:dyDescent="0.3">
      <c r="A89">
        <v>43</v>
      </c>
      <c r="B89" t="s">
        <v>12</v>
      </c>
      <c r="C89" s="1">
        <v>4</v>
      </c>
      <c r="D89" t="s">
        <v>19</v>
      </c>
      <c r="E89" t="s">
        <v>14</v>
      </c>
      <c r="F89" t="s">
        <v>22</v>
      </c>
      <c r="G89" t="s">
        <v>29</v>
      </c>
      <c r="H89" t="s">
        <v>21</v>
      </c>
      <c r="I89" s="3">
        <v>18677</v>
      </c>
      <c r="J89" s="3" t="str">
        <f>IF(I89&gt;16000, "High", IF(I89&gt;=12000, IF(I89&lt;=15000, "Medium", "High"), "Low"))</f>
        <v>High</v>
      </c>
      <c r="K89" t="b">
        <v>0</v>
      </c>
      <c r="L89" t="b">
        <v>0</v>
      </c>
      <c r="M89" t="b">
        <v>1</v>
      </c>
    </row>
    <row r="90" spans="1:13" hidden="1" x14ac:dyDescent="0.3">
      <c r="A90">
        <v>42</v>
      </c>
      <c r="B90" t="s">
        <v>12</v>
      </c>
      <c r="C90" s="1">
        <v>2</v>
      </c>
      <c r="D90" t="s">
        <v>19</v>
      </c>
      <c r="E90" t="s">
        <v>26</v>
      </c>
      <c r="F90" t="s">
        <v>15</v>
      </c>
      <c r="G90" t="s">
        <v>16</v>
      </c>
      <c r="H90" t="s">
        <v>24</v>
      </c>
      <c r="I90" s="3">
        <v>18391</v>
      </c>
      <c r="J90" s="3" t="str">
        <f>IF(I90&gt;16000, "High", IF(I90&gt;=12000, IF(I90&lt;=15000, "Medium", "High"), "Low"))</f>
        <v>High</v>
      </c>
      <c r="K90" t="b">
        <v>0</v>
      </c>
      <c r="L90" t="b">
        <v>1</v>
      </c>
      <c r="M90" t="b">
        <v>0</v>
      </c>
    </row>
    <row r="91" spans="1:13" hidden="1" x14ac:dyDescent="0.3">
      <c r="A91">
        <v>62</v>
      </c>
      <c r="B91" t="s">
        <v>25</v>
      </c>
      <c r="C91" s="1">
        <v>7</v>
      </c>
      <c r="D91" t="s">
        <v>28</v>
      </c>
      <c r="E91" t="s">
        <v>14</v>
      </c>
      <c r="F91" t="s">
        <v>22</v>
      </c>
      <c r="G91" t="s">
        <v>29</v>
      </c>
      <c r="H91" t="s">
        <v>17</v>
      </c>
      <c r="I91" s="3">
        <v>11982</v>
      </c>
      <c r="J91" s="3" t="str">
        <f>IF(I91&gt;16000, "High", IF(I91&gt;=12000, IF(I91&lt;=15000, "Medium", "High"), "Low"))</f>
        <v>Low</v>
      </c>
      <c r="K91" t="b">
        <v>0</v>
      </c>
      <c r="L91" t="b">
        <v>0</v>
      </c>
      <c r="M91" t="b">
        <v>0</v>
      </c>
    </row>
    <row r="92" spans="1:13" hidden="1" x14ac:dyDescent="0.3">
      <c r="A92">
        <v>58</v>
      </c>
      <c r="B92" t="s">
        <v>25</v>
      </c>
      <c r="C92" s="1">
        <v>8</v>
      </c>
      <c r="D92" t="s">
        <v>28</v>
      </c>
      <c r="E92" t="s">
        <v>26</v>
      </c>
      <c r="F92" t="s">
        <v>22</v>
      </c>
      <c r="G92" t="s">
        <v>23</v>
      </c>
      <c r="H92" t="s">
        <v>24</v>
      </c>
      <c r="I92" s="3">
        <v>16996</v>
      </c>
      <c r="J92" s="3" t="str">
        <f>IF(I92&gt;16000, "High", IF(I92&gt;=12000, IF(I92&lt;=15000, "Medium", "High"), "Low"))</f>
        <v>High</v>
      </c>
      <c r="K92" t="b">
        <v>1</v>
      </c>
      <c r="L92" t="b">
        <v>1</v>
      </c>
      <c r="M92" t="b">
        <v>1</v>
      </c>
    </row>
    <row r="93" spans="1:13" hidden="1" x14ac:dyDescent="0.3">
      <c r="A93">
        <v>46</v>
      </c>
      <c r="B93" t="s">
        <v>12</v>
      </c>
      <c r="C93" s="1">
        <v>2</v>
      </c>
      <c r="D93" t="s">
        <v>19</v>
      </c>
      <c r="E93" t="s">
        <v>14</v>
      </c>
      <c r="F93" t="s">
        <v>27</v>
      </c>
      <c r="G93" t="s">
        <v>29</v>
      </c>
      <c r="H93" t="s">
        <v>21</v>
      </c>
      <c r="I93" s="3">
        <v>19663</v>
      </c>
      <c r="J93" s="3" t="str">
        <f>IF(I93&gt;16000, "High", IF(I93&gt;=12000, IF(I93&lt;=15000, "Medium", "High"), "Low"))</f>
        <v>High</v>
      </c>
      <c r="K93" t="b">
        <v>1</v>
      </c>
      <c r="L93" t="b">
        <v>1</v>
      </c>
      <c r="M93" t="b">
        <v>1</v>
      </c>
    </row>
    <row r="94" spans="1:13" hidden="1" x14ac:dyDescent="0.3">
      <c r="A94">
        <v>32</v>
      </c>
      <c r="B94" t="s">
        <v>18</v>
      </c>
      <c r="C94" s="1">
        <v>5</v>
      </c>
      <c r="D94" t="s">
        <v>13</v>
      </c>
      <c r="E94" t="s">
        <v>14</v>
      </c>
      <c r="F94" t="s">
        <v>22</v>
      </c>
      <c r="G94" t="s">
        <v>29</v>
      </c>
      <c r="H94" t="s">
        <v>17</v>
      </c>
      <c r="I94" s="3">
        <v>12311</v>
      </c>
      <c r="J94" s="3" t="str">
        <f>IF(I94&gt;16000, "High", IF(I94&gt;=12000, IF(I94&lt;=15000, "Medium", "High"), "Low"))</f>
        <v>Medium</v>
      </c>
      <c r="K94" t="b">
        <v>1</v>
      </c>
      <c r="L94" t="b">
        <v>0</v>
      </c>
      <c r="M94" t="b">
        <v>1</v>
      </c>
    </row>
    <row r="95" spans="1:13" hidden="1" x14ac:dyDescent="0.3">
      <c r="A95">
        <v>62</v>
      </c>
      <c r="B95" t="s">
        <v>18</v>
      </c>
      <c r="C95" s="1">
        <v>1</v>
      </c>
      <c r="D95" t="s">
        <v>13</v>
      </c>
      <c r="E95" t="s">
        <v>26</v>
      </c>
      <c r="F95" t="s">
        <v>22</v>
      </c>
      <c r="G95" t="s">
        <v>29</v>
      </c>
      <c r="H95" t="s">
        <v>17</v>
      </c>
      <c r="I95" s="3">
        <v>17225</v>
      </c>
      <c r="J95" s="3" t="str">
        <f>IF(I95&gt;16000, "High", IF(I95&gt;=12000, IF(I95&lt;=15000, "Medium", "High"), "Low"))</f>
        <v>High</v>
      </c>
      <c r="K95" t="b">
        <v>0</v>
      </c>
      <c r="L95" t="b">
        <v>0</v>
      </c>
      <c r="M95" t="b">
        <v>1</v>
      </c>
    </row>
    <row r="96" spans="1:13" hidden="1" x14ac:dyDescent="0.3">
      <c r="A96">
        <v>18</v>
      </c>
      <c r="B96" t="s">
        <v>18</v>
      </c>
      <c r="C96" s="1">
        <v>7</v>
      </c>
      <c r="D96" t="s">
        <v>13</v>
      </c>
      <c r="E96" t="s">
        <v>20</v>
      </c>
      <c r="F96" t="s">
        <v>27</v>
      </c>
      <c r="G96" t="s">
        <v>23</v>
      </c>
      <c r="H96" t="s">
        <v>17</v>
      </c>
      <c r="I96" s="3">
        <v>19713</v>
      </c>
      <c r="J96" s="3" t="str">
        <f>IF(I96&gt;16000, "High", IF(I96&gt;=12000, IF(I96&lt;=15000, "Medium", "High"), "Low"))</f>
        <v>High</v>
      </c>
      <c r="K96" t="b">
        <v>0</v>
      </c>
      <c r="L96" t="b">
        <v>1</v>
      </c>
      <c r="M96" t="b">
        <v>0</v>
      </c>
    </row>
    <row r="97" spans="1:13" hidden="1" x14ac:dyDescent="0.3">
      <c r="A97">
        <v>42</v>
      </c>
      <c r="B97" t="s">
        <v>18</v>
      </c>
      <c r="C97" s="1">
        <v>8</v>
      </c>
      <c r="D97" t="s">
        <v>13</v>
      </c>
      <c r="E97" t="s">
        <v>26</v>
      </c>
      <c r="F97" t="s">
        <v>22</v>
      </c>
      <c r="G97" t="s">
        <v>16</v>
      </c>
      <c r="H97" t="s">
        <v>21</v>
      </c>
      <c r="I97" s="3">
        <v>10604</v>
      </c>
      <c r="J97" s="3" t="str">
        <f>IF(I97&gt;16000, "High", IF(I97&gt;=12000, IF(I97&lt;=15000, "Medium", "High"), "Low"))</f>
        <v>Low</v>
      </c>
      <c r="K97" t="b">
        <v>1</v>
      </c>
      <c r="L97" t="b">
        <v>0</v>
      </c>
      <c r="M97" t="b">
        <v>0</v>
      </c>
    </row>
    <row r="98" spans="1:13" hidden="1" x14ac:dyDescent="0.3">
      <c r="A98">
        <v>24</v>
      </c>
      <c r="B98" t="s">
        <v>12</v>
      </c>
      <c r="C98" s="1">
        <v>6</v>
      </c>
      <c r="D98" t="s">
        <v>13</v>
      </c>
      <c r="E98" t="s">
        <v>26</v>
      </c>
      <c r="F98" t="s">
        <v>27</v>
      </c>
      <c r="G98" t="s">
        <v>23</v>
      </c>
      <c r="H98" t="s">
        <v>21</v>
      </c>
      <c r="I98" s="3">
        <v>18175</v>
      </c>
      <c r="J98" s="3" t="str">
        <f>IF(I98&gt;16000, "High", IF(I98&gt;=12000, IF(I98&lt;=15000, "Medium", "High"), "Low"))</f>
        <v>High</v>
      </c>
      <c r="K98" t="b">
        <v>0</v>
      </c>
      <c r="L98" t="b">
        <v>1</v>
      </c>
      <c r="M98" t="b">
        <v>1</v>
      </c>
    </row>
    <row r="99" spans="1:13" hidden="1" x14ac:dyDescent="0.3">
      <c r="A99">
        <v>26</v>
      </c>
      <c r="B99" t="s">
        <v>25</v>
      </c>
      <c r="C99" s="1">
        <v>5</v>
      </c>
      <c r="D99" t="s">
        <v>28</v>
      </c>
      <c r="E99" t="s">
        <v>26</v>
      </c>
      <c r="F99" t="s">
        <v>15</v>
      </c>
      <c r="G99" t="s">
        <v>16</v>
      </c>
      <c r="H99" t="s">
        <v>21</v>
      </c>
      <c r="I99" s="3">
        <v>15785</v>
      </c>
      <c r="J99" s="3" t="str">
        <f>IF(I99&gt;16000, "High", IF(I99&gt;=12000, IF(I99&lt;=15000, "Medium", "High"), "Low"))</f>
        <v>High</v>
      </c>
      <c r="K99" t="b">
        <v>0</v>
      </c>
      <c r="L99" t="b">
        <v>0</v>
      </c>
      <c r="M99" t="b">
        <v>1</v>
      </c>
    </row>
    <row r="100" spans="1:13" x14ac:dyDescent="0.3">
      <c r="A100">
        <v>43</v>
      </c>
      <c r="B100" t="s">
        <v>18</v>
      </c>
      <c r="C100" s="1">
        <v>4</v>
      </c>
      <c r="D100" t="s">
        <v>19</v>
      </c>
      <c r="E100" t="s">
        <v>20</v>
      </c>
      <c r="F100" t="s">
        <v>15</v>
      </c>
      <c r="G100" t="s">
        <v>16</v>
      </c>
      <c r="H100" t="s">
        <v>21</v>
      </c>
      <c r="I100" s="3">
        <v>15643</v>
      </c>
      <c r="J100" s="3" t="str">
        <f>IF(I100&gt;16000, "High", IF(I100&gt;=12000, IF(I100&lt;=15000, "Medium", "High"), "Low"))</f>
        <v>High</v>
      </c>
      <c r="K100" t="b">
        <v>0</v>
      </c>
      <c r="L100" t="b">
        <v>0</v>
      </c>
      <c r="M100" t="b">
        <v>1</v>
      </c>
    </row>
    <row r="101" spans="1:13" hidden="1" x14ac:dyDescent="0.3">
      <c r="A101">
        <v>18</v>
      </c>
      <c r="B101" t="s">
        <v>12</v>
      </c>
      <c r="C101" s="1">
        <v>2</v>
      </c>
      <c r="D101" t="s">
        <v>28</v>
      </c>
      <c r="E101" t="s">
        <v>14</v>
      </c>
      <c r="F101" t="s">
        <v>22</v>
      </c>
      <c r="G101" t="s">
        <v>29</v>
      </c>
      <c r="H101" t="s">
        <v>21</v>
      </c>
      <c r="I101" s="3">
        <v>14597</v>
      </c>
      <c r="J101" s="3" t="str">
        <f>IF(I101&gt;16000, "High", IF(I101&gt;=12000, IF(I101&lt;=15000, "Medium", "High"), "Low"))</f>
        <v>Medium</v>
      </c>
      <c r="K101" t="b">
        <v>1</v>
      </c>
      <c r="L101" t="b">
        <v>0</v>
      </c>
      <c r="M101" t="b">
        <v>1</v>
      </c>
    </row>
    <row r="102" spans="1:13" hidden="1" x14ac:dyDescent="0.3">
      <c r="A102">
        <v>61</v>
      </c>
      <c r="B102" t="s">
        <v>18</v>
      </c>
      <c r="C102" s="1">
        <v>1</v>
      </c>
      <c r="D102" t="s">
        <v>13</v>
      </c>
      <c r="E102" t="s">
        <v>26</v>
      </c>
      <c r="F102" t="s">
        <v>27</v>
      </c>
      <c r="G102" t="s">
        <v>29</v>
      </c>
      <c r="H102" t="s">
        <v>24</v>
      </c>
      <c r="I102" s="3">
        <v>17759</v>
      </c>
      <c r="J102" s="3" t="str">
        <f>IF(I102&gt;16000, "High", IF(I102&gt;=12000, IF(I102&lt;=15000, "Medium", "High"), "Low"))</f>
        <v>High</v>
      </c>
      <c r="K102" t="b">
        <v>1</v>
      </c>
      <c r="L102" t="b">
        <v>1</v>
      </c>
      <c r="M102" t="b">
        <v>1</v>
      </c>
    </row>
    <row r="103" spans="1:13" hidden="1" x14ac:dyDescent="0.3">
      <c r="A103">
        <v>25</v>
      </c>
      <c r="B103" t="s">
        <v>18</v>
      </c>
      <c r="C103" s="1">
        <v>7</v>
      </c>
      <c r="D103" t="s">
        <v>13</v>
      </c>
      <c r="E103" t="s">
        <v>26</v>
      </c>
      <c r="F103" t="s">
        <v>22</v>
      </c>
      <c r="G103" t="s">
        <v>29</v>
      </c>
      <c r="H103" t="s">
        <v>21</v>
      </c>
      <c r="I103" s="3">
        <v>17532</v>
      </c>
      <c r="J103" s="3" t="str">
        <f>IF(I103&gt;16000, "High", IF(I103&gt;=12000, IF(I103&lt;=15000, "Medium", "High"), "Low"))</f>
        <v>High</v>
      </c>
      <c r="K103" t="b">
        <v>1</v>
      </c>
      <c r="L103" t="b">
        <v>1</v>
      </c>
      <c r="M103" t="b">
        <v>1</v>
      </c>
    </row>
    <row r="104" spans="1:13" hidden="1" x14ac:dyDescent="0.3">
      <c r="A104">
        <v>41</v>
      </c>
      <c r="B104" t="s">
        <v>12</v>
      </c>
      <c r="C104" s="1">
        <v>7</v>
      </c>
      <c r="D104" t="s">
        <v>13</v>
      </c>
      <c r="E104" t="s">
        <v>20</v>
      </c>
      <c r="F104" t="s">
        <v>15</v>
      </c>
      <c r="G104" t="s">
        <v>29</v>
      </c>
      <c r="H104" t="s">
        <v>17</v>
      </c>
      <c r="I104" s="3">
        <v>18740</v>
      </c>
      <c r="J104" s="3" t="str">
        <f>IF(I104&gt;16000, "High", IF(I104&gt;=12000, IF(I104&lt;=15000, "Medium", "High"), "Low"))</f>
        <v>High</v>
      </c>
      <c r="K104" t="b">
        <v>1</v>
      </c>
      <c r="L104" t="b">
        <v>1</v>
      </c>
      <c r="M104" t="b">
        <v>1</v>
      </c>
    </row>
    <row r="105" spans="1:13" hidden="1" x14ac:dyDescent="0.3">
      <c r="A105">
        <v>28</v>
      </c>
      <c r="B105" t="s">
        <v>25</v>
      </c>
      <c r="C105" s="1">
        <v>2</v>
      </c>
      <c r="D105" t="s">
        <v>13</v>
      </c>
      <c r="E105" t="s">
        <v>26</v>
      </c>
      <c r="F105" t="s">
        <v>27</v>
      </c>
      <c r="G105" t="s">
        <v>16</v>
      </c>
      <c r="H105" t="s">
        <v>24</v>
      </c>
      <c r="I105" s="3">
        <v>10838</v>
      </c>
      <c r="J105" s="3" t="str">
        <f>IF(I105&gt;16000, "High", IF(I105&gt;=12000, IF(I105&lt;=15000, "Medium", "High"), "Low"))</f>
        <v>Low</v>
      </c>
      <c r="K105" t="b">
        <v>1</v>
      </c>
      <c r="L105" t="b">
        <v>0</v>
      </c>
      <c r="M105" t="b">
        <v>0</v>
      </c>
    </row>
    <row r="106" spans="1:13" hidden="1" x14ac:dyDescent="0.3">
      <c r="A106">
        <v>34</v>
      </c>
      <c r="B106" t="s">
        <v>25</v>
      </c>
      <c r="C106" s="1">
        <v>2</v>
      </c>
      <c r="D106" t="s">
        <v>19</v>
      </c>
      <c r="E106" t="s">
        <v>14</v>
      </c>
      <c r="F106" t="s">
        <v>15</v>
      </c>
      <c r="G106" t="s">
        <v>16</v>
      </c>
      <c r="H106" t="s">
        <v>21</v>
      </c>
      <c r="I106" s="3">
        <v>13815</v>
      </c>
      <c r="J106" s="3" t="str">
        <f>IF(I106&gt;16000, "High", IF(I106&gt;=12000, IF(I106&lt;=15000, "Medium", "High"), "Low"))</f>
        <v>Medium</v>
      </c>
      <c r="K106" t="b">
        <v>0</v>
      </c>
      <c r="L106" t="b">
        <v>1</v>
      </c>
      <c r="M106" t="b">
        <v>0</v>
      </c>
    </row>
    <row r="107" spans="1:13" hidden="1" x14ac:dyDescent="0.3">
      <c r="A107">
        <v>25</v>
      </c>
      <c r="B107" t="s">
        <v>12</v>
      </c>
      <c r="C107" s="1">
        <v>1</v>
      </c>
      <c r="D107" t="s">
        <v>13</v>
      </c>
      <c r="E107" t="s">
        <v>20</v>
      </c>
      <c r="F107" t="s">
        <v>22</v>
      </c>
      <c r="G107" t="s">
        <v>29</v>
      </c>
      <c r="H107" t="s">
        <v>24</v>
      </c>
      <c r="I107" s="3">
        <v>10847</v>
      </c>
      <c r="J107" s="3" t="str">
        <f>IF(I107&gt;16000, "High", IF(I107&gt;=12000, IF(I107&lt;=15000, "Medium", "High"), "Low"))</f>
        <v>Low</v>
      </c>
      <c r="K107" t="b">
        <v>0</v>
      </c>
      <c r="L107" t="b">
        <v>0</v>
      </c>
      <c r="M107" t="b">
        <v>1</v>
      </c>
    </row>
    <row r="108" spans="1:13" hidden="1" x14ac:dyDescent="0.3">
      <c r="A108">
        <v>52</v>
      </c>
      <c r="B108" t="s">
        <v>25</v>
      </c>
      <c r="C108" s="1">
        <v>8</v>
      </c>
      <c r="D108" t="s">
        <v>19</v>
      </c>
      <c r="E108" t="s">
        <v>14</v>
      </c>
      <c r="F108" t="s">
        <v>22</v>
      </c>
      <c r="G108" t="s">
        <v>23</v>
      </c>
      <c r="H108" t="s">
        <v>24</v>
      </c>
      <c r="I108" s="3">
        <v>14709</v>
      </c>
      <c r="J108" s="3" t="str">
        <f>IF(I108&gt;16000, "High", IF(I108&gt;=12000, IF(I108&lt;=15000, "Medium", "High"), "Low"))</f>
        <v>Medium</v>
      </c>
      <c r="K108" t="b">
        <v>0</v>
      </c>
      <c r="L108" t="b">
        <v>0</v>
      </c>
      <c r="M108" t="b">
        <v>0</v>
      </c>
    </row>
    <row r="109" spans="1:13" hidden="1" x14ac:dyDescent="0.3">
      <c r="A109">
        <v>52</v>
      </c>
      <c r="B109" t="s">
        <v>12</v>
      </c>
      <c r="C109" s="1">
        <v>8</v>
      </c>
      <c r="D109" t="s">
        <v>13</v>
      </c>
      <c r="E109" t="s">
        <v>14</v>
      </c>
      <c r="F109" t="s">
        <v>15</v>
      </c>
      <c r="G109" t="s">
        <v>23</v>
      </c>
      <c r="H109" t="s">
        <v>17</v>
      </c>
      <c r="I109" s="3">
        <v>14507</v>
      </c>
      <c r="J109" s="3" t="str">
        <f>IF(I109&gt;16000, "High", IF(I109&gt;=12000, IF(I109&lt;=15000, "Medium", "High"), "Low"))</f>
        <v>Medium</v>
      </c>
      <c r="K109" t="b">
        <v>0</v>
      </c>
      <c r="L109" t="b">
        <v>0</v>
      </c>
      <c r="M109" t="b">
        <v>1</v>
      </c>
    </row>
    <row r="110" spans="1:13" hidden="1" x14ac:dyDescent="0.3">
      <c r="A110">
        <v>50</v>
      </c>
      <c r="B110" t="s">
        <v>12</v>
      </c>
      <c r="C110" s="1">
        <v>1</v>
      </c>
      <c r="D110" t="s">
        <v>19</v>
      </c>
      <c r="E110" t="s">
        <v>20</v>
      </c>
      <c r="F110" t="s">
        <v>27</v>
      </c>
      <c r="G110" t="s">
        <v>29</v>
      </c>
      <c r="H110" t="s">
        <v>24</v>
      </c>
      <c r="I110" s="3">
        <v>16575</v>
      </c>
      <c r="J110" s="3" t="str">
        <f>IF(I110&gt;16000, "High", IF(I110&gt;=12000, IF(I110&lt;=15000, "Medium", "High"), "Low"))</f>
        <v>High</v>
      </c>
      <c r="K110" t="b">
        <v>1</v>
      </c>
      <c r="L110" t="b">
        <v>1</v>
      </c>
      <c r="M110" t="b">
        <v>1</v>
      </c>
    </row>
    <row r="111" spans="1:13" hidden="1" x14ac:dyDescent="0.3">
      <c r="A111">
        <v>22</v>
      </c>
      <c r="B111" t="s">
        <v>12</v>
      </c>
      <c r="C111" s="1">
        <v>8</v>
      </c>
      <c r="D111" t="s">
        <v>28</v>
      </c>
      <c r="E111" t="s">
        <v>26</v>
      </c>
      <c r="F111" t="s">
        <v>27</v>
      </c>
      <c r="G111" t="s">
        <v>16</v>
      </c>
      <c r="H111" t="s">
        <v>24</v>
      </c>
      <c r="I111" s="3">
        <v>14773</v>
      </c>
      <c r="J111" s="3" t="str">
        <f>IF(I111&gt;16000, "High", IF(I111&gt;=12000, IF(I111&lt;=15000, "Medium", "High"), "Low"))</f>
        <v>Medium</v>
      </c>
      <c r="K111" t="b">
        <v>1</v>
      </c>
      <c r="L111" t="b">
        <v>0</v>
      </c>
      <c r="M111" t="b">
        <v>1</v>
      </c>
    </row>
    <row r="112" spans="1:13" hidden="1" x14ac:dyDescent="0.3">
      <c r="A112">
        <v>59</v>
      </c>
      <c r="B112" t="s">
        <v>25</v>
      </c>
      <c r="C112" s="1">
        <v>9</v>
      </c>
      <c r="D112" t="s">
        <v>13</v>
      </c>
      <c r="E112" t="s">
        <v>14</v>
      </c>
      <c r="F112" t="s">
        <v>22</v>
      </c>
      <c r="G112" t="s">
        <v>23</v>
      </c>
      <c r="H112" t="s">
        <v>17</v>
      </c>
      <c r="I112" s="3">
        <v>14468</v>
      </c>
      <c r="J112" s="3" t="str">
        <f>IF(I112&gt;16000, "High", IF(I112&gt;=12000, IF(I112&lt;=15000, "Medium", "High"), "Low"))</f>
        <v>Medium</v>
      </c>
      <c r="K112" t="b">
        <v>0</v>
      </c>
      <c r="L112" t="b">
        <v>0</v>
      </c>
      <c r="M112" t="b">
        <v>0</v>
      </c>
    </row>
    <row r="113" spans="1:13" hidden="1" x14ac:dyDescent="0.3">
      <c r="A113">
        <v>56</v>
      </c>
      <c r="B113" t="s">
        <v>12</v>
      </c>
      <c r="C113" s="1">
        <v>4</v>
      </c>
      <c r="D113" t="s">
        <v>19</v>
      </c>
      <c r="E113" t="s">
        <v>14</v>
      </c>
      <c r="F113" t="s">
        <v>15</v>
      </c>
      <c r="G113" t="s">
        <v>23</v>
      </c>
      <c r="H113" t="s">
        <v>17</v>
      </c>
      <c r="I113" s="3">
        <v>15192</v>
      </c>
      <c r="J113" s="3" t="str">
        <f>IF(I113&gt;16000, "High", IF(I113&gt;=12000, IF(I113&lt;=15000, "Medium", "High"), "Low"))</f>
        <v>High</v>
      </c>
      <c r="K113" t="b">
        <v>1</v>
      </c>
      <c r="L113" t="b">
        <v>0</v>
      </c>
      <c r="M113" t="b">
        <v>0</v>
      </c>
    </row>
    <row r="114" spans="1:13" hidden="1" x14ac:dyDescent="0.3">
      <c r="A114">
        <v>58</v>
      </c>
      <c r="B114" t="s">
        <v>18</v>
      </c>
      <c r="C114" s="1">
        <v>1</v>
      </c>
      <c r="D114" t="s">
        <v>28</v>
      </c>
      <c r="E114" t="s">
        <v>14</v>
      </c>
      <c r="F114" t="s">
        <v>15</v>
      </c>
      <c r="G114" t="s">
        <v>23</v>
      </c>
      <c r="H114" t="s">
        <v>17</v>
      </c>
      <c r="I114" s="3">
        <v>13320</v>
      </c>
      <c r="J114" s="3" t="str">
        <f>IF(I114&gt;16000, "High", IF(I114&gt;=12000, IF(I114&lt;=15000, "Medium", "High"), "Low"))</f>
        <v>Medium</v>
      </c>
      <c r="K114" t="b">
        <v>0</v>
      </c>
      <c r="L114" t="b">
        <v>1</v>
      </c>
      <c r="M114" t="b">
        <v>0</v>
      </c>
    </row>
    <row r="115" spans="1:13" hidden="1" x14ac:dyDescent="0.3">
      <c r="A115">
        <v>45</v>
      </c>
      <c r="B115" t="s">
        <v>25</v>
      </c>
      <c r="C115" s="1">
        <v>1</v>
      </c>
      <c r="D115" t="s">
        <v>13</v>
      </c>
      <c r="E115" t="s">
        <v>14</v>
      </c>
      <c r="F115" t="s">
        <v>27</v>
      </c>
      <c r="G115" t="s">
        <v>29</v>
      </c>
      <c r="H115" t="s">
        <v>24</v>
      </c>
      <c r="I115" s="3">
        <v>14698</v>
      </c>
      <c r="J115" s="3" t="str">
        <f>IF(I115&gt;16000, "High", IF(I115&gt;=12000, IF(I115&lt;=15000, "Medium", "High"), "Low"))</f>
        <v>Medium</v>
      </c>
      <c r="K115" t="b">
        <v>0</v>
      </c>
      <c r="L115" t="b">
        <v>0</v>
      </c>
      <c r="M115" t="b">
        <v>0</v>
      </c>
    </row>
    <row r="116" spans="1:13" hidden="1" x14ac:dyDescent="0.3">
      <c r="A116">
        <v>24</v>
      </c>
      <c r="B116" t="s">
        <v>25</v>
      </c>
      <c r="C116" s="1">
        <v>3</v>
      </c>
      <c r="D116" t="s">
        <v>13</v>
      </c>
      <c r="E116" t="s">
        <v>20</v>
      </c>
      <c r="F116" t="s">
        <v>27</v>
      </c>
      <c r="G116" t="s">
        <v>23</v>
      </c>
      <c r="H116" t="s">
        <v>24</v>
      </c>
      <c r="I116" s="3">
        <v>14311</v>
      </c>
      <c r="J116" s="3" t="str">
        <f>IF(I116&gt;16000, "High", IF(I116&gt;=12000, IF(I116&lt;=15000, "Medium", "High"), "Low"))</f>
        <v>Medium</v>
      </c>
      <c r="K116" t="b">
        <v>0</v>
      </c>
      <c r="L116" t="b">
        <v>0</v>
      </c>
      <c r="M116" t="b">
        <v>0</v>
      </c>
    </row>
    <row r="117" spans="1:13" hidden="1" x14ac:dyDescent="0.3">
      <c r="A117">
        <v>26</v>
      </c>
      <c r="B117" t="s">
        <v>25</v>
      </c>
      <c r="C117" s="1">
        <v>5</v>
      </c>
      <c r="D117" t="s">
        <v>13</v>
      </c>
      <c r="E117" t="s">
        <v>20</v>
      </c>
      <c r="F117" t="s">
        <v>27</v>
      </c>
      <c r="G117" t="s">
        <v>23</v>
      </c>
      <c r="H117" t="s">
        <v>24</v>
      </c>
      <c r="I117" s="3">
        <v>13673</v>
      </c>
      <c r="J117" s="3" t="str">
        <f>IF(I117&gt;16000, "High", IF(I117&gt;=12000, IF(I117&lt;=15000, "Medium", "High"), "Low"))</f>
        <v>Medium</v>
      </c>
      <c r="K117" t="b">
        <v>0</v>
      </c>
      <c r="L117" t="b">
        <v>0</v>
      </c>
      <c r="M117" t="b">
        <v>1</v>
      </c>
    </row>
    <row r="118" spans="1:13" hidden="1" x14ac:dyDescent="0.3">
      <c r="A118">
        <v>25</v>
      </c>
      <c r="B118" t="s">
        <v>25</v>
      </c>
      <c r="C118" s="1">
        <v>5</v>
      </c>
      <c r="D118" t="s">
        <v>19</v>
      </c>
      <c r="E118" t="s">
        <v>14</v>
      </c>
      <c r="F118" t="s">
        <v>15</v>
      </c>
      <c r="G118" t="s">
        <v>23</v>
      </c>
      <c r="H118" t="s">
        <v>17</v>
      </c>
      <c r="I118" s="3">
        <v>11564</v>
      </c>
      <c r="J118" s="3" t="str">
        <f>IF(I118&gt;16000, "High", IF(I118&gt;=12000, IF(I118&lt;=15000, "Medium", "High"), "Low"))</f>
        <v>Low</v>
      </c>
      <c r="K118" t="b">
        <v>1</v>
      </c>
      <c r="L118" t="b">
        <v>0</v>
      </c>
      <c r="M118" t="b">
        <v>1</v>
      </c>
    </row>
    <row r="119" spans="1:13" x14ac:dyDescent="0.3">
      <c r="A119">
        <v>46</v>
      </c>
      <c r="B119" t="s">
        <v>18</v>
      </c>
      <c r="C119" s="1">
        <v>3</v>
      </c>
      <c r="D119" t="s">
        <v>19</v>
      </c>
      <c r="E119" t="s">
        <v>20</v>
      </c>
      <c r="F119" t="s">
        <v>15</v>
      </c>
      <c r="G119" t="s">
        <v>29</v>
      </c>
      <c r="H119" t="s">
        <v>21</v>
      </c>
      <c r="I119" s="3">
        <v>14326</v>
      </c>
      <c r="J119" s="3" t="str">
        <f>IF(I119&gt;16000, "High", IF(I119&gt;=12000, IF(I119&lt;=15000, "Medium", "High"), "Low"))</f>
        <v>Medium</v>
      </c>
      <c r="K119" t="b">
        <v>1</v>
      </c>
      <c r="L119" t="b">
        <v>0</v>
      </c>
      <c r="M119" t="b">
        <v>1</v>
      </c>
    </row>
    <row r="120" spans="1:13" hidden="1" x14ac:dyDescent="0.3">
      <c r="A120">
        <v>51</v>
      </c>
      <c r="B120" t="s">
        <v>25</v>
      </c>
      <c r="C120" s="1">
        <v>2</v>
      </c>
      <c r="D120" t="s">
        <v>28</v>
      </c>
      <c r="E120" t="s">
        <v>14</v>
      </c>
      <c r="F120" t="s">
        <v>27</v>
      </c>
      <c r="G120" t="s">
        <v>16</v>
      </c>
      <c r="H120" t="s">
        <v>24</v>
      </c>
      <c r="I120" s="3">
        <v>16058</v>
      </c>
      <c r="J120" s="3" t="str">
        <f>IF(I120&gt;16000, "High", IF(I120&gt;=12000, IF(I120&lt;=15000, "Medium", "High"), "Low"))</f>
        <v>High</v>
      </c>
      <c r="K120" t="b">
        <v>1</v>
      </c>
      <c r="L120" t="b">
        <v>1</v>
      </c>
      <c r="M120" t="b">
        <v>0</v>
      </c>
    </row>
    <row r="121" spans="1:13" hidden="1" x14ac:dyDescent="0.3">
      <c r="A121">
        <v>50</v>
      </c>
      <c r="B121" t="s">
        <v>25</v>
      </c>
      <c r="C121" s="1">
        <v>2</v>
      </c>
      <c r="D121" t="s">
        <v>19</v>
      </c>
      <c r="E121" t="s">
        <v>26</v>
      </c>
      <c r="F121" t="s">
        <v>22</v>
      </c>
      <c r="G121" t="s">
        <v>29</v>
      </c>
      <c r="H121" t="s">
        <v>21</v>
      </c>
      <c r="I121" s="3">
        <v>17131</v>
      </c>
      <c r="J121" s="3" t="str">
        <f>IF(I121&gt;16000, "High", IF(I121&gt;=12000, IF(I121&lt;=15000, "Medium", "High"), "Low"))</f>
        <v>High</v>
      </c>
      <c r="K121" t="b">
        <v>0</v>
      </c>
      <c r="L121" t="b">
        <v>0</v>
      </c>
      <c r="M121" t="b">
        <v>0</v>
      </c>
    </row>
    <row r="122" spans="1:13" hidden="1" x14ac:dyDescent="0.3">
      <c r="A122">
        <v>40</v>
      </c>
      <c r="B122" t="s">
        <v>12</v>
      </c>
      <c r="C122" s="1">
        <v>6</v>
      </c>
      <c r="D122" t="s">
        <v>19</v>
      </c>
      <c r="E122" t="s">
        <v>14</v>
      </c>
      <c r="F122" t="s">
        <v>27</v>
      </c>
      <c r="G122" t="s">
        <v>29</v>
      </c>
      <c r="H122" t="s">
        <v>17</v>
      </c>
      <c r="I122" s="3">
        <v>10726</v>
      </c>
      <c r="J122" s="3" t="str">
        <f>IF(I122&gt;16000, "High", IF(I122&gt;=12000, IF(I122&lt;=15000, "Medium", "High"), "Low"))</f>
        <v>Low</v>
      </c>
      <c r="K122" t="b">
        <v>0</v>
      </c>
      <c r="L122" t="b">
        <v>0</v>
      </c>
      <c r="M122" t="b">
        <v>1</v>
      </c>
    </row>
    <row r="123" spans="1:13" hidden="1" x14ac:dyDescent="0.3">
      <c r="A123">
        <v>41</v>
      </c>
      <c r="B123" t="s">
        <v>25</v>
      </c>
      <c r="C123" s="1">
        <v>9</v>
      </c>
      <c r="D123" t="s">
        <v>13</v>
      </c>
      <c r="E123" t="s">
        <v>26</v>
      </c>
      <c r="F123" t="s">
        <v>27</v>
      </c>
      <c r="G123" t="s">
        <v>16</v>
      </c>
      <c r="H123" t="s">
        <v>24</v>
      </c>
      <c r="I123" s="3">
        <v>19436</v>
      </c>
      <c r="J123" s="3" t="str">
        <f>IF(I123&gt;16000, "High", IF(I123&gt;=12000, IF(I123&lt;=15000, "Medium", "High"), "Low"))</f>
        <v>High</v>
      </c>
      <c r="K123" t="b">
        <v>0</v>
      </c>
      <c r="L123" t="b">
        <v>0</v>
      </c>
      <c r="M123" t="b">
        <v>0</v>
      </c>
    </row>
    <row r="124" spans="1:13" hidden="1" x14ac:dyDescent="0.3">
      <c r="A124">
        <v>54</v>
      </c>
      <c r="B124" t="s">
        <v>18</v>
      </c>
      <c r="C124" s="1">
        <v>1</v>
      </c>
      <c r="D124" t="s">
        <v>13</v>
      </c>
      <c r="E124" t="s">
        <v>14</v>
      </c>
      <c r="F124" t="s">
        <v>15</v>
      </c>
      <c r="G124" t="s">
        <v>16</v>
      </c>
      <c r="H124" t="s">
        <v>21</v>
      </c>
      <c r="I124" s="3">
        <v>16697</v>
      </c>
      <c r="J124" s="3" t="str">
        <f>IF(I124&gt;16000, "High", IF(I124&gt;=12000, IF(I124&lt;=15000, "Medium", "High"), "Low"))</f>
        <v>High</v>
      </c>
      <c r="K124" t="b">
        <v>0</v>
      </c>
      <c r="L124" t="b">
        <v>0</v>
      </c>
      <c r="M124" t="b">
        <v>1</v>
      </c>
    </row>
    <row r="125" spans="1:13" hidden="1" x14ac:dyDescent="0.3">
      <c r="A125">
        <v>52</v>
      </c>
      <c r="B125" t="s">
        <v>18</v>
      </c>
      <c r="C125" s="1">
        <v>9</v>
      </c>
      <c r="D125" t="s">
        <v>13</v>
      </c>
      <c r="E125" t="s">
        <v>26</v>
      </c>
      <c r="F125" t="s">
        <v>15</v>
      </c>
      <c r="G125" t="s">
        <v>29</v>
      </c>
      <c r="H125" t="s">
        <v>24</v>
      </c>
      <c r="I125" s="3">
        <v>19257</v>
      </c>
      <c r="J125" s="3" t="str">
        <f>IF(I125&gt;16000, "High", IF(I125&gt;=12000, IF(I125&lt;=15000, "Medium", "High"), "Low"))</f>
        <v>High</v>
      </c>
      <c r="K125" t="b">
        <v>1</v>
      </c>
      <c r="L125" t="b">
        <v>1</v>
      </c>
      <c r="M125" t="b">
        <v>1</v>
      </c>
    </row>
    <row r="126" spans="1:13" hidden="1" x14ac:dyDescent="0.3">
      <c r="A126">
        <v>61</v>
      </c>
      <c r="B126" t="s">
        <v>18</v>
      </c>
      <c r="C126" s="1">
        <v>9</v>
      </c>
      <c r="D126" t="s">
        <v>13</v>
      </c>
      <c r="E126" t="s">
        <v>14</v>
      </c>
      <c r="F126" t="s">
        <v>22</v>
      </c>
      <c r="G126" t="s">
        <v>23</v>
      </c>
      <c r="H126" t="s">
        <v>24</v>
      </c>
      <c r="I126" s="3">
        <v>10282</v>
      </c>
      <c r="J126" s="3" t="str">
        <f>IF(I126&gt;16000, "High", IF(I126&gt;=12000, IF(I126&lt;=15000, "Medium", "High"), "Low"))</f>
        <v>Low</v>
      </c>
      <c r="K126" t="b">
        <v>0</v>
      </c>
      <c r="L126" t="b">
        <v>1</v>
      </c>
      <c r="M126" t="b">
        <v>0</v>
      </c>
    </row>
    <row r="127" spans="1:13" hidden="1" x14ac:dyDescent="0.3">
      <c r="A127">
        <v>57</v>
      </c>
      <c r="B127" t="s">
        <v>18</v>
      </c>
      <c r="C127" s="1">
        <v>9</v>
      </c>
      <c r="D127" t="s">
        <v>13</v>
      </c>
      <c r="E127" t="s">
        <v>14</v>
      </c>
      <c r="F127" t="s">
        <v>27</v>
      </c>
      <c r="G127" t="s">
        <v>23</v>
      </c>
      <c r="H127" t="s">
        <v>24</v>
      </c>
      <c r="I127" s="3">
        <v>11081</v>
      </c>
      <c r="J127" s="3" t="str">
        <f>IF(I127&gt;16000, "High", IF(I127&gt;=12000, IF(I127&lt;=15000, "Medium", "High"), "Low"))</f>
        <v>Low</v>
      </c>
      <c r="K127" t="b">
        <v>1</v>
      </c>
      <c r="L127" t="b">
        <v>1</v>
      </c>
      <c r="M127" t="b">
        <v>1</v>
      </c>
    </row>
    <row r="128" spans="1:13" hidden="1" x14ac:dyDescent="0.3">
      <c r="A128">
        <v>39</v>
      </c>
      <c r="B128" t="s">
        <v>25</v>
      </c>
      <c r="C128" s="1">
        <v>5</v>
      </c>
      <c r="D128" t="s">
        <v>13</v>
      </c>
      <c r="E128" t="s">
        <v>26</v>
      </c>
      <c r="F128" t="s">
        <v>22</v>
      </c>
      <c r="G128" t="s">
        <v>29</v>
      </c>
      <c r="H128" t="s">
        <v>21</v>
      </c>
      <c r="I128" s="3">
        <v>13885</v>
      </c>
      <c r="J128" s="3" t="str">
        <f>IF(I128&gt;16000, "High", IF(I128&gt;=12000, IF(I128&lt;=15000, "Medium", "High"), "Low"))</f>
        <v>Medium</v>
      </c>
      <c r="K128" t="b">
        <v>0</v>
      </c>
      <c r="L128" t="b">
        <v>1</v>
      </c>
      <c r="M128" t="b">
        <v>1</v>
      </c>
    </row>
    <row r="129" spans="1:13" hidden="1" x14ac:dyDescent="0.3">
      <c r="A129">
        <v>44</v>
      </c>
      <c r="B129" t="s">
        <v>25</v>
      </c>
      <c r="C129" s="1">
        <v>9</v>
      </c>
      <c r="D129" t="s">
        <v>13</v>
      </c>
      <c r="E129" t="s">
        <v>20</v>
      </c>
      <c r="F129" t="s">
        <v>15</v>
      </c>
      <c r="G129" t="s">
        <v>23</v>
      </c>
      <c r="H129" t="s">
        <v>17</v>
      </c>
      <c r="I129" s="3">
        <v>12881</v>
      </c>
      <c r="J129" s="3" t="str">
        <f>IF(I129&gt;16000, "High", IF(I129&gt;=12000, IF(I129&lt;=15000, "Medium", "High"), "Low"))</f>
        <v>Medium</v>
      </c>
      <c r="K129" t="b">
        <v>0</v>
      </c>
      <c r="L129" t="b">
        <v>0</v>
      </c>
      <c r="M129" t="b">
        <v>0</v>
      </c>
    </row>
    <row r="130" spans="1:13" hidden="1" x14ac:dyDescent="0.3">
      <c r="A130">
        <v>52</v>
      </c>
      <c r="B130" t="s">
        <v>18</v>
      </c>
      <c r="C130" s="1">
        <v>4</v>
      </c>
      <c r="D130" t="s">
        <v>28</v>
      </c>
      <c r="E130" t="s">
        <v>26</v>
      </c>
      <c r="F130" t="s">
        <v>22</v>
      </c>
      <c r="G130" t="s">
        <v>16</v>
      </c>
      <c r="H130" t="s">
        <v>24</v>
      </c>
      <c r="I130" s="3">
        <v>12970</v>
      </c>
      <c r="J130" s="3" t="str">
        <f>IF(I130&gt;16000, "High", IF(I130&gt;=12000, IF(I130&lt;=15000, "Medium", "High"), "Low"))</f>
        <v>Medium</v>
      </c>
      <c r="K130" t="b">
        <v>0</v>
      </c>
      <c r="L130" t="b">
        <v>0</v>
      </c>
      <c r="M130" t="b">
        <v>1</v>
      </c>
    </row>
    <row r="131" spans="1:13" hidden="1" x14ac:dyDescent="0.3">
      <c r="A131">
        <v>18</v>
      </c>
      <c r="B131" t="s">
        <v>18</v>
      </c>
      <c r="C131" s="1">
        <v>2</v>
      </c>
      <c r="D131" t="s">
        <v>28</v>
      </c>
      <c r="E131" t="s">
        <v>20</v>
      </c>
      <c r="F131" t="s">
        <v>15</v>
      </c>
      <c r="G131" t="s">
        <v>23</v>
      </c>
      <c r="H131" t="s">
        <v>17</v>
      </c>
      <c r="I131" s="3">
        <v>19344</v>
      </c>
      <c r="J131" s="3" t="str">
        <f>IF(I131&gt;16000, "High", IF(I131&gt;=12000, IF(I131&lt;=15000, "Medium", "High"), "Low"))</f>
        <v>High</v>
      </c>
      <c r="K131" t="b">
        <v>1</v>
      </c>
      <c r="L131" t="b">
        <v>1</v>
      </c>
      <c r="M131" t="b">
        <v>0</v>
      </c>
    </row>
    <row r="132" spans="1:13" hidden="1" x14ac:dyDescent="0.3">
      <c r="A132">
        <v>52</v>
      </c>
      <c r="B132" t="s">
        <v>25</v>
      </c>
      <c r="C132" s="1">
        <v>6</v>
      </c>
      <c r="D132" t="s">
        <v>28</v>
      </c>
      <c r="E132" t="s">
        <v>14</v>
      </c>
      <c r="F132" t="s">
        <v>22</v>
      </c>
      <c r="G132" t="s">
        <v>23</v>
      </c>
      <c r="H132" t="s">
        <v>17</v>
      </c>
      <c r="I132" s="3">
        <v>16985</v>
      </c>
      <c r="J132" s="3" t="str">
        <f>IF(I132&gt;16000, "High", IF(I132&gt;=12000, IF(I132&lt;=15000, "Medium", "High"), "Low"))</f>
        <v>High</v>
      </c>
      <c r="K132" t="b">
        <v>0</v>
      </c>
      <c r="L132" t="b">
        <v>1</v>
      </c>
      <c r="M132" t="b">
        <v>1</v>
      </c>
    </row>
    <row r="133" spans="1:13" hidden="1" x14ac:dyDescent="0.3">
      <c r="A133">
        <v>54</v>
      </c>
      <c r="B133" t="s">
        <v>18</v>
      </c>
      <c r="C133" s="1">
        <v>4</v>
      </c>
      <c r="D133" t="s">
        <v>28</v>
      </c>
      <c r="E133" t="s">
        <v>26</v>
      </c>
      <c r="F133" t="s">
        <v>22</v>
      </c>
      <c r="G133" t="s">
        <v>23</v>
      </c>
      <c r="H133" t="s">
        <v>21</v>
      </c>
      <c r="I133" s="3">
        <v>10947</v>
      </c>
      <c r="J133" s="3" t="str">
        <f>IF(I133&gt;16000, "High", IF(I133&gt;=12000, IF(I133&lt;=15000, "Medium", "High"), "Low"))</f>
        <v>Low</v>
      </c>
      <c r="K133" t="b">
        <v>0</v>
      </c>
      <c r="L133" t="b">
        <v>0</v>
      </c>
      <c r="M133" t="b">
        <v>0</v>
      </c>
    </row>
    <row r="134" spans="1:13" hidden="1" x14ac:dyDescent="0.3">
      <c r="A134">
        <v>64</v>
      </c>
      <c r="B134" t="s">
        <v>12</v>
      </c>
      <c r="C134" s="1">
        <v>6</v>
      </c>
      <c r="D134" t="s">
        <v>13</v>
      </c>
      <c r="E134" t="s">
        <v>26</v>
      </c>
      <c r="F134" t="s">
        <v>27</v>
      </c>
      <c r="G134" t="s">
        <v>29</v>
      </c>
      <c r="H134" t="s">
        <v>21</v>
      </c>
      <c r="I134" s="3">
        <v>14760</v>
      </c>
      <c r="J134" s="3" t="str">
        <f>IF(I134&gt;16000, "High", IF(I134&gt;=12000, IF(I134&lt;=15000, "Medium", "High"), "Low"))</f>
        <v>Medium</v>
      </c>
      <c r="K134" t="b">
        <v>0</v>
      </c>
      <c r="L134" t="b">
        <v>0</v>
      </c>
      <c r="M134" t="b">
        <v>0</v>
      </c>
    </row>
    <row r="135" spans="1:13" hidden="1" x14ac:dyDescent="0.3">
      <c r="A135">
        <v>31</v>
      </c>
      <c r="B135" t="s">
        <v>18</v>
      </c>
      <c r="C135" s="1">
        <v>3</v>
      </c>
      <c r="D135" t="s">
        <v>28</v>
      </c>
      <c r="E135" t="s">
        <v>26</v>
      </c>
      <c r="F135" t="s">
        <v>22</v>
      </c>
      <c r="G135" t="s">
        <v>16</v>
      </c>
      <c r="H135" t="s">
        <v>17</v>
      </c>
      <c r="I135" s="3">
        <v>19909</v>
      </c>
      <c r="J135" s="3" t="str">
        <f>IF(I135&gt;16000, "High", IF(I135&gt;=12000, IF(I135&lt;=15000, "Medium", "High"), "Low"))</f>
        <v>High</v>
      </c>
      <c r="K135" t="b">
        <v>0</v>
      </c>
      <c r="L135" t="b">
        <v>0</v>
      </c>
      <c r="M135" t="b">
        <v>1</v>
      </c>
    </row>
    <row r="136" spans="1:13" hidden="1" x14ac:dyDescent="0.3">
      <c r="A136">
        <v>20</v>
      </c>
      <c r="B136" t="s">
        <v>18</v>
      </c>
      <c r="C136" s="1">
        <v>6</v>
      </c>
      <c r="D136" t="s">
        <v>13</v>
      </c>
      <c r="E136" t="s">
        <v>20</v>
      </c>
      <c r="F136" t="s">
        <v>27</v>
      </c>
      <c r="G136" t="s">
        <v>23</v>
      </c>
      <c r="H136" t="s">
        <v>24</v>
      </c>
      <c r="I136" s="3">
        <v>10066</v>
      </c>
      <c r="J136" s="3" t="str">
        <f>IF(I136&gt;16000, "High", IF(I136&gt;=12000, IF(I136&lt;=15000, "Medium", "High"), "Low"))</f>
        <v>Low</v>
      </c>
      <c r="K136" t="b">
        <v>0</v>
      </c>
      <c r="L136" t="b">
        <v>0</v>
      </c>
      <c r="M136" t="b">
        <v>0</v>
      </c>
    </row>
    <row r="137" spans="1:13" hidden="1" x14ac:dyDescent="0.3">
      <c r="A137">
        <v>18</v>
      </c>
      <c r="B137" t="s">
        <v>12</v>
      </c>
      <c r="C137" s="1">
        <v>2</v>
      </c>
      <c r="D137" t="s">
        <v>28</v>
      </c>
      <c r="E137" t="s">
        <v>20</v>
      </c>
      <c r="F137" t="s">
        <v>27</v>
      </c>
      <c r="G137" t="s">
        <v>29</v>
      </c>
      <c r="H137" t="s">
        <v>21</v>
      </c>
      <c r="I137" s="3">
        <v>18828</v>
      </c>
      <c r="J137" s="3" t="str">
        <f>IF(I137&gt;16000, "High", IF(I137&gt;=12000, IF(I137&lt;=15000, "Medium", "High"), "Low"))</f>
        <v>High</v>
      </c>
      <c r="K137" t="b">
        <v>1</v>
      </c>
      <c r="L137" t="b">
        <v>0</v>
      </c>
      <c r="M137" t="b">
        <v>1</v>
      </c>
    </row>
    <row r="138" spans="1:13" hidden="1" x14ac:dyDescent="0.3">
      <c r="A138">
        <v>22</v>
      </c>
      <c r="B138" t="s">
        <v>12</v>
      </c>
      <c r="C138" s="1">
        <v>2</v>
      </c>
      <c r="D138" t="s">
        <v>19</v>
      </c>
      <c r="E138" t="s">
        <v>14</v>
      </c>
      <c r="F138" t="s">
        <v>27</v>
      </c>
      <c r="G138" t="s">
        <v>23</v>
      </c>
      <c r="H138" t="s">
        <v>24</v>
      </c>
      <c r="I138" s="3">
        <v>18505</v>
      </c>
      <c r="J138" s="3" t="str">
        <f>IF(I138&gt;16000, "High", IF(I138&gt;=12000, IF(I138&lt;=15000, "Medium", "High"), "Low"))</f>
        <v>High</v>
      </c>
      <c r="K138" t="b">
        <v>1</v>
      </c>
      <c r="L138" t="b">
        <v>1</v>
      </c>
      <c r="M138" t="b">
        <v>1</v>
      </c>
    </row>
    <row r="139" spans="1:13" hidden="1" x14ac:dyDescent="0.3">
      <c r="A139">
        <v>43</v>
      </c>
      <c r="B139" t="s">
        <v>25</v>
      </c>
      <c r="C139" s="1">
        <v>9</v>
      </c>
      <c r="D139" t="s">
        <v>28</v>
      </c>
      <c r="E139" t="s">
        <v>20</v>
      </c>
      <c r="F139" t="s">
        <v>27</v>
      </c>
      <c r="G139" t="s">
        <v>16</v>
      </c>
      <c r="H139" t="s">
        <v>24</v>
      </c>
      <c r="I139" s="3">
        <v>10564</v>
      </c>
      <c r="J139" s="3" t="str">
        <f>IF(I139&gt;16000, "High", IF(I139&gt;=12000, IF(I139&lt;=15000, "Medium", "High"), "Low"))</f>
        <v>Low</v>
      </c>
      <c r="K139" t="b">
        <v>0</v>
      </c>
      <c r="L139" t="b">
        <v>1</v>
      </c>
      <c r="M139" t="b">
        <v>0</v>
      </c>
    </row>
    <row r="140" spans="1:13" hidden="1" x14ac:dyDescent="0.3">
      <c r="A140">
        <v>31</v>
      </c>
      <c r="B140" t="s">
        <v>25</v>
      </c>
      <c r="C140" s="1">
        <v>7</v>
      </c>
      <c r="D140" t="s">
        <v>28</v>
      </c>
      <c r="E140" t="s">
        <v>20</v>
      </c>
      <c r="F140" t="s">
        <v>22</v>
      </c>
      <c r="G140" t="s">
        <v>23</v>
      </c>
      <c r="H140" t="s">
        <v>24</v>
      </c>
      <c r="I140" s="3">
        <v>19793</v>
      </c>
      <c r="J140" s="3" t="str">
        <f>IF(I140&gt;16000, "High", IF(I140&gt;=12000, IF(I140&lt;=15000, "Medium", "High"), "Low"))</f>
        <v>High</v>
      </c>
      <c r="K140" t="b">
        <v>0</v>
      </c>
      <c r="L140" t="b">
        <v>0</v>
      </c>
      <c r="M140" t="b">
        <v>1</v>
      </c>
    </row>
    <row r="141" spans="1:13" hidden="1" x14ac:dyDescent="0.3">
      <c r="A141">
        <v>56</v>
      </c>
      <c r="B141" t="s">
        <v>12</v>
      </c>
      <c r="C141" s="1">
        <v>3</v>
      </c>
      <c r="D141" t="s">
        <v>13</v>
      </c>
      <c r="E141" t="s">
        <v>14</v>
      </c>
      <c r="F141" t="s">
        <v>15</v>
      </c>
      <c r="G141" t="s">
        <v>16</v>
      </c>
      <c r="H141" t="s">
        <v>17</v>
      </c>
      <c r="I141" s="3">
        <v>19017</v>
      </c>
      <c r="J141" s="3" t="str">
        <f>IF(I141&gt;16000, "High", IF(I141&gt;=12000, IF(I141&lt;=15000, "Medium", "High"), "Low"))</f>
        <v>High</v>
      </c>
      <c r="K141" t="b">
        <v>1</v>
      </c>
      <c r="L141" t="b">
        <v>0</v>
      </c>
      <c r="M141" t="b">
        <v>0</v>
      </c>
    </row>
    <row r="142" spans="1:13" hidden="1" x14ac:dyDescent="0.3">
      <c r="A142">
        <v>44</v>
      </c>
      <c r="B142" t="s">
        <v>12</v>
      </c>
      <c r="C142" s="1">
        <v>1</v>
      </c>
      <c r="D142" t="s">
        <v>28</v>
      </c>
      <c r="E142" t="s">
        <v>26</v>
      </c>
      <c r="F142" t="s">
        <v>15</v>
      </c>
      <c r="G142" t="s">
        <v>23</v>
      </c>
      <c r="H142" t="s">
        <v>24</v>
      </c>
      <c r="I142" s="3">
        <v>13670</v>
      </c>
      <c r="J142" s="3" t="str">
        <f>IF(I142&gt;16000, "High", IF(I142&gt;=12000, IF(I142&lt;=15000, "Medium", "High"), "Low"))</f>
        <v>Medium</v>
      </c>
      <c r="K142" t="b">
        <v>0</v>
      </c>
      <c r="L142" t="b">
        <v>1</v>
      </c>
      <c r="M142" t="b">
        <v>1</v>
      </c>
    </row>
    <row r="143" spans="1:13" hidden="1" x14ac:dyDescent="0.3">
      <c r="A143">
        <v>26</v>
      </c>
      <c r="B143" t="s">
        <v>25</v>
      </c>
      <c r="C143" s="1">
        <v>8</v>
      </c>
      <c r="D143" t="s">
        <v>19</v>
      </c>
      <c r="E143" t="s">
        <v>26</v>
      </c>
      <c r="F143" t="s">
        <v>15</v>
      </c>
      <c r="G143" t="s">
        <v>16</v>
      </c>
      <c r="H143" t="s">
        <v>17</v>
      </c>
      <c r="I143" s="3">
        <v>19217</v>
      </c>
      <c r="J143" s="3" t="str">
        <f>IF(I143&gt;16000, "High", IF(I143&gt;=12000, IF(I143&lt;=15000, "Medium", "High"), "Low"))</f>
        <v>High</v>
      </c>
      <c r="K143" t="b">
        <v>1</v>
      </c>
      <c r="L143" t="b">
        <v>0</v>
      </c>
      <c r="M143" t="b">
        <v>1</v>
      </c>
    </row>
    <row r="144" spans="1:13" hidden="1" x14ac:dyDescent="0.3">
      <c r="A144">
        <v>32</v>
      </c>
      <c r="B144" t="s">
        <v>18</v>
      </c>
      <c r="C144" s="1">
        <v>6</v>
      </c>
      <c r="D144" t="s">
        <v>13</v>
      </c>
      <c r="E144" t="s">
        <v>14</v>
      </c>
      <c r="F144" t="s">
        <v>22</v>
      </c>
      <c r="G144" t="s">
        <v>23</v>
      </c>
      <c r="H144" t="s">
        <v>17</v>
      </c>
      <c r="I144" s="3">
        <v>12251</v>
      </c>
      <c r="J144" s="3" t="str">
        <f>IF(I144&gt;16000, "High", IF(I144&gt;=12000, IF(I144&lt;=15000, "Medium", "High"), "Low"))</f>
        <v>Medium</v>
      </c>
      <c r="K144" t="b">
        <v>0</v>
      </c>
      <c r="L144" t="b">
        <v>1</v>
      </c>
      <c r="M144" t="b">
        <v>0</v>
      </c>
    </row>
    <row r="145" spans="1:13" hidden="1" x14ac:dyDescent="0.3">
      <c r="A145">
        <v>32</v>
      </c>
      <c r="B145" t="s">
        <v>12</v>
      </c>
      <c r="C145" s="1">
        <v>7</v>
      </c>
      <c r="D145" t="s">
        <v>13</v>
      </c>
      <c r="E145" t="s">
        <v>26</v>
      </c>
      <c r="F145" t="s">
        <v>27</v>
      </c>
      <c r="G145" t="s">
        <v>16</v>
      </c>
      <c r="H145" t="s">
        <v>24</v>
      </c>
      <c r="I145" s="3">
        <v>10804</v>
      </c>
      <c r="J145" s="3" t="str">
        <f>IF(I145&gt;16000, "High", IF(I145&gt;=12000, IF(I145&lt;=15000, "Medium", "High"), "Low"))</f>
        <v>Low</v>
      </c>
      <c r="K145" t="b">
        <v>0</v>
      </c>
      <c r="L145" t="b">
        <v>1</v>
      </c>
      <c r="M145" t="b">
        <v>1</v>
      </c>
    </row>
    <row r="146" spans="1:13" hidden="1" x14ac:dyDescent="0.3">
      <c r="A146">
        <v>43</v>
      </c>
      <c r="B146" t="s">
        <v>25</v>
      </c>
      <c r="C146" s="1">
        <v>9</v>
      </c>
      <c r="D146" t="s">
        <v>28</v>
      </c>
      <c r="E146" t="s">
        <v>20</v>
      </c>
      <c r="F146" t="s">
        <v>15</v>
      </c>
      <c r="G146" t="s">
        <v>23</v>
      </c>
      <c r="H146" t="s">
        <v>24</v>
      </c>
      <c r="I146" s="3">
        <v>14631</v>
      </c>
      <c r="J146" s="3" t="str">
        <f>IF(I146&gt;16000, "High", IF(I146&gt;=12000, IF(I146&lt;=15000, "Medium", "High"), "Low"))</f>
        <v>Medium</v>
      </c>
      <c r="K146" t="b">
        <v>1</v>
      </c>
      <c r="L146" t="b">
        <v>1</v>
      </c>
      <c r="M146" t="b">
        <v>1</v>
      </c>
    </row>
    <row r="147" spans="1:13" hidden="1" x14ac:dyDescent="0.3">
      <c r="A147">
        <v>59</v>
      </c>
      <c r="B147" t="s">
        <v>18</v>
      </c>
      <c r="C147" s="1">
        <v>5</v>
      </c>
      <c r="D147" t="s">
        <v>13</v>
      </c>
      <c r="E147" t="s">
        <v>14</v>
      </c>
      <c r="F147" t="s">
        <v>22</v>
      </c>
      <c r="G147" t="s">
        <v>23</v>
      </c>
      <c r="H147" t="s">
        <v>24</v>
      </c>
      <c r="I147" s="3">
        <v>19583</v>
      </c>
      <c r="J147" s="3" t="str">
        <f>IF(I147&gt;16000, "High", IF(I147&gt;=12000, IF(I147&lt;=15000, "Medium", "High"), "Low"))</f>
        <v>High</v>
      </c>
      <c r="K147" t="b">
        <v>0</v>
      </c>
      <c r="L147" t="b">
        <v>1</v>
      </c>
      <c r="M147" t="b">
        <v>1</v>
      </c>
    </row>
    <row r="148" spans="1:13" hidden="1" x14ac:dyDescent="0.3">
      <c r="A148">
        <v>30</v>
      </c>
      <c r="B148" t="s">
        <v>12</v>
      </c>
      <c r="C148" s="1">
        <v>1</v>
      </c>
      <c r="D148" t="s">
        <v>13</v>
      </c>
      <c r="E148" t="s">
        <v>14</v>
      </c>
      <c r="F148" t="s">
        <v>27</v>
      </c>
      <c r="G148" t="s">
        <v>29</v>
      </c>
      <c r="H148" t="s">
        <v>24</v>
      </c>
      <c r="I148" s="3">
        <v>11235</v>
      </c>
      <c r="J148" s="3" t="str">
        <f>IF(I148&gt;16000, "High", IF(I148&gt;=12000, IF(I148&lt;=15000, "Medium", "High"), "Low"))</f>
        <v>Low</v>
      </c>
      <c r="K148" t="b">
        <v>1</v>
      </c>
      <c r="L148" t="b">
        <v>0</v>
      </c>
      <c r="M148" t="b">
        <v>1</v>
      </c>
    </row>
    <row r="149" spans="1:13" hidden="1" x14ac:dyDescent="0.3">
      <c r="A149">
        <v>49</v>
      </c>
      <c r="B149" t="s">
        <v>18</v>
      </c>
      <c r="C149" s="1">
        <v>7</v>
      </c>
      <c r="D149" t="s">
        <v>13</v>
      </c>
      <c r="E149" t="s">
        <v>14</v>
      </c>
      <c r="F149" t="s">
        <v>15</v>
      </c>
      <c r="G149" t="s">
        <v>29</v>
      </c>
      <c r="H149" t="s">
        <v>17</v>
      </c>
      <c r="I149" s="3">
        <v>16720</v>
      </c>
      <c r="J149" s="3" t="str">
        <f>IF(I149&gt;16000, "High", IF(I149&gt;=12000, IF(I149&lt;=15000, "Medium", "High"), "Low"))</f>
        <v>High</v>
      </c>
      <c r="K149" t="b">
        <v>1</v>
      </c>
      <c r="L149" t="b">
        <v>0</v>
      </c>
      <c r="M149" t="b">
        <v>1</v>
      </c>
    </row>
    <row r="150" spans="1:13" hidden="1" x14ac:dyDescent="0.3">
      <c r="A150">
        <v>56</v>
      </c>
      <c r="B150" t="s">
        <v>25</v>
      </c>
      <c r="C150" s="1">
        <v>5</v>
      </c>
      <c r="D150" t="s">
        <v>13</v>
      </c>
      <c r="E150" t="s">
        <v>26</v>
      </c>
      <c r="F150" t="s">
        <v>27</v>
      </c>
      <c r="G150" t="s">
        <v>16</v>
      </c>
      <c r="H150" t="s">
        <v>24</v>
      </c>
      <c r="I150" s="3">
        <v>16906</v>
      </c>
      <c r="J150" s="3" t="str">
        <f>IF(I150&gt;16000, "High", IF(I150&gt;=12000, IF(I150&lt;=15000, "Medium", "High"), "Low"))</f>
        <v>High</v>
      </c>
      <c r="K150" t="b">
        <v>1</v>
      </c>
      <c r="L150" t="b">
        <v>1</v>
      </c>
      <c r="M150" t="b">
        <v>1</v>
      </c>
    </row>
    <row r="151" spans="1:13" hidden="1" x14ac:dyDescent="0.3">
      <c r="A151">
        <v>49</v>
      </c>
      <c r="B151" t="s">
        <v>12</v>
      </c>
      <c r="C151" s="1">
        <v>3</v>
      </c>
      <c r="D151" t="s">
        <v>13</v>
      </c>
      <c r="E151" t="s">
        <v>14</v>
      </c>
      <c r="F151" t="s">
        <v>15</v>
      </c>
      <c r="G151" t="s">
        <v>23</v>
      </c>
      <c r="H151" t="s">
        <v>24</v>
      </c>
      <c r="I151" s="3">
        <v>16016</v>
      </c>
      <c r="J151" s="3" t="str">
        <f>IF(I151&gt;16000, "High", IF(I151&gt;=12000, IF(I151&lt;=15000, "Medium", "High"), "Low"))</f>
        <v>High</v>
      </c>
      <c r="K151" t="b">
        <v>0</v>
      </c>
      <c r="L151" t="b">
        <v>0</v>
      </c>
      <c r="M151" t="b">
        <v>1</v>
      </c>
    </row>
    <row r="152" spans="1:13" hidden="1" x14ac:dyDescent="0.3">
      <c r="A152">
        <v>21</v>
      </c>
      <c r="B152" t="s">
        <v>18</v>
      </c>
      <c r="C152" s="1">
        <v>9</v>
      </c>
      <c r="D152" t="s">
        <v>13</v>
      </c>
      <c r="E152" t="s">
        <v>14</v>
      </c>
      <c r="F152" t="s">
        <v>15</v>
      </c>
      <c r="G152" t="s">
        <v>16</v>
      </c>
      <c r="H152" t="s">
        <v>17</v>
      </c>
      <c r="I152" s="3">
        <v>13549</v>
      </c>
      <c r="J152" s="3" t="str">
        <f>IF(I152&gt;16000, "High", IF(I152&gt;=12000, IF(I152&lt;=15000, "Medium", "High"), "Low"))</f>
        <v>Medium</v>
      </c>
      <c r="K152" t="b">
        <v>1</v>
      </c>
      <c r="L152" t="b">
        <v>0</v>
      </c>
      <c r="M152" t="b">
        <v>1</v>
      </c>
    </row>
    <row r="153" spans="1:13" hidden="1" x14ac:dyDescent="0.3">
      <c r="A153">
        <v>47</v>
      </c>
      <c r="B153" t="s">
        <v>12</v>
      </c>
      <c r="C153" s="1">
        <v>1</v>
      </c>
      <c r="D153" t="s">
        <v>19</v>
      </c>
      <c r="E153" t="s">
        <v>14</v>
      </c>
      <c r="F153" t="s">
        <v>15</v>
      </c>
      <c r="G153" t="s">
        <v>29</v>
      </c>
      <c r="H153" t="s">
        <v>21</v>
      </c>
      <c r="I153" s="3">
        <v>17938</v>
      </c>
      <c r="J153" s="3" t="str">
        <f>IF(I153&gt;16000, "High", IF(I153&gt;=12000, IF(I153&lt;=15000, "Medium", "High"), "Low"))</f>
        <v>High</v>
      </c>
      <c r="K153" t="b">
        <v>1</v>
      </c>
      <c r="L153" t="b">
        <v>0</v>
      </c>
      <c r="M153" t="b">
        <v>0</v>
      </c>
    </row>
    <row r="154" spans="1:13" hidden="1" x14ac:dyDescent="0.3">
      <c r="A154">
        <v>54</v>
      </c>
      <c r="B154" t="s">
        <v>18</v>
      </c>
      <c r="C154" s="1">
        <v>1</v>
      </c>
      <c r="D154" t="s">
        <v>28</v>
      </c>
      <c r="E154" t="s">
        <v>26</v>
      </c>
      <c r="F154" t="s">
        <v>27</v>
      </c>
      <c r="G154" t="s">
        <v>16</v>
      </c>
      <c r="H154" t="s">
        <v>21</v>
      </c>
      <c r="I154" s="3">
        <v>14141</v>
      </c>
      <c r="J154" s="3" t="str">
        <f>IF(I154&gt;16000, "High", IF(I154&gt;=12000, IF(I154&lt;=15000, "Medium", "High"), "Low"))</f>
        <v>Medium</v>
      </c>
      <c r="K154" t="b">
        <v>0</v>
      </c>
      <c r="L154" t="b">
        <v>0</v>
      </c>
      <c r="M154" t="b">
        <v>1</v>
      </c>
    </row>
    <row r="155" spans="1:13" hidden="1" x14ac:dyDescent="0.3">
      <c r="A155">
        <v>40</v>
      </c>
      <c r="B155" t="s">
        <v>25</v>
      </c>
      <c r="C155" s="1">
        <v>1</v>
      </c>
      <c r="D155" t="s">
        <v>19</v>
      </c>
      <c r="E155" t="s">
        <v>20</v>
      </c>
      <c r="F155" t="s">
        <v>22</v>
      </c>
      <c r="G155" t="s">
        <v>16</v>
      </c>
      <c r="H155" t="s">
        <v>17</v>
      </c>
      <c r="I155" s="3">
        <v>16966</v>
      </c>
      <c r="J155" s="3" t="str">
        <f>IF(I155&gt;16000, "High", IF(I155&gt;=12000, IF(I155&lt;=15000, "Medium", "High"), "Low"))</f>
        <v>High</v>
      </c>
      <c r="K155" t="b">
        <v>0</v>
      </c>
      <c r="L155" t="b">
        <v>1</v>
      </c>
      <c r="M155" t="b">
        <v>1</v>
      </c>
    </row>
    <row r="156" spans="1:13" hidden="1" x14ac:dyDescent="0.3">
      <c r="A156">
        <v>56</v>
      </c>
      <c r="B156" t="s">
        <v>25</v>
      </c>
      <c r="C156" s="1">
        <v>3</v>
      </c>
      <c r="D156" t="s">
        <v>13</v>
      </c>
      <c r="E156" t="s">
        <v>14</v>
      </c>
      <c r="F156" t="s">
        <v>27</v>
      </c>
      <c r="G156" t="s">
        <v>29</v>
      </c>
      <c r="H156" t="s">
        <v>21</v>
      </c>
      <c r="I156" s="3">
        <v>19546</v>
      </c>
      <c r="J156" s="3" t="str">
        <f>IF(I156&gt;16000, "High", IF(I156&gt;=12000, IF(I156&lt;=15000, "Medium", "High"), "Low"))</f>
        <v>High</v>
      </c>
      <c r="K156" t="b">
        <v>0</v>
      </c>
      <c r="L156" t="b">
        <v>0</v>
      </c>
      <c r="M156" t="b">
        <v>0</v>
      </c>
    </row>
    <row r="157" spans="1:13" hidden="1" x14ac:dyDescent="0.3">
      <c r="A157">
        <v>62</v>
      </c>
      <c r="B157" t="s">
        <v>12</v>
      </c>
      <c r="C157" s="1">
        <v>6</v>
      </c>
      <c r="D157" t="s">
        <v>13</v>
      </c>
      <c r="E157" t="s">
        <v>20</v>
      </c>
      <c r="F157" t="s">
        <v>15</v>
      </c>
      <c r="G157" t="s">
        <v>23</v>
      </c>
      <c r="H157" t="s">
        <v>17</v>
      </c>
      <c r="I157" s="3">
        <v>15335</v>
      </c>
      <c r="J157" s="3" t="str">
        <f>IF(I157&gt;16000, "High", IF(I157&gt;=12000, IF(I157&lt;=15000, "Medium", "High"), "Low"))</f>
        <v>High</v>
      </c>
      <c r="K157" t="b">
        <v>0</v>
      </c>
      <c r="L157" t="b">
        <v>1</v>
      </c>
      <c r="M157" t="b">
        <v>0</v>
      </c>
    </row>
    <row r="158" spans="1:13" hidden="1" x14ac:dyDescent="0.3">
      <c r="A158">
        <v>32</v>
      </c>
      <c r="B158" t="s">
        <v>18</v>
      </c>
      <c r="C158" s="1">
        <v>3</v>
      </c>
      <c r="D158" t="s">
        <v>28</v>
      </c>
      <c r="E158" t="s">
        <v>26</v>
      </c>
      <c r="F158" t="s">
        <v>27</v>
      </c>
      <c r="G158" t="s">
        <v>16</v>
      </c>
      <c r="H158" t="s">
        <v>24</v>
      </c>
      <c r="I158" s="3">
        <v>15077</v>
      </c>
      <c r="J158" s="3" t="str">
        <f>IF(I158&gt;16000, "High", IF(I158&gt;=12000, IF(I158&lt;=15000, "Medium", "High"), "Low"))</f>
        <v>High</v>
      </c>
      <c r="K158" t="b">
        <v>0</v>
      </c>
      <c r="L158" t="b">
        <v>1</v>
      </c>
      <c r="M158" t="b">
        <v>0</v>
      </c>
    </row>
    <row r="159" spans="1:13" hidden="1" x14ac:dyDescent="0.3">
      <c r="A159">
        <v>60</v>
      </c>
      <c r="B159" t="s">
        <v>12</v>
      </c>
      <c r="C159" s="1">
        <v>8</v>
      </c>
      <c r="D159" t="s">
        <v>19</v>
      </c>
      <c r="E159" t="s">
        <v>26</v>
      </c>
      <c r="F159" t="s">
        <v>22</v>
      </c>
      <c r="G159" t="s">
        <v>29</v>
      </c>
      <c r="H159" t="s">
        <v>24</v>
      </c>
      <c r="I159" s="3">
        <v>15611</v>
      </c>
      <c r="J159" s="3" t="str">
        <f>IF(I159&gt;16000, "High", IF(I159&gt;=12000, IF(I159&lt;=15000, "Medium", "High"), "Low"))</f>
        <v>High</v>
      </c>
      <c r="K159" t="b">
        <v>0</v>
      </c>
      <c r="L159" t="b">
        <v>0</v>
      </c>
      <c r="M159" t="b">
        <v>1</v>
      </c>
    </row>
    <row r="160" spans="1:13" hidden="1" x14ac:dyDescent="0.3">
      <c r="A160">
        <v>46</v>
      </c>
      <c r="B160" t="s">
        <v>12</v>
      </c>
      <c r="C160" s="1">
        <v>2</v>
      </c>
      <c r="D160" t="s">
        <v>28</v>
      </c>
      <c r="E160" t="s">
        <v>26</v>
      </c>
      <c r="F160" t="s">
        <v>27</v>
      </c>
      <c r="G160" t="s">
        <v>23</v>
      </c>
      <c r="H160" t="s">
        <v>21</v>
      </c>
      <c r="I160" s="3">
        <v>18089</v>
      </c>
      <c r="J160" s="3" t="str">
        <f>IF(I160&gt;16000, "High", IF(I160&gt;=12000, IF(I160&lt;=15000, "Medium", "High"), "Low"))</f>
        <v>High</v>
      </c>
      <c r="K160" t="b">
        <v>1</v>
      </c>
      <c r="L160" t="b">
        <v>1</v>
      </c>
      <c r="M160" t="b">
        <v>0</v>
      </c>
    </row>
    <row r="161" spans="1:13" x14ac:dyDescent="0.3">
      <c r="A161">
        <v>63</v>
      </c>
      <c r="B161" t="s">
        <v>18</v>
      </c>
      <c r="C161" s="1">
        <v>1</v>
      </c>
      <c r="D161" t="s">
        <v>19</v>
      </c>
      <c r="E161" t="s">
        <v>20</v>
      </c>
      <c r="F161" t="s">
        <v>15</v>
      </c>
      <c r="G161" t="s">
        <v>16</v>
      </c>
      <c r="H161" t="s">
        <v>21</v>
      </c>
      <c r="I161" s="3">
        <v>12773</v>
      </c>
      <c r="J161" s="3" t="str">
        <f>IF(I161&gt;16000, "High", IF(I161&gt;=12000, IF(I161&lt;=15000, "Medium", "High"), "Low"))</f>
        <v>Medium</v>
      </c>
      <c r="K161" t="b">
        <v>1</v>
      </c>
      <c r="L161" t="b">
        <v>1</v>
      </c>
      <c r="M161" t="b">
        <v>1</v>
      </c>
    </row>
    <row r="162" spans="1:13" hidden="1" x14ac:dyDescent="0.3">
      <c r="A162">
        <v>30</v>
      </c>
      <c r="B162" t="s">
        <v>18</v>
      </c>
      <c r="C162" s="1">
        <v>3</v>
      </c>
      <c r="D162" t="s">
        <v>13</v>
      </c>
      <c r="E162" t="s">
        <v>20</v>
      </c>
      <c r="F162" t="s">
        <v>22</v>
      </c>
      <c r="G162" t="s">
        <v>16</v>
      </c>
      <c r="H162" t="s">
        <v>21</v>
      </c>
      <c r="I162" s="3">
        <v>15577</v>
      </c>
      <c r="J162" s="3" t="str">
        <f>IF(I162&gt;16000, "High", IF(I162&gt;=12000, IF(I162&lt;=15000, "Medium", "High"), "Low"))</f>
        <v>High</v>
      </c>
      <c r="K162" t="b">
        <v>1</v>
      </c>
      <c r="L162" t="b">
        <v>0</v>
      </c>
      <c r="M162" t="b">
        <v>1</v>
      </c>
    </row>
    <row r="163" spans="1:13" hidden="1" x14ac:dyDescent="0.3">
      <c r="A163">
        <v>49</v>
      </c>
      <c r="B163" t="s">
        <v>18</v>
      </c>
      <c r="C163" s="1">
        <v>5</v>
      </c>
      <c r="D163" t="s">
        <v>28</v>
      </c>
      <c r="E163" t="s">
        <v>14</v>
      </c>
      <c r="F163" t="s">
        <v>27</v>
      </c>
      <c r="G163" t="s">
        <v>23</v>
      </c>
      <c r="H163" t="s">
        <v>21</v>
      </c>
      <c r="I163" s="3">
        <v>13618</v>
      </c>
      <c r="J163" s="3" t="str">
        <f>IF(I163&gt;16000, "High", IF(I163&gt;=12000, IF(I163&lt;=15000, "Medium", "High"), "Low"))</f>
        <v>Medium</v>
      </c>
      <c r="K163" t="b">
        <v>0</v>
      </c>
      <c r="L163" t="b">
        <v>1</v>
      </c>
      <c r="M163" t="b">
        <v>1</v>
      </c>
    </row>
    <row r="164" spans="1:13" hidden="1" x14ac:dyDescent="0.3">
      <c r="A164">
        <v>24</v>
      </c>
      <c r="B164" t="s">
        <v>25</v>
      </c>
      <c r="C164" s="1">
        <v>8</v>
      </c>
      <c r="D164" t="s">
        <v>28</v>
      </c>
      <c r="E164" t="s">
        <v>26</v>
      </c>
      <c r="F164" t="s">
        <v>15</v>
      </c>
      <c r="G164" t="s">
        <v>23</v>
      </c>
      <c r="H164" t="s">
        <v>24</v>
      </c>
      <c r="I164" s="3">
        <v>11559</v>
      </c>
      <c r="J164" s="3" t="str">
        <f>IF(I164&gt;16000, "High", IF(I164&gt;=12000, IF(I164&lt;=15000, "Medium", "High"), "Low"))</f>
        <v>Low</v>
      </c>
      <c r="K164" t="b">
        <v>1</v>
      </c>
      <c r="L164" t="b">
        <v>0</v>
      </c>
      <c r="M164" t="b">
        <v>0</v>
      </c>
    </row>
    <row r="165" spans="1:13" hidden="1" x14ac:dyDescent="0.3">
      <c r="A165">
        <v>39</v>
      </c>
      <c r="B165" t="s">
        <v>12</v>
      </c>
      <c r="C165" s="1">
        <v>2</v>
      </c>
      <c r="D165" t="s">
        <v>13</v>
      </c>
      <c r="E165" t="s">
        <v>26</v>
      </c>
      <c r="F165" t="s">
        <v>22</v>
      </c>
      <c r="G165" t="s">
        <v>29</v>
      </c>
      <c r="H165" t="s">
        <v>24</v>
      </c>
      <c r="I165" s="3">
        <v>16683</v>
      </c>
      <c r="J165" s="3" t="str">
        <f>IF(I165&gt;16000, "High", IF(I165&gt;=12000, IF(I165&lt;=15000, "Medium", "High"), "Low"))</f>
        <v>High</v>
      </c>
      <c r="K165" t="b">
        <v>1</v>
      </c>
      <c r="L165" t="b">
        <v>1</v>
      </c>
      <c r="M165" t="b">
        <v>0</v>
      </c>
    </row>
    <row r="166" spans="1:13" hidden="1" x14ac:dyDescent="0.3">
      <c r="A166">
        <v>45</v>
      </c>
      <c r="B166" t="s">
        <v>12</v>
      </c>
      <c r="C166" s="1">
        <v>6</v>
      </c>
      <c r="D166" t="s">
        <v>28</v>
      </c>
      <c r="E166" t="s">
        <v>20</v>
      </c>
      <c r="F166" t="s">
        <v>27</v>
      </c>
      <c r="G166" t="s">
        <v>29</v>
      </c>
      <c r="H166" t="s">
        <v>21</v>
      </c>
      <c r="I166" s="3">
        <v>11507</v>
      </c>
      <c r="J166" s="3" t="str">
        <f>IF(I166&gt;16000, "High", IF(I166&gt;=12000, IF(I166&lt;=15000, "Medium", "High"), "Low"))</f>
        <v>Low</v>
      </c>
      <c r="K166" t="b">
        <v>0</v>
      </c>
      <c r="L166" t="b">
        <v>1</v>
      </c>
      <c r="M166" t="b">
        <v>1</v>
      </c>
    </row>
    <row r="167" spans="1:13" hidden="1" x14ac:dyDescent="0.3">
      <c r="A167">
        <v>19</v>
      </c>
      <c r="B167" t="s">
        <v>25</v>
      </c>
      <c r="C167" s="1">
        <v>5</v>
      </c>
      <c r="D167" t="s">
        <v>19</v>
      </c>
      <c r="E167" t="s">
        <v>20</v>
      </c>
      <c r="F167" t="s">
        <v>22</v>
      </c>
      <c r="G167" t="s">
        <v>29</v>
      </c>
      <c r="H167" t="s">
        <v>24</v>
      </c>
      <c r="I167" s="3">
        <v>12063</v>
      </c>
      <c r="J167" s="3" t="str">
        <f>IF(I167&gt;16000, "High", IF(I167&gt;=12000, IF(I167&lt;=15000, "Medium", "High"), "Low"))</f>
        <v>Medium</v>
      </c>
      <c r="K167" t="b">
        <v>0</v>
      </c>
      <c r="L167" t="b">
        <v>0</v>
      </c>
      <c r="M167" t="b">
        <v>1</v>
      </c>
    </row>
    <row r="168" spans="1:13" x14ac:dyDescent="0.3">
      <c r="A168">
        <v>38</v>
      </c>
      <c r="B168" t="s">
        <v>18</v>
      </c>
      <c r="C168" s="1">
        <v>9</v>
      </c>
      <c r="D168" t="s">
        <v>19</v>
      </c>
      <c r="E168" t="s">
        <v>20</v>
      </c>
      <c r="F168" t="s">
        <v>27</v>
      </c>
      <c r="G168" t="s">
        <v>23</v>
      </c>
      <c r="H168" t="s">
        <v>21</v>
      </c>
      <c r="I168" s="3">
        <v>18808</v>
      </c>
      <c r="J168" s="3" t="str">
        <f>IF(I168&gt;16000, "High", IF(I168&gt;=12000, IF(I168&lt;=15000, "Medium", "High"), "Low"))</f>
        <v>High</v>
      </c>
      <c r="K168" t="b">
        <v>0</v>
      </c>
      <c r="L168" t="b">
        <v>0</v>
      </c>
      <c r="M168" t="b">
        <v>1</v>
      </c>
    </row>
    <row r="169" spans="1:13" hidden="1" x14ac:dyDescent="0.3">
      <c r="A169">
        <v>62</v>
      </c>
      <c r="B169" t="s">
        <v>25</v>
      </c>
      <c r="C169" s="1">
        <v>5</v>
      </c>
      <c r="D169" t="s">
        <v>19</v>
      </c>
      <c r="E169" t="s">
        <v>14</v>
      </c>
      <c r="F169" t="s">
        <v>27</v>
      </c>
      <c r="G169" t="s">
        <v>23</v>
      </c>
      <c r="H169" t="s">
        <v>24</v>
      </c>
      <c r="I169" s="3">
        <v>12000</v>
      </c>
      <c r="J169" s="3" t="str">
        <f>IF(I169&gt;16000, "High", IF(I169&gt;=12000, IF(I169&lt;=15000, "Medium", "High"), "Low"))</f>
        <v>Medium</v>
      </c>
      <c r="K169" t="b">
        <v>0</v>
      </c>
      <c r="L169" t="b">
        <v>0</v>
      </c>
      <c r="M169" t="b">
        <v>1</v>
      </c>
    </row>
    <row r="170" spans="1:13" hidden="1" x14ac:dyDescent="0.3">
      <c r="A170">
        <v>23</v>
      </c>
      <c r="B170" t="s">
        <v>25</v>
      </c>
      <c r="C170" s="1">
        <v>2</v>
      </c>
      <c r="D170" t="s">
        <v>19</v>
      </c>
      <c r="E170" t="s">
        <v>14</v>
      </c>
      <c r="F170" t="s">
        <v>27</v>
      </c>
      <c r="G170" t="s">
        <v>16</v>
      </c>
      <c r="H170" t="s">
        <v>24</v>
      </c>
      <c r="I170" s="3">
        <v>11294</v>
      </c>
      <c r="J170" s="3" t="str">
        <f>IF(I170&gt;16000, "High", IF(I170&gt;=12000, IF(I170&lt;=15000, "Medium", "High"), "Low"))</f>
        <v>Low</v>
      </c>
      <c r="K170" t="b">
        <v>0</v>
      </c>
      <c r="L170" t="b">
        <v>1</v>
      </c>
      <c r="M170" t="b">
        <v>1</v>
      </c>
    </row>
    <row r="171" spans="1:13" hidden="1" x14ac:dyDescent="0.3">
      <c r="A171">
        <v>45</v>
      </c>
      <c r="B171" t="s">
        <v>25</v>
      </c>
      <c r="C171" s="1">
        <v>5</v>
      </c>
      <c r="D171" t="s">
        <v>13</v>
      </c>
      <c r="E171" t="s">
        <v>26</v>
      </c>
      <c r="F171" t="s">
        <v>27</v>
      </c>
      <c r="G171" t="s">
        <v>23</v>
      </c>
      <c r="H171" t="s">
        <v>17</v>
      </c>
      <c r="I171" s="3">
        <v>14065</v>
      </c>
      <c r="J171" s="3" t="str">
        <f>IF(I171&gt;16000, "High", IF(I171&gt;=12000, IF(I171&lt;=15000, "Medium", "High"), "Low"))</f>
        <v>Medium</v>
      </c>
      <c r="K171" t="b">
        <v>1</v>
      </c>
      <c r="L171" t="b">
        <v>0</v>
      </c>
      <c r="M171" t="b">
        <v>0</v>
      </c>
    </row>
    <row r="172" spans="1:13" hidden="1" x14ac:dyDescent="0.3">
      <c r="A172">
        <v>45</v>
      </c>
      <c r="B172" t="s">
        <v>12</v>
      </c>
      <c r="C172" s="1">
        <v>4</v>
      </c>
      <c r="D172" t="s">
        <v>28</v>
      </c>
      <c r="E172" t="s">
        <v>20</v>
      </c>
      <c r="F172" t="s">
        <v>15</v>
      </c>
      <c r="G172" t="s">
        <v>16</v>
      </c>
      <c r="H172" t="s">
        <v>24</v>
      </c>
      <c r="I172" s="3">
        <v>18014</v>
      </c>
      <c r="J172" s="3" t="str">
        <f>IF(I172&gt;16000, "High", IF(I172&gt;=12000, IF(I172&lt;=15000, "Medium", "High"), "Low"))</f>
        <v>High</v>
      </c>
      <c r="K172" t="b">
        <v>1</v>
      </c>
      <c r="L172" t="b">
        <v>1</v>
      </c>
      <c r="M172" t="b">
        <v>1</v>
      </c>
    </row>
    <row r="173" spans="1:13" hidden="1" x14ac:dyDescent="0.3">
      <c r="A173">
        <v>61</v>
      </c>
      <c r="B173" t="s">
        <v>25</v>
      </c>
      <c r="C173" s="1">
        <v>7</v>
      </c>
      <c r="D173" t="s">
        <v>19</v>
      </c>
      <c r="E173" t="s">
        <v>26</v>
      </c>
      <c r="F173" t="s">
        <v>22</v>
      </c>
      <c r="G173" t="s">
        <v>29</v>
      </c>
      <c r="H173" t="s">
        <v>24</v>
      </c>
      <c r="I173" s="3">
        <v>19945</v>
      </c>
      <c r="J173" s="3" t="str">
        <f>IF(I173&gt;16000, "High", IF(I173&gt;=12000, IF(I173&lt;=15000, "Medium", "High"), "Low"))</f>
        <v>High</v>
      </c>
      <c r="K173" t="b">
        <v>1</v>
      </c>
      <c r="L173" t="b">
        <v>1</v>
      </c>
      <c r="M173" t="b">
        <v>1</v>
      </c>
    </row>
    <row r="174" spans="1:13" hidden="1" x14ac:dyDescent="0.3">
      <c r="A174">
        <v>61</v>
      </c>
      <c r="B174" t="s">
        <v>12</v>
      </c>
      <c r="C174" s="1">
        <v>6</v>
      </c>
      <c r="D174" t="s">
        <v>13</v>
      </c>
      <c r="E174" t="s">
        <v>26</v>
      </c>
      <c r="F174" t="s">
        <v>27</v>
      </c>
      <c r="G174" t="s">
        <v>29</v>
      </c>
      <c r="H174" t="s">
        <v>21</v>
      </c>
      <c r="I174" s="3">
        <v>11603</v>
      </c>
      <c r="J174" s="3" t="str">
        <f>IF(I174&gt;16000, "High", IF(I174&gt;=12000, IF(I174&lt;=15000, "Medium", "High"), "Low"))</f>
        <v>Low</v>
      </c>
      <c r="K174" t="b">
        <v>0</v>
      </c>
      <c r="L174" t="b">
        <v>0</v>
      </c>
      <c r="M174" t="b">
        <v>1</v>
      </c>
    </row>
    <row r="175" spans="1:13" hidden="1" x14ac:dyDescent="0.3">
      <c r="A175">
        <v>37</v>
      </c>
      <c r="B175" t="s">
        <v>12</v>
      </c>
      <c r="C175" s="1">
        <v>2</v>
      </c>
      <c r="D175" t="s">
        <v>28</v>
      </c>
      <c r="E175" t="s">
        <v>20</v>
      </c>
      <c r="F175" t="s">
        <v>22</v>
      </c>
      <c r="G175" t="s">
        <v>23</v>
      </c>
      <c r="H175" t="s">
        <v>24</v>
      </c>
      <c r="I175" s="3">
        <v>11322</v>
      </c>
      <c r="J175" s="3" t="str">
        <f>IF(I175&gt;16000, "High", IF(I175&gt;=12000, IF(I175&lt;=15000, "Medium", "High"), "Low"))</f>
        <v>Low</v>
      </c>
      <c r="K175" t="b">
        <v>0</v>
      </c>
      <c r="L175" t="b">
        <v>0</v>
      </c>
      <c r="M175" t="b">
        <v>1</v>
      </c>
    </row>
    <row r="176" spans="1:13" hidden="1" x14ac:dyDescent="0.3">
      <c r="A176">
        <v>47</v>
      </c>
      <c r="B176" t="s">
        <v>12</v>
      </c>
      <c r="C176" s="1">
        <v>5</v>
      </c>
      <c r="D176" t="s">
        <v>28</v>
      </c>
      <c r="E176" t="s">
        <v>26</v>
      </c>
      <c r="F176" t="s">
        <v>22</v>
      </c>
      <c r="G176" t="s">
        <v>29</v>
      </c>
      <c r="H176" t="s">
        <v>24</v>
      </c>
      <c r="I176" s="3">
        <v>15956</v>
      </c>
      <c r="J176" s="3" t="str">
        <f>IF(I176&gt;16000, "High", IF(I176&gt;=12000, IF(I176&lt;=15000, "Medium", "High"), "Low"))</f>
        <v>High</v>
      </c>
      <c r="K176" t="b">
        <v>0</v>
      </c>
      <c r="L176" t="b">
        <v>0</v>
      </c>
      <c r="M176" t="b">
        <v>1</v>
      </c>
    </row>
    <row r="177" spans="1:13" hidden="1" x14ac:dyDescent="0.3">
      <c r="A177">
        <v>28</v>
      </c>
      <c r="B177" t="s">
        <v>18</v>
      </c>
      <c r="C177" s="1">
        <v>7</v>
      </c>
      <c r="D177" t="s">
        <v>13</v>
      </c>
      <c r="E177" t="s">
        <v>26</v>
      </c>
      <c r="F177" t="s">
        <v>15</v>
      </c>
      <c r="G177" t="s">
        <v>29</v>
      </c>
      <c r="H177" t="s">
        <v>17</v>
      </c>
      <c r="I177" s="3">
        <v>12441</v>
      </c>
      <c r="J177" s="3" t="str">
        <f>IF(I177&gt;16000, "High", IF(I177&gt;=12000, IF(I177&lt;=15000, "Medium", "High"), "Low"))</f>
        <v>Medium</v>
      </c>
      <c r="K177" t="b">
        <v>0</v>
      </c>
      <c r="L177" t="b">
        <v>1</v>
      </c>
      <c r="M177" t="b">
        <v>0</v>
      </c>
    </row>
    <row r="178" spans="1:13" hidden="1" x14ac:dyDescent="0.3">
      <c r="A178">
        <v>45</v>
      </c>
      <c r="B178" t="s">
        <v>12</v>
      </c>
      <c r="C178" s="1">
        <v>7</v>
      </c>
      <c r="D178" t="s">
        <v>13</v>
      </c>
      <c r="E178" t="s">
        <v>26</v>
      </c>
      <c r="F178" t="s">
        <v>27</v>
      </c>
      <c r="G178" t="s">
        <v>23</v>
      </c>
      <c r="H178" t="s">
        <v>21</v>
      </c>
      <c r="I178" s="3">
        <v>11098</v>
      </c>
      <c r="J178" s="3" t="str">
        <f>IF(I178&gt;16000, "High", IF(I178&gt;=12000, IF(I178&lt;=15000, "Medium", "High"), "Low"))</f>
        <v>Low</v>
      </c>
      <c r="K178" t="b">
        <v>1</v>
      </c>
      <c r="L178" t="b">
        <v>0</v>
      </c>
      <c r="M178" t="b">
        <v>1</v>
      </c>
    </row>
    <row r="179" spans="1:13" hidden="1" x14ac:dyDescent="0.3">
      <c r="A179">
        <v>42</v>
      </c>
      <c r="B179" t="s">
        <v>12</v>
      </c>
      <c r="C179" s="1">
        <v>5</v>
      </c>
      <c r="D179" t="s">
        <v>19</v>
      </c>
      <c r="E179" t="s">
        <v>20</v>
      </c>
      <c r="F179" t="s">
        <v>22</v>
      </c>
      <c r="G179" t="s">
        <v>16</v>
      </c>
      <c r="H179" t="s">
        <v>21</v>
      </c>
      <c r="I179" s="3">
        <v>15073</v>
      </c>
      <c r="J179" s="3" t="str">
        <f>IF(I179&gt;16000, "High", IF(I179&gt;=12000, IF(I179&lt;=15000, "Medium", "High"), "Low"))</f>
        <v>High</v>
      </c>
      <c r="K179" t="b">
        <v>0</v>
      </c>
      <c r="L179" t="b">
        <v>1</v>
      </c>
      <c r="M179" t="b">
        <v>0</v>
      </c>
    </row>
    <row r="180" spans="1:13" hidden="1" x14ac:dyDescent="0.3">
      <c r="A180">
        <v>56</v>
      </c>
      <c r="B180" t="s">
        <v>18</v>
      </c>
      <c r="C180" s="1">
        <v>9</v>
      </c>
      <c r="D180" t="s">
        <v>28</v>
      </c>
      <c r="E180" t="s">
        <v>14</v>
      </c>
      <c r="F180" t="s">
        <v>27</v>
      </c>
      <c r="G180" t="s">
        <v>23</v>
      </c>
      <c r="H180" t="s">
        <v>21</v>
      </c>
      <c r="I180" s="3">
        <v>19697</v>
      </c>
      <c r="J180" s="3" t="str">
        <f>IF(I180&gt;16000, "High", IF(I180&gt;=12000, IF(I180&lt;=15000, "Medium", "High"), "Low"))</f>
        <v>High</v>
      </c>
      <c r="K180" t="b">
        <v>1</v>
      </c>
      <c r="L180" t="b">
        <v>0</v>
      </c>
      <c r="M180" t="b">
        <v>1</v>
      </c>
    </row>
    <row r="181" spans="1:13" hidden="1" x14ac:dyDescent="0.3">
      <c r="A181">
        <v>50</v>
      </c>
      <c r="B181" t="s">
        <v>12</v>
      </c>
      <c r="C181" s="1">
        <v>4</v>
      </c>
      <c r="D181" t="s">
        <v>28</v>
      </c>
      <c r="E181" t="s">
        <v>14</v>
      </c>
      <c r="F181" t="s">
        <v>27</v>
      </c>
      <c r="G181" t="s">
        <v>16</v>
      </c>
      <c r="H181" t="s">
        <v>24</v>
      </c>
      <c r="I181" s="3">
        <v>19318</v>
      </c>
      <c r="J181" s="3" t="str">
        <f>IF(I181&gt;16000, "High", IF(I181&gt;=12000, IF(I181&lt;=15000, "Medium", "High"), "Low"))</f>
        <v>High</v>
      </c>
      <c r="K181" t="b">
        <v>0</v>
      </c>
      <c r="L181" t="b">
        <v>0</v>
      </c>
      <c r="M181" t="b">
        <v>0</v>
      </c>
    </row>
    <row r="182" spans="1:13" hidden="1" x14ac:dyDescent="0.3">
      <c r="A182">
        <v>18</v>
      </c>
      <c r="B182" t="s">
        <v>25</v>
      </c>
      <c r="C182" s="1">
        <v>3</v>
      </c>
      <c r="D182" t="s">
        <v>13</v>
      </c>
      <c r="E182" t="s">
        <v>20</v>
      </c>
      <c r="F182" t="s">
        <v>15</v>
      </c>
      <c r="G182" t="s">
        <v>23</v>
      </c>
      <c r="H182" t="s">
        <v>21</v>
      </c>
      <c r="I182" s="3">
        <v>18488</v>
      </c>
      <c r="J182" s="3" t="str">
        <f>IF(I182&gt;16000, "High", IF(I182&gt;=12000, IF(I182&lt;=15000, "Medium", "High"), "Low"))</f>
        <v>High</v>
      </c>
      <c r="K182" t="b">
        <v>0</v>
      </c>
      <c r="L182" t="b">
        <v>1</v>
      </c>
      <c r="M182" t="b">
        <v>0</v>
      </c>
    </row>
    <row r="183" spans="1:13" hidden="1" x14ac:dyDescent="0.3">
      <c r="A183">
        <v>44</v>
      </c>
      <c r="B183" t="s">
        <v>25</v>
      </c>
      <c r="C183" s="1">
        <v>4</v>
      </c>
      <c r="D183" t="s">
        <v>28</v>
      </c>
      <c r="E183" t="s">
        <v>14</v>
      </c>
      <c r="F183" t="s">
        <v>27</v>
      </c>
      <c r="G183" t="s">
        <v>23</v>
      </c>
      <c r="H183" t="s">
        <v>17</v>
      </c>
      <c r="I183" s="3">
        <v>13787</v>
      </c>
      <c r="J183" s="3" t="str">
        <f>IF(I183&gt;16000, "High", IF(I183&gt;=12000, IF(I183&lt;=15000, "Medium", "High"), "Low"))</f>
        <v>Medium</v>
      </c>
      <c r="K183" t="b">
        <v>1</v>
      </c>
      <c r="L183" t="b">
        <v>1</v>
      </c>
      <c r="M183" t="b">
        <v>1</v>
      </c>
    </row>
    <row r="184" spans="1:13" hidden="1" x14ac:dyDescent="0.3">
      <c r="A184">
        <v>30</v>
      </c>
      <c r="B184" t="s">
        <v>12</v>
      </c>
      <c r="C184" s="1">
        <v>5</v>
      </c>
      <c r="D184" t="s">
        <v>19</v>
      </c>
      <c r="E184" t="s">
        <v>26</v>
      </c>
      <c r="F184" t="s">
        <v>27</v>
      </c>
      <c r="G184" t="s">
        <v>29</v>
      </c>
      <c r="H184" t="s">
        <v>21</v>
      </c>
      <c r="I184" s="3">
        <v>12096</v>
      </c>
      <c r="J184" s="3" t="str">
        <f>IF(I184&gt;16000, "High", IF(I184&gt;=12000, IF(I184&lt;=15000, "Medium", "High"), "Low"))</f>
        <v>Medium</v>
      </c>
      <c r="K184" t="b">
        <v>0</v>
      </c>
      <c r="L184" t="b">
        <v>0</v>
      </c>
      <c r="M184" t="b">
        <v>1</v>
      </c>
    </row>
    <row r="185" spans="1:13" hidden="1" x14ac:dyDescent="0.3">
      <c r="A185">
        <v>58</v>
      </c>
      <c r="B185" t="s">
        <v>18</v>
      </c>
      <c r="C185" s="1">
        <v>6</v>
      </c>
      <c r="D185" t="s">
        <v>28</v>
      </c>
      <c r="E185" t="s">
        <v>14</v>
      </c>
      <c r="F185" t="s">
        <v>22</v>
      </c>
      <c r="G185" t="s">
        <v>23</v>
      </c>
      <c r="H185" t="s">
        <v>17</v>
      </c>
      <c r="I185" s="3">
        <v>12208</v>
      </c>
      <c r="J185" s="3" t="str">
        <f>IF(I185&gt;16000, "High", IF(I185&gt;=12000, IF(I185&lt;=15000, "Medium", "High"), "Low"))</f>
        <v>Medium</v>
      </c>
      <c r="K185" t="b">
        <v>0</v>
      </c>
      <c r="L185" t="b">
        <v>0</v>
      </c>
      <c r="M185" t="b">
        <v>1</v>
      </c>
    </row>
    <row r="186" spans="1:13" hidden="1" x14ac:dyDescent="0.3">
      <c r="A186">
        <v>20</v>
      </c>
      <c r="B186" t="s">
        <v>25</v>
      </c>
      <c r="C186" s="1">
        <v>3</v>
      </c>
      <c r="D186" t="s">
        <v>13</v>
      </c>
      <c r="E186" t="s">
        <v>26</v>
      </c>
      <c r="F186" t="s">
        <v>15</v>
      </c>
      <c r="G186" t="s">
        <v>23</v>
      </c>
      <c r="H186" t="s">
        <v>21</v>
      </c>
      <c r="I186" s="3">
        <v>15988</v>
      </c>
      <c r="J186" s="3" t="str">
        <f>IF(I186&gt;16000, "High", IF(I186&gt;=12000, IF(I186&lt;=15000, "Medium", "High"), "Low"))</f>
        <v>High</v>
      </c>
      <c r="K186" t="b">
        <v>1</v>
      </c>
      <c r="L186" t="b">
        <v>0</v>
      </c>
      <c r="M186" t="b">
        <v>1</v>
      </c>
    </row>
    <row r="187" spans="1:13" hidden="1" x14ac:dyDescent="0.3">
      <c r="A187">
        <v>56</v>
      </c>
      <c r="B187" t="s">
        <v>18</v>
      </c>
      <c r="C187" s="1">
        <v>2</v>
      </c>
      <c r="D187" t="s">
        <v>13</v>
      </c>
      <c r="E187" t="s">
        <v>14</v>
      </c>
      <c r="F187" t="s">
        <v>27</v>
      </c>
      <c r="G187" t="s">
        <v>16</v>
      </c>
      <c r="H187" t="s">
        <v>21</v>
      </c>
      <c r="I187" s="3">
        <v>10175</v>
      </c>
      <c r="J187" s="3" t="str">
        <f>IF(I187&gt;16000, "High", IF(I187&gt;=12000, IF(I187&lt;=15000, "Medium", "High"), "Low"))</f>
        <v>Low</v>
      </c>
      <c r="K187" t="b">
        <v>0</v>
      </c>
      <c r="L187" t="b">
        <v>0</v>
      </c>
      <c r="M187" t="b">
        <v>1</v>
      </c>
    </row>
    <row r="188" spans="1:13" x14ac:dyDescent="0.3">
      <c r="A188">
        <v>35</v>
      </c>
      <c r="B188" t="s">
        <v>18</v>
      </c>
      <c r="C188" s="1">
        <v>9</v>
      </c>
      <c r="D188" t="s">
        <v>19</v>
      </c>
      <c r="E188" t="s">
        <v>14</v>
      </c>
      <c r="F188" t="s">
        <v>15</v>
      </c>
      <c r="G188" t="s">
        <v>29</v>
      </c>
      <c r="H188" t="s">
        <v>21</v>
      </c>
      <c r="I188" s="3">
        <v>17422</v>
      </c>
      <c r="J188" s="3" t="str">
        <f>IF(I188&gt;16000, "High", IF(I188&gt;=12000, IF(I188&lt;=15000, "Medium", "High"), "Low"))</f>
        <v>High</v>
      </c>
      <c r="K188" t="b">
        <v>1</v>
      </c>
      <c r="L188" t="b">
        <v>1</v>
      </c>
      <c r="M188" t="b">
        <v>1</v>
      </c>
    </row>
    <row r="189" spans="1:13" hidden="1" x14ac:dyDescent="0.3">
      <c r="A189">
        <v>25</v>
      </c>
      <c r="B189" t="s">
        <v>25</v>
      </c>
      <c r="C189" s="1">
        <v>5</v>
      </c>
      <c r="D189" t="s">
        <v>19</v>
      </c>
      <c r="E189" t="s">
        <v>14</v>
      </c>
      <c r="F189" t="s">
        <v>15</v>
      </c>
      <c r="G189" t="s">
        <v>16</v>
      </c>
      <c r="H189" t="s">
        <v>21</v>
      </c>
      <c r="I189" s="3">
        <v>16014</v>
      </c>
      <c r="J189" s="3" t="str">
        <f>IF(I189&gt;16000, "High", IF(I189&gt;=12000, IF(I189&lt;=15000, "Medium", "High"), "Low"))</f>
        <v>High</v>
      </c>
      <c r="K189" t="b">
        <v>1</v>
      </c>
      <c r="L189" t="b">
        <v>1</v>
      </c>
      <c r="M189" t="b">
        <v>1</v>
      </c>
    </row>
    <row r="190" spans="1:13" hidden="1" x14ac:dyDescent="0.3">
      <c r="A190">
        <v>44</v>
      </c>
      <c r="B190" t="s">
        <v>18</v>
      </c>
      <c r="C190" s="1">
        <v>4</v>
      </c>
      <c r="D190" t="s">
        <v>28</v>
      </c>
      <c r="E190" t="s">
        <v>14</v>
      </c>
      <c r="F190" t="s">
        <v>15</v>
      </c>
      <c r="G190" t="s">
        <v>16</v>
      </c>
      <c r="H190" t="s">
        <v>21</v>
      </c>
      <c r="I190" s="3">
        <v>11667</v>
      </c>
      <c r="J190" s="3" t="str">
        <f>IF(I190&gt;16000, "High", IF(I190&gt;=12000, IF(I190&lt;=15000, "Medium", "High"), "Low"))</f>
        <v>Low</v>
      </c>
      <c r="K190" t="b">
        <v>1</v>
      </c>
      <c r="L190" t="b">
        <v>1</v>
      </c>
      <c r="M190" t="b">
        <v>1</v>
      </c>
    </row>
    <row r="191" spans="1:13" hidden="1" x14ac:dyDescent="0.3">
      <c r="A191">
        <v>26</v>
      </c>
      <c r="B191" t="s">
        <v>25</v>
      </c>
      <c r="C191" s="1">
        <v>3</v>
      </c>
      <c r="D191" t="s">
        <v>28</v>
      </c>
      <c r="E191" t="s">
        <v>14</v>
      </c>
      <c r="F191" t="s">
        <v>22</v>
      </c>
      <c r="G191" t="s">
        <v>29</v>
      </c>
      <c r="H191" t="s">
        <v>21</v>
      </c>
      <c r="I191" s="3">
        <v>18867</v>
      </c>
      <c r="J191" s="3" t="str">
        <f>IF(I191&gt;16000, "High", IF(I191&gt;=12000, IF(I191&lt;=15000, "Medium", "High"), "Low"))</f>
        <v>High</v>
      </c>
      <c r="K191" t="b">
        <v>1</v>
      </c>
      <c r="L191" t="b">
        <v>1</v>
      </c>
      <c r="M191" t="b">
        <v>0</v>
      </c>
    </row>
    <row r="192" spans="1:13" hidden="1" x14ac:dyDescent="0.3">
      <c r="A192">
        <v>54</v>
      </c>
      <c r="B192" t="s">
        <v>18</v>
      </c>
      <c r="C192" s="1">
        <v>8</v>
      </c>
      <c r="D192" t="s">
        <v>13</v>
      </c>
      <c r="E192" t="s">
        <v>20</v>
      </c>
      <c r="F192" t="s">
        <v>22</v>
      </c>
      <c r="G192" t="s">
        <v>29</v>
      </c>
      <c r="H192" t="s">
        <v>24</v>
      </c>
      <c r="I192" s="3">
        <v>11823</v>
      </c>
      <c r="J192" s="3" t="str">
        <f>IF(I192&gt;16000, "High", IF(I192&gt;=12000, IF(I192&lt;=15000, "Medium", "High"), "Low"))</f>
        <v>Low</v>
      </c>
      <c r="K192" t="b">
        <v>0</v>
      </c>
      <c r="L192" t="b">
        <v>1</v>
      </c>
      <c r="M192" t="b">
        <v>1</v>
      </c>
    </row>
    <row r="193" spans="1:13" hidden="1" x14ac:dyDescent="0.3">
      <c r="A193">
        <v>50</v>
      </c>
      <c r="B193" t="s">
        <v>25</v>
      </c>
      <c r="C193" s="1">
        <v>4</v>
      </c>
      <c r="D193" t="s">
        <v>19</v>
      </c>
      <c r="E193" t="s">
        <v>14</v>
      </c>
      <c r="F193" t="s">
        <v>22</v>
      </c>
      <c r="G193" t="s">
        <v>29</v>
      </c>
      <c r="H193" t="s">
        <v>17</v>
      </c>
      <c r="I193" s="3">
        <v>15147</v>
      </c>
      <c r="J193" s="3" t="str">
        <f>IF(I193&gt;16000, "High", IF(I193&gt;=12000, IF(I193&lt;=15000, "Medium", "High"), "Low"))</f>
        <v>High</v>
      </c>
      <c r="K193" t="b">
        <v>0</v>
      </c>
      <c r="L193" t="b">
        <v>0</v>
      </c>
      <c r="M193" t="b">
        <v>0</v>
      </c>
    </row>
    <row r="194" spans="1:13" hidden="1" x14ac:dyDescent="0.3">
      <c r="A194">
        <v>59</v>
      </c>
      <c r="B194" t="s">
        <v>12</v>
      </c>
      <c r="C194" s="1">
        <v>2</v>
      </c>
      <c r="D194" t="s">
        <v>19</v>
      </c>
      <c r="E194" t="s">
        <v>20</v>
      </c>
      <c r="F194" t="s">
        <v>22</v>
      </c>
      <c r="G194" t="s">
        <v>23</v>
      </c>
      <c r="H194" t="s">
        <v>21</v>
      </c>
      <c r="I194" s="3">
        <v>11356</v>
      </c>
      <c r="J194" s="3" t="str">
        <f>IF(I194&gt;16000, "High", IF(I194&gt;=12000, IF(I194&lt;=15000, "Medium", "High"), "Low"))</f>
        <v>Low</v>
      </c>
      <c r="K194" t="b">
        <v>0</v>
      </c>
      <c r="L194" t="b">
        <v>1</v>
      </c>
      <c r="M194" t="b">
        <v>1</v>
      </c>
    </row>
    <row r="195" spans="1:13" hidden="1" x14ac:dyDescent="0.3">
      <c r="A195">
        <v>61</v>
      </c>
      <c r="B195" t="s">
        <v>25</v>
      </c>
      <c r="C195" s="1">
        <v>2</v>
      </c>
      <c r="D195" t="s">
        <v>19</v>
      </c>
      <c r="E195" t="s">
        <v>26</v>
      </c>
      <c r="F195" t="s">
        <v>22</v>
      </c>
      <c r="G195" t="s">
        <v>29</v>
      </c>
      <c r="H195" t="s">
        <v>17</v>
      </c>
      <c r="I195" s="3">
        <v>13072</v>
      </c>
      <c r="J195" s="3" t="str">
        <f>IF(I195&gt;16000, "High", IF(I195&gt;=12000, IF(I195&lt;=15000, "Medium", "High"), "Low"))</f>
        <v>Medium</v>
      </c>
      <c r="K195" t="b">
        <v>1</v>
      </c>
      <c r="L195" t="b">
        <v>1</v>
      </c>
      <c r="M195" t="b">
        <v>0</v>
      </c>
    </row>
    <row r="196" spans="1:13" hidden="1" x14ac:dyDescent="0.3">
      <c r="A196">
        <v>41</v>
      </c>
      <c r="B196" t="s">
        <v>25</v>
      </c>
      <c r="C196" s="1">
        <v>1</v>
      </c>
      <c r="D196" t="s">
        <v>28</v>
      </c>
      <c r="E196" t="s">
        <v>14</v>
      </c>
      <c r="F196" t="s">
        <v>27</v>
      </c>
      <c r="G196" t="s">
        <v>29</v>
      </c>
      <c r="H196" t="s">
        <v>17</v>
      </c>
      <c r="I196" s="3">
        <v>13259</v>
      </c>
      <c r="J196" s="3" t="str">
        <f>IF(I196&gt;16000, "High", IF(I196&gt;=12000, IF(I196&lt;=15000, "Medium", "High"), "Low"))</f>
        <v>Medium</v>
      </c>
      <c r="K196" t="b">
        <v>0</v>
      </c>
      <c r="L196" t="b">
        <v>1</v>
      </c>
      <c r="M196" t="b">
        <v>1</v>
      </c>
    </row>
    <row r="197" spans="1:13" hidden="1" x14ac:dyDescent="0.3">
      <c r="A197">
        <v>32</v>
      </c>
      <c r="B197" t="s">
        <v>25</v>
      </c>
      <c r="C197" s="1">
        <v>4</v>
      </c>
      <c r="D197" t="s">
        <v>19</v>
      </c>
      <c r="E197" t="s">
        <v>20</v>
      </c>
      <c r="F197" t="s">
        <v>27</v>
      </c>
      <c r="G197" t="s">
        <v>29</v>
      </c>
      <c r="H197" t="s">
        <v>17</v>
      </c>
      <c r="I197" s="3">
        <v>16199</v>
      </c>
      <c r="J197" s="3" t="str">
        <f>IF(I197&gt;16000, "High", IF(I197&gt;=12000, IF(I197&lt;=15000, "Medium", "High"), "Low"))</f>
        <v>High</v>
      </c>
      <c r="K197" t="b">
        <v>0</v>
      </c>
      <c r="L197" t="b">
        <v>0</v>
      </c>
      <c r="M197" t="b">
        <v>0</v>
      </c>
    </row>
    <row r="198" spans="1:13" hidden="1" x14ac:dyDescent="0.3">
      <c r="A198">
        <v>49</v>
      </c>
      <c r="B198" t="s">
        <v>25</v>
      </c>
      <c r="C198" s="1">
        <v>9</v>
      </c>
      <c r="D198" t="s">
        <v>13</v>
      </c>
      <c r="E198" t="s">
        <v>20</v>
      </c>
      <c r="F198" t="s">
        <v>15</v>
      </c>
      <c r="G198" t="s">
        <v>16</v>
      </c>
      <c r="H198" t="s">
        <v>21</v>
      </c>
      <c r="I198" s="3">
        <v>10546</v>
      </c>
      <c r="J198" s="3" t="str">
        <f>IF(I198&gt;16000, "High", IF(I198&gt;=12000, IF(I198&lt;=15000, "Medium", "High"), "Low"))</f>
        <v>Low</v>
      </c>
      <c r="K198" t="b">
        <v>0</v>
      </c>
      <c r="L198" t="b">
        <v>1</v>
      </c>
      <c r="M198" t="b">
        <v>0</v>
      </c>
    </row>
    <row r="199" spans="1:13" hidden="1" x14ac:dyDescent="0.3">
      <c r="A199">
        <v>49</v>
      </c>
      <c r="B199" t="s">
        <v>18</v>
      </c>
      <c r="C199" s="1">
        <v>7</v>
      </c>
      <c r="D199" t="s">
        <v>13</v>
      </c>
      <c r="E199" t="s">
        <v>14</v>
      </c>
      <c r="F199" t="s">
        <v>27</v>
      </c>
      <c r="G199" t="s">
        <v>16</v>
      </c>
      <c r="H199" t="s">
        <v>21</v>
      </c>
      <c r="I199" s="3">
        <v>15231</v>
      </c>
      <c r="J199" s="3" t="str">
        <f>IF(I199&gt;16000, "High", IF(I199&gt;=12000, IF(I199&lt;=15000, "Medium", "High"), "Low"))</f>
        <v>High</v>
      </c>
      <c r="K199" t="b">
        <v>0</v>
      </c>
      <c r="L199" t="b">
        <v>0</v>
      </c>
      <c r="M199" t="b">
        <v>1</v>
      </c>
    </row>
    <row r="200" spans="1:13" hidden="1" x14ac:dyDescent="0.3">
      <c r="A200">
        <v>41</v>
      </c>
      <c r="B200" t="s">
        <v>12</v>
      </c>
      <c r="C200" s="1">
        <v>7</v>
      </c>
      <c r="D200" t="s">
        <v>28</v>
      </c>
      <c r="E200" t="s">
        <v>26</v>
      </c>
      <c r="F200" t="s">
        <v>27</v>
      </c>
      <c r="G200" t="s">
        <v>23</v>
      </c>
      <c r="H200" t="s">
        <v>17</v>
      </c>
      <c r="I200" s="3">
        <v>17965</v>
      </c>
      <c r="J200" s="3" t="str">
        <f>IF(I200&gt;16000, "High", IF(I200&gt;=12000, IF(I200&lt;=15000, "Medium", "High"), "Low"))</f>
        <v>High</v>
      </c>
      <c r="K200" t="b">
        <v>1</v>
      </c>
      <c r="L200" t="b">
        <v>1</v>
      </c>
      <c r="M200" t="b">
        <v>1</v>
      </c>
    </row>
    <row r="201" spans="1:13" hidden="1" x14ac:dyDescent="0.3">
      <c r="A201">
        <v>58</v>
      </c>
      <c r="B201" t="s">
        <v>25</v>
      </c>
      <c r="C201" s="1">
        <v>7</v>
      </c>
      <c r="D201" t="s">
        <v>28</v>
      </c>
      <c r="E201" t="s">
        <v>20</v>
      </c>
      <c r="F201" t="s">
        <v>27</v>
      </c>
      <c r="G201" t="s">
        <v>16</v>
      </c>
      <c r="H201" t="s">
        <v>24</v>
      </c>
      <c r="I201" s="3">
        <v>12083</v>
      </c>
      <c r="J201" s="3" t="str">
        <f>IF(I201&gt;16000, "High", IF(I201&gt;=12000, IF(I201&lt;=15000, "Medium", "High"), "Low"))</f>
        <v>Medium</v>
      </c>
      <c r="K201" t="b">
        <v>1</v>
      </c>
      <c r="L201" t="b">
        <v>0</v>
      </c>
      <c r="M201" t="b">
        <v>1</v>
      </c>
    </row>
    <row r="202" spans="1:13" x14ac:dyDescent="0.3">
      <c r="A202">
        <v>52</v>
      </c>
      <c r="B202" t="s">
        <v>18</v>
      </c>
      <c r="C202" s="1">
        <v>8</v>
      </c>
      <c r="D202" t="s">
        <v>19</v>
      </c>
      <c r="E202" t="s">
        <v>14</v>
      </c>
      <c r="F202" t="s">
        <v>15</v>
      </c>
      <c r="G202" t="s">
        <v>29</v>
      </c>
      <c r="H202" t="s">
        <v>21</v>
      </c>
      <c r="I202" s="3">
        <v>15442</v>
      </c>
      <c r="J202" s="3" t="str">
        <f>IF(I202&gt;16000, "High", IF(I202&gt;=12000, IF(I202&lt;=15000, "Medium", "High"), "Low"))</f>
        <v>High</v>
      </c>
      <c r="K202" t="b">
        <v>1</v>
      </c>
      <c r="L202" t="b">
        <v>1</v>
      </c>
      <c r="M202" t="b">
        <v>0</v>
      </c>
    </row>
    <row r="203" spans="1:13" hidden="1" x14ac:dyDescent="0.3">
      <c r="A203">
        <v>56</v>
      </c>
      <c r="B203" t="s">
        <v>12</v>
      </c>
      <c r="C203" s="1">
        <v>1</v>
      </c>
      <c r="D203" t="s">
        <v>28</v>
      </c>
      <c r="E203" t="s">
        <v>26</v>
      </c>
      <c r="F203" t="s">
        <v>15</v>
      </c>
      <c r="G203" t="s">
        <v>16</v>
      </c>
      <c r="H203" t="s">
        <v>24</v>
      </c>
      <c r="I203" s="3">
        <v>14534</v>
      </c>
      <c r="J203" s="3" t="str">
        <f>IF(I203&gt;16000, "High", IF(I203&gt;=12000, IF(I203&lt;=15000, "Medium", "High"), "Low"))</f>
        <v>Medium</v>
      </c>
      <c r="K203" t="b">
        <v>1</v>
      </c>
      <c r="L203" t="b">
        <v>0</v>
      </c>
      <c r="M203" t="b">
        <v>0</v>
      </c>
    </row>
    <row r="204" spans="1:13" hidden="1" x14ac:dyDescent="0.3">
      <c r="A204">
        <v>19</v>
      </c>
      <c r="B204" t="s">
        <v>12</v>
      </c>
      <c r="C204" s="1">
        <v>8</v>
      </c>
      <c r="D204" t="s">
        <v>13</v>
      </c>
      <c r="E204" t="s">
        <v>20</v>
      </c>
      <c r="F204" t="s">
        <v>15</v>
      </c>
      <c r="G204" t="s">
        <v>29</v>
      </c>
      <c r="H204" t="s">
        <v>17</v>
      </c>
      <c r="I204" s="3">
        <v>11752</v>
      </c>
      <c r="J204" s="3" t="str">
        <f>IF(I204&gt;16000, "High", IF(I204&gt;=12000, IF(I204&lt;=15000, "Medium", "High"), "Low"))</f>
        <v>Low</v>
      </c>
      <c r="K204" t="b">
        <v>0</v>
      </c>
      <c r="L204" t="b">
        <v>1</v>
      </c>
      <c r="M204" t="b">
        <v>0</v>
      </c>
    </row>
    <row r="205" spans="1:13" hidden="1" x14ac:dyDescent="0.3">
      <c r="A205">
        <v>20</v>
      </c>
      <c r="B205" t="s">
        <v>12</v>
      </c>
      <c r="C205" s="1">
        <v>4</v>
      </c>
      <c r="D205" t="s">
        <v>19</v>
      </c>
      <c r="E205" t="s">
        <v>20</v>
      </c>
      <c r="F205" t="s">
        <v>15</v>
      </c>
      <c r="G205" t="s">
        <v>16</v>
      </c>
      <c r="H205" t="s">
        <v>17</v>
      </c>
      <c r="I205" s="3">
        <v>19807</v>
      </c>
      <c r="J205" s="3" t="str">
        <f>IF(I205&gt;16000, "High", IF(I205&gt;=12000, IF(I205&lt;=15000, "Medium", "High"), "Low"))</f>
        <v>High</v>
      </c>
      <c r="K205" t="b">
        <v>0</v>
      </c>
      <c r="L205" t="b">
        <v>0</v>
      </c>
      <c r="M205" t="b">
        <v>1</v>
      </c>
    </row>
    <row r="206" spans="1:13" hidden="1" x14ac:dyDescent="0.3">
      <c r="A206">
        <v>54</v>
      </c>
      <c r="B206" t="s">
        <v>12</v>
      </c>
      <c r="C206" s="1">
        <v>4</v>
      </c>
      <c r="D206" t="s">
        <v>13</v>
      </c>
      <c r="E206" t="s">
        <v>26</v>
      </c>
      <c r="F206" t="s">
        <v>15</v>
      </c>
      <c r="G206" t="s">
        <v>23</v>
      </c>
      <c r="H206" t="s">
        <v>17</v>
      </c>
      <c r="I206" s="3">
        <v>11849</v>
      </c>
      <c r="J206" s="3" t="str">
        <f>IF(I206&gt;16000, "High", IF(I206&gt;=12000, IF(I206&lt;=15000, "Medium", "High"), "Low"))</f>
        <v>Low</v>
      </c>
      <c r="K206" t="b">
        <v>0</v>
      </c>
      <c r="L206" t="b">
        <v>0</v>
      </c>
      <c r="M206" t="b">
        <v>1</v>
      </c>
    </row>
    <row r="207" spans="1:13" hidden="1" x14ac:dyDescent="0.3">
      <c r="A207">
        <v>34</v>
      </c>
      <c r="B207" t="s">
        <v>25</v>
      </c>
      <c r="C207" s="1">
        <v>4</v>
      </c>
      <c r="D207" t="s">
        <v>19</v>
      </c>
      <c r="E207" t="s">
        <v>26</v>
      </c>
      <c r="F207" t="s">
        <v>27</v>
      </c>
      <c r="G207" t="s">
        <v>16</v>
      </c>
      <c r="H207" t="s">
        <v>21</v>
      </c>
      <c r="I207" s="3">
        <v>12642</v>
      </c>
      <c r="J207" s="3" t="str">
        <f>IF(I207&gt;16000, "High", IF(I207&gt;=12000, IF(I207&lt;=15000, "Medium", "High"), "Low"))</f>
        <v>Medium</v>
      </c>
      <c r="K207" t="b">
        <v>1</v>
      </c>
      <c r="L207" t="b">
        <v>1</v>
      </c>
      <c r="M207" t="b">
        <v>0</v>
      </c>
    </row>
    <row r="208" spans="1:13" hidden="1" x14ac:dyDescent="0.3">
      <c r="A208">
        <v>19</v>
      </c>
      <c r="B208" t="s">
        <v>25</v>
      </c>
      <c r="C208" s="1">
        <v>6</v>
      </c>
      <c r="D208" t="s">
        <v>28</v>
      </c>
      <c r="E208" t="s">
        <v>14</v>
      </c>
      <c r="F208" t="s">
        <v>27</v>
      </c>
      <c r="G208" t="s">
        <v>29</v>
      </c>
      <c r="H208" t="s">
        <v>24</v>
      </c>
      <c r="I208" s="3">
        <v>11600</v>
      </c>
      <c r="J208" s="3" t="str">
        <f>IF(I208&gt;16000, "High", IF(I208&gt;=12000, IF(I208&lt;=15000, "Medium", "High"), "Low"))</f>
        <v>Low</v>
      </c>
      <c r="K208" t="b">
        <v>0</v>
      </c>
      <c r="L208" t="b">
        <v>0</v>
      </c>
      <c r="M208" t="b">
        <v>1</v>
      </c>
    </row>
    <row r="209" spans="1:13" x14ac:dyDescent="0.3">
      <c r="A209">
        <v>29</v>
      </c>
      <c r="B209" t="s">
        <v>18</v>
      </c>
      <c r="C209" s="1">
        <v>4</v>
      </c>
      <c r="D209" t="s">
        <v>19</v>
      </c>
      <c r="E209" t="s">
        <v>14</v>
      </c>
      <c r="F209" t="s">
        <v>27</v>
      </c>
      <c r="G209" t="s">
        <v>29</v>
      </c>
      <c r="H209" t="s">
        <v>21</v>
      </c>
      <c r="I209" s="3">
        <v>12017</v>
      </c>
      <c r="J209" s="3" t="str">
        <f>IF(I209&gt;16000, "High", IF(I209&gt;=12000, IF(I209&lt;=15000, "Medium", "High"), "Low"))</f>
        <v>Medium</v>
      </c>
      <c r="K209" t="b">
        <v>0</v>
      </c>
      <c r="L209" t="b">
        <v>0</v>
      </c>
      <c r="M209" t="b">
        <v>1</v>
      </c>
    </row>
    <row r="210" spans="1:13" x14ac:dyDescent="0.3">
      <c r="A210">
        <v>26</v>
      </c>
      <c r="B210" t="s">
        <v>18</v>
      </c>
      <c r="C210" s="1">
        <v>8</v>
      </c>
      <c r="D210" t="s">
        <v>19</v>
      </c>
      <c r="E210" t="s">
        <v>26</v>
      </c>
      <c r="F210" t="s">
        <v>27</v>
      </c>
      <c r="G210" t="s">
        <v>16</v>
      </c>
      <c r="H210" t="s">
        <v>21</v>
      </c>
      <c r="I210" s="3">
        <v>16830</v>
      </c>
      <c r="J210" s="3" t="str">
        <f>IF(I210&gt;16000, "High", IF(I210&gt;=12000, IF(I210&lt;=15000, "Medium", "High"), "Low"))</f>
        <v>High</v>
      </c>
      <c r="K210" t="b">
        <v>1</v>
      </c>
      <c r="L210" t="b">
        <v>1</v>
      </c>
      <c r="M210" t="b">
        <v>1</v>
      </c>
    </row>
    <row r="211" spans="1:13" hidden="1" x14ac:dyDescent="0.3">
      <c r="A211">
        <v>40</v>
      </c>
      <c r="B211" t="s">
        <v>18</v>
      </c>
      <c r="C211" s="1">
        <v>1</v>
      </c>
      <c r="D211" t="s">
        <v>13</v>
      </c>
      <c r="E211" t="s">
        <v>26</v>
      </c>
      <c r="F211" t="s">
        <v>27</v>
      </c>
      <c r="G211" t="s">
        <v>29</v>
      </c>
      <c r="H211" t="s">
        <v>21</v>
      </c>
      <c r="I211" s="3">
        <v>10618</v>
      </c>
      <c r="J211" s="3" t="str">
        <f>IF(I211&gt;16000, "High", IF(I211&gt;=12000, IF(I211&lt;=15000, "Medium", "High"), "Low"))</f>
        <v>Low</v>
      </c>
      <c r="K211" t="b">
        <v>0</v>
      </c>
      <c r="L211" t="b">
        <v>1</v>
      </c>
      <c r="M211" t="b">
        <v>1</v>
      </c>
    </row>
    <row r="212" spans="1:13" hidden="1" x14ac:dyDescent="0.3">
      <c r="A212">
        <v>54</v>
      </c>
      <c r="B212" t="s">
        <v>12</v>
      </c>
      <c r="C212" s="1">
        <v>8</v>
      </c>
      <c r="D212" t="s">
        <v>13</v>
      </c>
      <c r="E212" t="s">
        <v>26</v>
      </c>
      <c r="F212" t="s">
        <v>27</v>
      </c>
      <c r="G212" t="s">
        <v>23</v>
      </c>
      <c r="H212" t="s">
        <v>21</v>
      </c>
      <c r="I212" s="3">
        <v>11132</v>
      </c>
      <c r="J212" s="3" t="str">
        <f>IF(I212&gt;16000, "High", IF(I212&gt;=12000, IF(I212&lt;=15000, "Medium", "High"), "Low"))</f>
        <v>Low</v>
      </c>
      <c r="K212" t="b">
        <v>1</v>
      </c>
      <c r="L212" t="b">
        <v>0</v>
      </c>
      <c r="M212" t="b">
        <v>0</v>
      </c>
    </row>
    <row r="213" spans="1:13" hidden="1" x14ac:dyDescent="0.3">
      <c r="A213">
        <v>49</v>
      </c>
      <c r="B213" t="s">
        <v>12</v>
      </c>
      <c r="C213" s="1">
        <v>7</v>
      </c>
      <c r="D213" t="s">
        <v>19</v>
      </c>
      <c r="E213" t="s">
        <v>26</v>
      </c>
      <c r="F213" t="s">
        <v>22</v>
      </c>
      <c r="G213" t="s">
        <v>29</v>
      </c>
      <c r="H213" t="s">
        <v>24</v>
      </c>
      <c r="I213" s="3">
        <v>15491</v>
      </c>
      <c r="J213" s="3" t="str">
        <f>IF(I213&gt;16000, "High", IF(I213&gt;=12000, IF(I213&lt;=15000, "Medium", "High"), "Low"))</f>
        <v>High</v>
      </c>
      <c r="K213" t="b">
        <v>1</v>
      </c>
      <c r="L213" t="b">
        <v>1</v>
      </c>
      <c r="M213" t="b">
        <v>1</v>
      </c>
    </row>
    <row r="214" spans="1:13" hidden="1" x14ac:dyDescent="0.3">
      <c r="A214">
        <v>50</v>
      </c>
      <c r="B214" t="s">
        <v>25</v>
      </c>
      <c r="C214" s="1">
        <v>6</v>
      </c>
      <c r="D214" t="s">
        <v>28</v>
      </c>
      <c r="E214" t="s">
        <v>20</v>
      </c>
      <c r="F214" t="s">
        <v>22</v>
      </c>
      <c r="G214" t="s">
        <v>29</v>
      </c>
      <c r="H214" t="s">
        <v>21</v>
      </c>
      <c r="I214" s="3">
        <v>15795</v>
      </c>
      <c r="J214" s="3" t="str">
        <f>IF(I214&gt;16000, "High", IF(I214&gt;=12000, IF(I214&lt;=15000, "Medium", "High"), "Low"))</f>
        <v>High</v>
      </c>
      <c r="K214" t="b">
        <v>0</v>
      </c>
      <c r="L214" t="b">
        <v>1</v>
      </c>
      <c r="M214" t="b">
        <v>1</v>
      </c>
    </row>
    <row r="215" spans="1:13" hidden="1" x14ac:dyDescent="0.3">
      <c r="A215">
        <v>18</v>
      </c>
      <c r="B215" t="s">
        <v>12</v>
      </c>
      <c r="C215" s="1">
        <v>6</v>
      </c>
      <c r="D215" t="s">
        <v>28</v>
      </c>
      <c r="E215" t="s">
        <v>26</v>
      </c>
      <c r="F215" t="s">
        <v>22</v>
      </c>
      <c r="G215" t="s">
        <v>16</v>
      </c>
      <c r="H215" t="s">
        <v>24</v>
      </c>
      <c r="I215" s="3">
        <v>17633</v>
      </c>
      <c r="J215" s="3" t="str">
        <f>IF(I215&gt;16000, "High", IF(I215&gt;=12000, IF(I215&lt;=15000, "Medium", "High"), "Low"))</f>
        <v>High</v>
      </c>
      <c r="K215" t="b">
        <v>1</v>
      </c>
      <c r="L215" t="b">
        <v>1</v>
      </c>
      <c r="M215" t="b">
        <v>1</v>
      </c>
    </row>
    <row r="216" spans="1:13" hidden="1" x14ac:dyDescent="0.3">
      <c r="A216">
        <v>36</v>
      </c>
      <c r="B216" t="s">
        <v>12</v>
      </c>
      <c r="C216" s="1">
        <v>5</v>
      </c>
      <c r="D216" t="s">
        <v>13</v>
      </c>
      <c r="E216" t="s">
        <v>26</v>
      </c>
      <c r="F216" t="s">
        <v>27</v>
      </c>
      <c r="G216" t="s">
        <v>29</v>
      </c>
      <c r="H216" t="s">
        <v>24</v>
      </c>
      <c r="I216" s="3">
        <v>11487</v>
      </c>
      <c r="J216" s="3" t="str">
        <f>IF(I216&gt;16000, "High", IF(I216&gt;=12000, IF(I216&lt;=15000, "Medium", "High"), "Low"))</f>
        <v>Low</v>
      </c>
      <c r="K216" t="b">
        <v>1</v>
      </c>
      <c r="L216" t="b">
        <v>0</v>
      </c>
      <c r="M216" t="b">
        <v>1</v>
      </c>
    </row>
    <row r="217" spans="1:13" hidden="1" x14ac:dyDescent="0.3">
      <c r="A217">
        <v>19</v>
      </c>
      <c r="B217" t="s">
        <v>12</v>
      </c>
      <c r="C217" s="1">
        <v>6</v>
      </c>
      <c r="D217" t="s">
        <v>28</v>
      </c>
      <c r="E217" t="s">
        <v>20</v>
      </c>
      <c r="F217" t="s">
        <v>27</v>
      </c>
      <c r="G217" t="s">
        <v>29</v>
      </c>
      <c r="H217" t="s">
        <v>24</v>
      </c>
      <c r="I217" s="3">
        <v>17848</v>
      </c>
      <c r="J217" s="3" t="str">
        <f>IF(I217&gt;16000, "High", IF(I217&gt;=12000, IF(I217&lt;=15000, "Medium", "High"), "Low"))</f>
        <v>High</v>
      </c>
      <c r="K217" t="b">
        <v>0</v>
      </c>
      <c r="L217" t="b">
        <v>0</v>
      </c>
      <c r="M217" t="b">
        <v>1</v>
      </c>
    </row>
    <row r="218" spans="1:13" hidden="1" x14ac:dyDescent="0.3">
      <c r="A218">
        <v>61</v>
      </c>
      <c r="B218" t="s">
        <v>18</v>
      </c>
      <c r="C218" s="1">
        <v>9</v>
      </c>
      <c r="D218" t="s">
        <v>13</v>
      </c>
      <c r="E218" t="s">
        <v>14</v>
      </c>
      <c r="F218" t="s">
        <v>22</v>
      </c>
      <c r="G218" t="s">
        <v>29</v>
      </c>
      <c r="H218" t="s">
        <v>21</v>
      </c>
      <c r="I218" s="3">
        <v>15009</v>
      </c>
      <c r="J218" s="3" t="str">
        <f>IF(I218&gt;16000, "High", IF(I218&gt;=12000, IF(I218&lt;=15000, "Medium", "High"), "Low"))</f>
        <v>High</v>
      </c>
      <c r="K218" t="b">
        <v>0</v>
      </c>
      <c r="L218" t="b">
        <v>0</v>
      </c>
      <c r="M218" t="b">
        <v>0</v>
      </c>
    </row>
    <row r="219" spans="1:13" hidden="1" x14ac:dyDescent="0.3">
      <c r="A219">
        <v>43</v>
      </c>
      <c r="B219" t="s">
        <v>18</v>
      </c>
      <c r="C219" s="1">
        <v>9</v>
      </c>
      <c r="D219" t="s">
        <v>28</v>
      </c>
      <c r="E219" t="s">
        <v>14</v>
      </c>
      <c r="F219" t="s">
        <v>15</v>
      </c>
      <c r="G219" t="s">
        <v>29</v>
      </c>
      <c r="H219" t="s">
        <v>24</v>
      </c>
      <c r="I219" s="3">
        <v>19749</v>
      </c>
      <c r="J219" s="3" t="str">
        <f>IF(I219&gt;16000, "High", IF(I219&gt;=12000, IF(I219&lt;=15000, "Medium", "High"), "Low"))</f>
        <v>High</v>
      </c>
      <c r="K219" t="b">
        <v>1</v>
      </c>
      <c r="L219" t="b">
        <v>0</v>
      </c>
      <c r="M219" t="b">
        <v>1</v>
      </c>
    </row>
    <row r="220" spans="1:13" hidden="1" x14ac:dyDescent="0.3">
      <c r="A220">
        <v>49</v>
      </c>
      <c r="B220" t="s">
        <v>25</v>
      </c>
      <c r="C220" s="1">
        <v>8</v>
      </c>
      <c r="D220" t="s">
        <v>19</v>
      </c>
      <c r="E220" t="s">
        <v>20</v>
      </c>
      <c r="F220" t="s">
        <v>22</v>
      </c>
      <c r="G220" t="s">
        <v>23</v>
      </c>
      <c r="H220" t="s">
        <v>24</v>
      </c>
      <c r="I220" s="3">
        <v>12113</v>
      </c>
      <c r="J220" s="3" t="str">
        <f>IF(I220&gt;16000, "High", IF(I220&gt;=12000, IF(I220&lt;=15000, "Medium", "High"), "Low"))</f>
        <v>Medium</v>
      </c>
      <c r="K220" t="b">
        <v>0</v>
      </c>
      <c r="L220" t="b">
        <v>0</v>
      </c>
      <c r="M220" t="b">
        <v>0</v>
      </c>
    </row>
    <row r="221" spans="1:13" hidden="1" x14ac:dyDescent="0.3">
      <c r="A221">
        <v>23</v>
      </c>
      <c r="B221" t="s">
        <v>12</v>
      </c>
      <c r="C221" s="1">
        <v>9</v>
      </c>
      <c r="D221" t="s">
        <v>13</v>
      </c>
      <c r="E221" t="s">
        <v>26</v>
      </c>
      <c r="F221" t="s">
        <v>22</v>
      </c>
      <c r="G221" t="s">
        <v>16</v>
      </c>
      <c r="H221" t="s">
        <v>17</v>
      </c>
      <c r="I221" s="3">
        <v>11044</v>
      </c>
      <c r="J221" s="3" t="str">
        <f>IF(I221&gt;16000, "High", IF(I221&gt;=12000, IF(I221&lt;=15000, "Medium", "High"), "Low"))</f>
        <v>Low</v>
      </c>
      <c r="K221" t="b">
        <v>0</v>
      </c>
      <c r="L221" t="b">
        <v>0</v>
      </c>
      <c r="M221" t="b">
        <v>1</v>
      </c>
    </row>
    <row r="222" spans="1:13" hidden="1" x14ac:dyDescent="0.3">
      <c r="A222">
        <v>49</v>
      </c>
      <c r="B222" t="s">
        <v>12</v>
      </c>
      <c r="C222" s="1">
        <v>8</v>
      </c>
      <c r="D222" t="s">
        <v>13</v>
      </c>
      <c r="E222" t="s">
        <v>20</v>
      </c>
      <c r="F222" t="s">
        <v>22</v>
      </c>
      <c r="G222" t="s">
        <v>29</v>
      </c>
      <c r="H222" t="s">
        <v>24</v>
      </c>
      <c r="I222" s="3">
        <v>12431</v>
      </c>
      <c r="J222" s="3" t="str">
        <f>IF(I222&gt;16000, "High", IF(I222&gt;=12000, IF(I222&lt;=15000, "Medium", "High"), "Low"))</f>
        <v>Medium</v>
      </c>
      <c r="K222" t="b">
        <v>1</v>
      </c>
      <c r="L222" t="b">
        <v>0</v>
      </c>
      <c r="M222" t="b">
        <v>1</v>
      </c>
    </row>
    <row r="223" spans="1:13" hidden="1" x14ac:dyDescent="0.3">
      <c r="A223">
        <v>21</v>
      </c>
      <c r="B223" t="s">
        <v>25</v>
      </c>
      <c r="C223" s="1">
        <v>8</v>
      </c>
      <c r="D223" t="s">
        <v>19</v>
      </c>
      <c r="E223" t="s">
        <v>14</v>
      </c>
      <c r="F223" t="s">
        <v>22</v>
      </c>
      <c r="G223" t="s">
        <v>29</v>
      </c>
      <c r="H223" t="s">
        <v>24</v>
      </c>
      <c r="I223" s="3">
        <v>17979</v>
      </c>
      <c r="J223" s="3" t="str">
        <f>IF(I223&gt;16000, "High", IF(I223&gt;=12000, IF(I223&lt;=15000, "Medium", "High"), "Low"))</f>
        <v>High</v>
      </c>
      <c r="K223" t="b">
        <v>1</v>
      </c>
      <c r="L223" t="b">
        <v>1</v>
      </c>
      <c r="M223" t="b">
        <v>0</v>
      </c>
    </row>
    <row r="224" spans="1:13" hidden="1" x14ac:dyDescent="0.3">
      <c r="A224">
        <v>28</v>
      </c>
      <c r="B224" t="s">
        <v>12</v>
      </c>
      <c r="C224" s="1">
        <v>1</v>
      </c>
      <c r="D224" t="s">
        <v>13</v>
      </c>
      <c r="E224" t="s">
        <v>14</v>
      </c>
      <c r="F224" t="s">
        <v>27</v>
      </c>
      <c r="G224" t="s">
        <v>23</v>
      </c>
      <c r="H224" t="s">
        <v>17</v>
      </c>
      <c r="I224" s="3">
        <v>11582</v>
      </c>
      <c r="J224" s="3" t="str">
        <f>IF(I224&gt;16000, "High", IF(I224&gt;=12000, IF(I224&lt;=15000, "Medium", "High"), "Low"))</f>
        <v>Low</v>
      </c>
      <c r="K224" t="b">
        <v>0</v>
      </c>
      <c r="L224" t="b">
        <v>0</v>
      </c>
      <c r="M224" t="b">
        <v>0</v>
      </c>
    </row>
    <row r="225" spans="1:13" hidden="1" x14ac:dyDescent="0.3">
      <c r="A225">
        <v>34</v>
      </c>
      <c r="B225" t="s">
        <v>12</v>
      </c>
      <c r="C225" s="1">
        <v>5</v>
      </c>
      <c r="D225" t="s">
        <v>28</v>
      </c>
      <c r="E225" t="s">
        <v>20</v>
      </c>
      <c r="F225" t="s">
        <v>15</v>
      </c>
      <c r="G225" t="s">
        <v>29</v>
      </c>
      <c r="H225" t="s">
        <v>17</v>
      </c>
      <c r="I225" s="3">
        <v>11308</v>
      </c>
      <c r="J225" s="3" t="str">
        <f>IF(I225&gt;16000, "High", IF(I225&gt;=12000, IF(I225&lt;=15000, "Medium", "High"), "Low"))</f>
        <v>Low</v>
      </c>
      <c r="K225" t="b">
        <v>1</v>
      </c>
      <c r="L225" t="b">
        <v>0</v>
      </c>
      <c r="M225" t="b">
        <v>1</v>
      </c>
    </row>
    <row r="226" spans="1:13" hidden="1" x14ac:dyDescent="0.3">
      <c r="A226">
        <v>55</v>
      </c>
      <c r="B226" t="s">
        <v>18</v>
      </c>
      <c r="C226" s="1">
        <v>4</v>
      </c>
      <c r="D226" t="s">
        <v>28</v>
      </c>
      <c r="E226" t="s">
        <v>20</v>
      </c>
      <c r="F226" t="s">
        <v>22</v>
      </c>
      <c r="G226" t="s">
        <v>23</v>
      </c>
      <c r="H226" t="s">
        <v>21</v>
      </c>
      <c r="I226" s="3">
        <v>14917</v>
      </c>
      <c r="J226" s="3" t="str">
        <f>IF(I226&gt;16000, "High", IF(I226&gt;=12000, IF(I226&lt;=15000, "Medium", "High"), "Low"))</f>
        <v>Medium</v>
      </c>
      <c r="K226" t="b">
        <v>0</v>
      </c>
      <c r="L226" t="b">
        <v>1</v>
      </c>
      <c r="M226" t="b">
        <v>1</v>
      </c>
    </row>
    <row r="227" spans="1:13" hidden="1" x14ac:dyDescent="0.3">
      <c r="A227">
        <v>41</v>
      </c>
      <c r="B227" t="s">
        <v>25</v>
      </c>
      <c r="C227" s="1">
        <v>2</v>
      </c>
      <c r="D227" t="s">
        <v>13</v>
      </c>
      <c r="E227" t="s">
        <v>14</v>
      </c>
      <c r="F227" t="s">
        <v>15</v>
      </c>
      <c r="G227" t="s">
        <v>16</v>
      </c>
      <c r="H227" t="s">
        <v>24</v>
      </c>
      <c r="I227" s="3">
        <v>18793</v>
      </c>
      <c r="J227" s="3" t="str">
        <f>IF(I227&gt;16000, "High", IF(I227&gt;=12000, IF(I227&lt;=15000, "Medium", "High"), "Low"))</f>
        <v>High</v>
      </c>
      <c r="K227" t="b">
        <v>0</v>
      </c>
      <c r="L227" t="b">
        <v>1</v>
      </c>
      <c r="M227" t="b">
        <v>0</v>
      </c>
    </row>
    <row r="228" spans="1:13" hidden="1" x14ac:dyDescent="0.3">
      <c r="A228">
        <v>22</v>
      </c>
      <c r="B228" t="s">
        <v>25</v>
      </c>
      <c r="C228" s="1">
        <v>8</v>
      </c>
      <c r="D228" t="s">
        <v>28</v>
      </c>
      <c r="E228" t="s">
        <v>20</v>
      </c>
      <c r="F228" t="s">
        <v>15</v>
      </c>
      <c r="G228" t="s">
        <v>16</v>
      </c>
      <c r="H228" t="s">
        <v>21</v>
      </c>
      <c r="I228" s="3">
        <v>11620</v>
      </c>
      <c r="J228" s="3" t="str">
        <f>IF(I228&gt;16000, "High", IF(I228&gt;=12000, IF(I228&lt;=15000, "Medium", "High"), "Low"))</f>
        <v>Low</v>
      </c>
      <c r="K228" t="b">
        <v>1</v>
      </c>
      <c r="L228" t="b">
        <v>1</v>
      </c>
      <c r="M228" t="b">
        <v>0</v>
      </c>
    </row>
    <row r="229" spans="1:13" hidden="1" x14ac:dyDescent="0.3">
      <c r="A229">
        <v>51</v>
      </c>
      <c r="B229" t="s">
        <v>25</v>
      </c>
      <c r="C229" s="1">
        <v>3</v>
      </c>
      <c r="D229" t="s">
        <v>13</v>
      </c>
      <c r="E229" t="s">
        <v>14</v>
      </c>
      <c r="F229" t="s">
        <v>15</v>
      </c>
      <c r="G229" t="s">
        <v>29</v>
      </c>
      <c r="H229" t="s">
        <v>21</v>
      </c>
      <c r="I229" s="3">
        <v>17503</v>
      </c>
      <c r="J229" s="3" t="str">
        <f>IF(I229&gt;16000, "High", IF(I229&gt;=12000, IF(I229&lt;=15000, "Medium", "High"), "Low"))</f>
        <v>High</v>
      </c>
      <c r="K229" t="b">
        <v>1</v>
      </c>
      <c r="L229" t="b">
        <v>0</v>
      </c>
      <c r="M229" t="b">
        <v>0</v>
      </c>
    </row>
    <row r="230" spans="1:13" hidden="1" x14ac:dyDescent="0.3">
      <c r="A230">
        <v>23</v>
      </c>
      <c r="B230" t="s">
        <v>25</v>
      </c>
      <c r="C230" s="1">
        <v>4</v>
      </c>
      <c r="D230" t="s">
        <v>19</v>
      </c>
      <c r="E230" t="s">
        <v>20</v>
      </c>
      <c r="F230" t="s">
        <v>22</v>
      </c>
      <c r="G230" t="s">
        <v>29</v>
      </c>
      <c r="H230" t="s">
        <v>17</v>
      </c>
      <c r="I230" s="3">
        <v>14766</v>
      </c>
      <c r="J230" s="3" t="str">
        <f>IF(I230&gt;16000, "High", IF(I230&gt;=12000, IF(I230&lt;=15000, "Medium", "High"), "Low"))</f>
        <v>Medium</v>
      </c>
      <c r="K230" t="b">
        <v>0</v>
      </c>
      <c r="L230" t="b">
        <v>1</v>
      </c>
      <c r="M230" t="b">
        <v>0</v>
      </c>
    </row>
    <row r="231" spans="1:13" hidden="1" x14ac:dyDescent="0.3">
      <c r="A231">
        <v>39</v>
      </c>
      <c r="B231" t="s">
        <v>18</v>
      </c>
      <c r="C231" s="1">
        <v>7</v>
      </c>
      <c r="D231" t="s">
        <v>13</v>
      </c>
      <c r="E231" t="s">
        <v>20</v>
      </c>
      <c r="F231" t="s">
        <v>27</v>
      </c>
      <c r="G231" t="s">
        <v>29</v>
      </c>
      <c r="H231" t="s">
        <v>21</v>
      </c>
      <c r="I231" s="3">
        <v>15362</v>
      </c>
      <c r="J231" s="3" t="str">
        <f>IF(I231&gt;16000, "High", IF(I231&gt;=12000, IF(I231&lt;=15000, "Medium", "High"), "Low"))</f>
        <v>High</v>
      </c>
      <c r="K231" t="b">
        <v>0</v>
      </c>
      <c r="L231" t="b">
        <v>0</v>
      </c>
      <c r="M231" t="b">
        <v>1</v>
      </c>
    </row>
    <row r="232" spans="1:13" x14ac:dyDescent="0.3">
      <c r="A232">
        <v>37</v>
      </c>
      <c r="B232" t="s">
        <v>18</v>
      </c>
      <c r="C232" s="1">
        <v>6</v>
      </c>
      <c r="D232" t="s">
        <v>19</v>
      </c>
      <c r="E232" t="s">
        <v>26</v>
      </c>
      <c r="F232" t="s">
        <v>27</v>
      </c>
      <c r="G232" t="s">
        <v>29</v>
      </c>
      <c r="H232" t="s">
        <v>21</v>
      </c>
      <c r="I232" s="3">
        <v>18636</v>
      </c>
      <c r="J232" s="3" t="str">
        <f>IF(I232&gt;16000, "High", IF(I232&gt;=12000, IF(I232&lt;=15000, "Medium", "High"), "Low"))</f>
        <v>High</v>
      </c>
      <c r="K232" t="b">
        <v>1</v>
      </c>
      <c r="L232" t="b">
        <v>1</v>
      </c>
      <c r="M232" t="b">
        <v>0</v>
      </c>
    </row>
    <row r="233" spans="1:13" hidden="1" x14ac:dyDescent="0.3">
      <c r="A233">
        <v>33</v>
      </c>
      <c r="B233" t="s">
        <v>12</v>
      </c>
      <c r="C233" s="1">
        <v>2</v>
      </c>
      <c r="D233" t="s">
        <v>28</v>
      </c>
      <c r="E233" t="s">
        <v>14</v>
      </c>
      <c r="F233" t="s">
        <v>15</v>
      </c>
      <c r="G233" t="s">
        <v>29</v>
      </c>
      <c r="H233" t="s">
        <v>17</v>
      </c>
      <c r="I233" s="3">
        <v>16622</v>
      </c>
      <c r="J233" s="3" t="str">
        <f>IF(I233&gt;16000, "High", IF(I233&gt;=12000, IF(I233&lt;=15000, "Medium", "High"), "Low"))</f>
        <v>High</v>
      </c>
      <c r="K233" t="b">
        <v>0</v>
      </c>
      <c r="L233" t="b">
        <v>0</v>
      </c>
      <c r="M233" t="b">
        <v>1</v>
      </c>
    </row>
    <row r="234" spans="1:13" hidden="1" x14ac:dyDescent="0.3">
      <c r="A234">
        <v>50</v>
      </c>
      <c r="B234" t="s">
        <v>12</v>
      </c>
      <c r="C234" s="1">
        <v>3</v>
      </c>
      <c r="D234" t="s">
        <v>19</v>
      </c>
      <c r="E234" t="s">
        <v>20</v>
      </c>
      <c r="F234" t="s">
        <v>15</v>
      </c>
      <c r="G234" t="s">
        <v>29</v>
      </c>
      <c r="H234" t="s">
        <v>24</v>
      </c>
      <c r="I234" s="3">
        <v>16093</v>
      </c>
      <c r="J234" s="3" t="str">
        <f>IF(I234&gt;16000, "High", IF(I234&gt;=12000, IF(I234&lt;=15000, "Medium", "High"), "Low"))</f>
        <v>High</v>
      </c>
      <c r="K234" t="b">
        <v>1</v>
      </c>
      <c r="L234" t="b">
        <v>1</v>
      </c>
      <c r="M234" t="b">
        <v>1</v>
      </c>
    </row>
    <row r="235" spans="1:13" hidden="1" x14ac:dyDescent="0.3">
      <c r="A235">
        <v>26</v>
      </c>
      <c r="B235" t="s">
        <v>12</v>
      </c>
      <c r="C235" s="1">
        <v>4</v>
      </c>
      <c r="D235" t="s">
        <v>28</v>
      </c>
      <c r="E235" t="s">
        <v>14</v>
      </c>
      <c r="F235" t="s">
        <v>27</v>
      </c>
      <c r="G235" t="s">
        <v>16</v>
      </c>
      <c r="H235" t="s">
        <v>24</v>
      </c>
      <c r="I235" s="3">
        <v>16704</v>
      </c>
      <c r="J235" s="3" t="str">
        <f>IF(I235&gt;16000, "High", IF(I235&gt;=12000, IF(I235&lt;=15000, "Medium", "High"), "Low"))</f>
        <v>High</v>
      </c>
      <c r="K235" t="b">
        <v>0</v>
      </c>
      <c r="L235" t="b">
        <v>1</v>
      </c>
      <c r="M235" t="b">
        <v>1</v>
      </c>
    </row>
    <row r="236" spans="1:13" hidden="1" x14ac:dyDescent="0.3">
      <c r="A236">
        <v>23</v>
      </c>
      <c r="B236" t="s">
        <v>12</v>
      </c>
      <c r="C236" s="1">
        <v>1</v>
      </c>
      <c r="D236" t="s">
        <v>13</v>
      </c>
      <c r="E236" t="s">
        <v>14</v>
      </c>
      <c r="F236" t="s">
        <v>22</v>
      </c>
      <c r="G236" t="s">
        <v>29</v>
      </c>
      <c r="H236" t="s">
        <v>17</v>
      </c>
      <c r="I236" s="3">
        <v>10100</v>
      </c>
      <c r="J236" s="3" t="str">
        <f>IF(I236&gt;16000, "High", IF(I236&gt;=12000, IF(I236&lt;=15000, "Medium", "High"), "Low"))</f>
        <v>Low</v>
      </c>
      <c r="K236" t="b">
        <v>1</v>
      </c>
      <c r="L236" t="b">
        <v>0</v>
      </c>
      <c r="M236" t="b">
        <v>0</v>
      </c>
    </row>
    <row r="237" spans="1:13" hidden="1" x14ac:dyDescent="0.3">
      <c r="A237">
        <v>33</v>
      </c>
      <c r="B237" t="s">
        <v>18</v>
      </c>
      <c r="C237" s="1">
        <v>7</v>
      </c>
      <c r="D237" t="s">
        <v>28</v>
      </c>
      <c r="E237" t="s">
        <v>20</v>
      </c>
      <c r="F237" t="s">
        <v>15</v>
      </c>
      <c r="G237" t="s">
        <v>16</v>
      </c>
      <c r="H237" t="s">
        <v>24</v>
      </c>
      <c r="I237" s="3">
        <v>16657</v>
      </c>
      <c r="J237" s="3" t="str">
        <f>IF(I237&gt;16000, "High", IF(I237&gt;=12000, IF(I237&lt;=15000, "Medium", "High"), "Low"))</f>
        <v>High</v>
      </c>
      <c r="K237" t="b">
        <v>1</v>
      </c>
      <c r="L237" t="b">
        <v>0</v>
      </c>
      <c r="M237" t="b">
        <v>0</v>
      </c>
    </row>
    <row r="238" spans="1:13" hidden="1" x14ac:dyDescent="0.3">
      <c r="A238">
        <v>46</v>
      </c>
      <c r="B238" t="s">
        <v>25</v>
      </c>
      <c r="C238" s="1">
        <v>2</v>
      </c>
      <c r="D238" t="s">
        <v>13</v>
      </c>
      <c r="E238" t="s">
        <v>20</v>
      </c>
      <c r="F238" t="s">
        <v>27</v>
      </c>
      <c r="G238" t="s">
        <v>29</v>
      </c>
      <c r="H238" t="s">
        <v>17</v>
      </c>
      <c r="I238" s="3">
        <v>15875</v>
      </c>
      <c r="J238" s="3" t="str">
        <f>IF(I238&gt;16000, "High", IF(I238&gt;=12000, IF(I238&lt;=15000, "Medium", "High"), "Low"))</f>
        <v>High</v>
      </c>
      <c r="K238" t="b">
        <v>0</v>
      </c>
      <c r="L238" t="b">
        <v>0</v>
      </c>
      <c r="M238" t="b">
        <v>0</v>
      </c>
    </row>
    <row r="239" spans="1:13" hidden="1" x14ac:dyDescent="0.3">
      <c r="A239">
        <v>20</v>
      </c>
      <c r="B239" t="s">
        <v>18</v>
      </c>
      <c r="C239" s="1">
        <v>5</v>
      </c>
      <c r="D239" t="s">
        <v>13</v>
      </c>
      <c r="E239" t="s">
        <v>14</v>
      </c>
      <c r="F239" t="s">
        <v>15</v>
      </c>
      <c r="G239" t="s">
        <v>16</v>
      </c>
      <c r="H239" t="s">
        <v>24</v>
      </c>
      <c r="I239" s="3">
        <v>14271</v>
      </c>
      <c r="J239" s="3" t="str">
        <f>IF(I239&gt;16000, "High", IF(I239&gt;=12000, IF(I239&lt;=15000, "Medium", "High"), "Low"))</f>
        <v>Medium</v>
      </c>
      <c r="K239" t="b">
        <v>1</v>
      </c>
      <c r="L239" t="b">
        <v>1</v>
      </c>
      <c r="M239" t="b">
        <v>1</v>
      </c>
    </row>
    <row r="240" spans="1:13" hidden="1" x14ac:dyDescent="0.3">
      <c r="A240">
        <v>37</v>
      </c>
      <c r="B240" t="s">
        <v>12</v>
      </c>
      <c r="C240" s="1">
        <v>1</v>
      </c>
      <c r="D240" t="s">
        <v>19</v>
      </c>
      <c r="E240" t="s">
        <v>14</v>
      </c>
      <c r="F240" t="s">
        <v>27</v>
      </c>
      <c r="G240" t="s">
        <v>29</v>
      </c>
      <c r="H240" t="s">
        <v>17</v>
      </c>
      <c r="I240" s="3">
        <v>10237</v>
      </c>
      <c r="J240" s="3" t="str">
        <f>IF(I240&gt;16000, "High", IF(I240&gt;=12000, IF(I240&lt;=15000, "Medium", "High"), "Low"))</f>
        <v>Low</v>
      </c>
      <c r="K240" t="b">
        <v>1</v>
      </c>
      <c r="L240" t="b">
        <v>0</v>
      </c>
      <c r="M240" t="b">
        <v>0</v>
      </c>
    </row>
    <row r="241" spans="1:13" x14ac:dyDescent="0.3">
      <c r="A241">
        <v>54</v>
      </c>
      <c r="B241" t="s">
        <v>18</v>
      </c>
      <c r="C241" s="1">
        <v>4</v>
      </c>
      <c r="D241" t="s">
        <v>19</v>
      </c>
      <c r="E241" t="s">
        <v>14</v>
      </c>
      <c r="F241" t="s">
        <v>27</v>
      </c>
      <c r="G241" t="s">
        <v>29</v>
      </c>
      <c r="H241" t="s">
        <v>21</v>
      </c>
      <c r="I241" s="3">
        <v>19316</v>
      </c>
      <c r="J241" s="3" t="str">
        <f>IF(I241&gt;16000, "High", IF(I241&gt;=12000, IF(I241&lt;=15000, "Medium", "High"), "Low"))</f>
        <v>High</v>
      </c>
      <c r="K241" t="b">
        <v>0</v>
      </c>
      <c r="L241" t="b">
        <v>0</v>
      </c>
      <c r="M241" t="b">
        <v>1</v>
      </c>
    </row>
    <row r="242" spans="1:13" hidden="1" x14ac:dyDescent="0.3">
      <c r="A242">
        <v>36</v>
      </c>
      <c r="B242" t="s">
        <v>25</v>
      </c>
      <c r="C242" s="1">
        <v>2</v>
      </c>
      <c r="D242" t="s">
        <v>19</v>
      </c>
      <c r="E242" t="s">
        <v>14</v>
      </c>
      <c r="F242" t="s">
        <v>22</v>
      </c>
      <c r="G242" t="s">
        <v>23</v>
      </c>
      <c r="H242" t="s">
        <v>24</v>
      </c>
      <c r="I242" s="3">
        <v>18032</v>
      </c>
      <c r="J242" s="3" t="str">
        <f>IF(I242&gt;16000, "High", IF(I242&gt;=12000, IF(I242&lt;=15000, "Medium", "High"), "Low"))</f>
        <v>High</v>
      </c>
      <c r="K242" t="b">
        <v>1</v>
      </c>
      <c r="L242" t="b">
        <v>0</v>
      </c>
      <c r="M242" t="b">
        <v>1</v>
      </c>
    </row>
    <row r="243" spans="1:13" hidden="1" x14ac:dyDescent="0.3">
      <c r="A243">
        <v>43</v>
      </c>
      <c r="B243" t="s">
        <v>25</v>
      </c>
      <c r="C243" s="1">
        <v>1</v>
      </c>
      <c r="D243" t="s">
        <v>19</v>
      </c>
      <c r="E243" t="s">
        <v>26</v>
      </c>
      <c r="F243" t="s">
        <v>15</v>
      </c>
      <c r="G243" t="s">
        <v>16</v>
      </c>
      <c r="H243" t="s">
        <v>17</v>
      </c>
      <c r="I243" s="3">
        <v>15218</v>
      </c>
      <c r="J243" s="3" t="str">
        <f>IF(I243&gt;16000, "High", IF(I243&gt;=12000, IF(I243&lt;=15000, "Medium", "High"), "Low"))</f>
        <v>High</v>
      </c>
      <c r="K243" t="b">
        <v>1</v>
      </c>
      <c r="L243" t="b">
        <v>1</v>
      </c>
      <c r="M243" t="b">
        <v>1</v>
      </c>
    </row>
    <row r="244" spans="1:13" hidden="1" x14ac:dyDescent="0.3">
      <c r="A244">
        <v>20</v>
      </c>
      <c r="B244" t="s">
        <v>18</v>
      </c>
      <c r="C244" s="1">
        <v>7</v>
      </c>
      <c r="D244" t="s">
        <v>28</v>
      </c>
      <c r="E244" t="s">
        <v>26</v>
      </c>
      <c r="F244" t="s">
        <v>22</v>
      </c>
      <c r="G244" t="s">
        <v>16</v>
      </c>
      <c r="H244" t="s">
        <v>24</v>
      </c>
      <c r="I244" s="3">
        <v>14025</v>
      </c>
      <c r="J244" s="3" t="str">
        <f>IF(I244&gt;16000, "High", IF(I244&gt;=12000, IF(I244&lt;=15000, "Medium", "High"), "Low"))</f>
        <v>Medium</v>
      </c>
      <c r="K244" t="b">
        <v>0</v>
      </c>
      <c r="L244" t="b">
        <v>0</v>
      </c>
      <c r="M244" t="b">
        <v>0</v>
      </c>
    </row>
    <row r="245" spans="1:13" hidden="1" x14ac:dyDescent="0.3">
      <c r="A245">
        <v>36</v>
      </c>
      <c r="B245" t="s">
        <v>18</v>
      </c>
      <c r="C245" s="1">
        <v>5</v>
      </c>
      <c r="D245" t="s">
        <v>28</v>
      </c>
      <c r="E245" t="s">
        <v>26</v>
      </c>
      <c r="F245" t="s">
        <v>15</v>
      </c>
      <c r="G245" t="s">
        <v>16</v>
      </c>
      <c r="H245" t="s">
        <v>24</v>
      </c>
      <c r="I245" s="3">
        <v>16073</v>
      </c>
      <c r="J245" s="3" t="str">
        <f>IF(I245&gt;16000, "High", IF(I245&gt;=12000, IF(I245&lt;=15000, "Medium", "High"), "Low"))</f>
        <v>High</v>
      </c>
      <c r="K245" t="b">
        <v>0</v>
      </c>
      <c r="L245" t="b">
        <v>1</v>
      </c>
      <c r="M245" t="b">
        <v>1</v>
      </c>
    </row>
    <row r="246" spans="1:13" hidden="1" x14ac:dyDescent="0.3">
      <c r="A246">
        <v>37</v>
      </c>
      <c r="B246" t="s">
        <v>18</v>
      </c>
      <c r="C246" s="1">
        <v>1</v>
      </c>
      <c r="D246" t="s">
        <v>28</v>
      </c>
      <c r="E246" t="s">
        <v>20</v>
      </c>
      <c r="F246" t="s">
        <v>22</v>
      </c>
      <c r="G246" t="s">
        <v>29</v>
      </c>
      <c r="H246" t="s">
        <v>24</v>
      </c>
      <c r="I246" s="3">
        <v>12542</v>
      </c>
      <c r="J246" s="3" t="str">
        <f>IF(I246&gt;16000, "High", IF(I246&gt;=12000, IF(I246&lt;=15000, "Medium", "High"), "Low"))</f>
        <v>Medium</v>
      </c>
      <c r="K246" t="b">
        <v>0</v>
      </c>
      <c r="L246" t="b">
        <v>1</v>
      </c>
      <c r="M246" t="b">
        <v>1</v>
      </c>
    </row>
    <row r="247" spans="1:13" hidden="1" x14ac:dyDescent="0.3">
      <c r="A247">
        <v>49</v>
      </c>
      <c r="B247" t="s">
        <v>12</v>
      </c>
      <c r="C247" s="1">
        <v>6</v>
      </c>
      <c r="D247" t="s">
        <v>13</v>
      </c>
      <c r="E247" t="s">
        <v>20</v>
      </c>
      <c r="F247" t="s">
        <v>15</v>
      </c>
      <c r="G247" t="s">
        <v>29</v>
      </c>
      <c r="H247" t="s">
        <v>17</v>
      </c>
      <c r="I247" s="3">
        <v>11537</v>
      </c>
      <c r="J247" s="3" t="str">
        <f>IF(I247&gt;16000, "High", IF(I247&gt;=12000, IF(I247&lt;=15000, "Medium", "High"), "Low"))</f>
        <v>Low</v>
      </c>
      <c r="K247" t="b">
        <v>0</v>
      </c>
      <c r="L247" t="b">
        <v>1</v>
      </c>
      <c r="M247" t="b">
        <v>0</v>
      </c>
    </row>
    <row r="248" spans="1:13" hidden="1" x14ac:dyDescent="0.3">
      <c r="A248">
        <v>24</v>
      </c>
      <c r="B248" t="s">
        <v>18</v>
      </c>
      <c r="C248" s="1">
        <v>5</v>
      </c>
      <c r="D248" t="s">
        <v>28</v>
      </c>
      <c r="E248" t="s">
        <v>14</v>
      </c>
      <c r="F248" t="s">
        <v>22</v>
      </c>
      <c r="G248" t="s">
        <v>29</v>
      </c>
      <c r="H248" t="s">
        <v>21</v>
      </c>
      <c r="I248" s="3">
        <v>10754</v>
      </c>
      <c r="J248" s="3" t="str">
        <f>IF(I248&gt;16000, "High", IF(I248&gt;=12000, IF(I248&lt;=15000, "Medium", "High"), "Low"))</f>
        <v>Low</v>
      </c>
      <c r="K248" t="b">
        <v>0</v>
      </c>
      <c r="L248" t="b">
        <v>1</v>
      </c>
      <c r="M248" t="b">
        <v>1</v>
      </c>
    </row>
    <row r="249" spans="1:13" hidden="1" x14ac:dyDescent="0.3">
      <c r="A249">
        <v>58</v>
      </c>
      <c r="B249" t="s">
        <v>18</v>
      </c>
      <c r="C249" s="1">
        <v>3</v>
      </c>
      <c r="D249" t="s">
        <v>28</v>
      </c>
      <c r="E249" t="s">
        <v>26</v>
      </c>
      <c r="F249" t="s">
        <v>27</v>
      </c>
      <c r="G249" t="s">
        <v>23</v>
      </c>
      <c r="H249" t="s">
        <v>21</v>
      </c>
      <c r="I249" s="3">
        <v>17396</v>
      </c>
      <c r="J249" s="3" t="str">
        <f>IF(I249&gt;16000, "High", IF(I249&gt;=12000, IF(I249&lt;=15000, "Medium", "High"), "Low"))</f>
        <v>High</v>
      </c>
      <c r="K249" t="b">
        <v>0</v>
      </c>
      <c r="L249" t="b">
        <v>1</v>
      </c>
      <c r="M249" t="b">
        <v>0</v>
      </c>
    </row>
    <row r="250" spans="1:13" hidden="1" x14ac:dyDescent="0.3">
      <c r="A250">
        <v>50</v>
      </c>
      <c r="B250" t="s">
        <v>18</v>
      </c>
      <c r="C250" s="1">
        <v>7</v>
      </c>
      <c r="D250" t="s">
        <v>28</v>
      </c>
      <c r="E250" t="s">
        <v>20</v>
      </c>
      <c r="F250" t="s">
        <v>15</v>
      </c>
      <c r="G250" t="s">
        <v>23</v>
      </c>
      <c r="H250" t="s">
        <v>21</v>
      </c>
      <c r="I250" s="3">
        <v>17823</v>
      </c>
      <c r="J250" s="3" t="str">
        <f>IF(I250&gt;16000, "High", IF(I250&gt;=12000, IF(I250&lt;=15000, "Medium", "High"), "Low"))</f>
        <v>High</v>
      </c>
      <c r="K250" t="b">
        <v>0</v>
      </c>
      <c r="L250" t="b">
        <v>1</v>
      </c>
      <c r="M250" t="b">
        <v>1</v>
      </c>
    </row>
    <row r="251" spans="1:13" hidden="1" x14ac:dyDescent="0.3">
      <c r="A251">
        <v>57</v>
      </c>
      <c r="B251" t="s">
        <v>25</v>
      </c>
      <c r="C251" s="1">
        <v>9</v>
      </c>
      <c r="D251" t="s">
        <v>19</v>
      </c>
      <c r="E251" t="s">
        <v>20</v>
      </c>
      <c r="F251" t="s">
        <v>15</v>
      </c>
      <c r="G251" t="s">
        <v>16</v>
      </c>
      <c r="H251" t="s">
        <v>17</v>
      </c>
      <c r="I251" s="3">
        <v>15507</v>
      </c>
      <c r="J251" s="3" t="str">
        <f>IF(I251&gt;16000, "High", IF(I251&gt;=12000, IF(I251&lt;=15000, "Medium", "High"), "Low"))</f>
        <v>High</v>
      </c>
      <c r="K251" t="b">
        <v>1</v>
      </c>
      <c r="L251" t="b">
        <v>0</v>
      </c>
      <c r="M251" t="b">
        <v>0</v>
      </c>
    </row>
    <row r="252" spans="1:13" hidden="1" x14ac:dyDescent="0.3">
      <c r="A252">
        <v>56</v>
      </c>
      <c r="B252" t="s">
        <v>25</v>
      </c>
      <c r="C252" s="1">
        <v>9</v>
      </c>
      <c r="D252" t="s">
        <v>28</v>
      </c>
      <c r="E252" t="s">
        <v>20</v>
      </c>
      <c r="F252" t="s">
        <v>27</v>
      </c>
      <c r="G252" t="s">
        <v>23</v>
      </c>
      <c r="H252" t="s">
        <v>21</v>
      </c>
      <c r="I252" s="3">
        <v>14235</v>
      </c>
      <c r="J252" s="3" t="str">
        <f>IF(I252&gt;16000, "High", IF(I252&gt;=12000, IF(I252&lt;=15000, "Medium", "High"), "Low"))</f>
        <v>Medium</v>
      </c>
      <c r="K252" t="b">
        <v>1</v>
      </c>
      <c r="L252" t="b">
        <v>0</v>
      </c>
      <c r="M252" t="b">
        <v>1</v>
      </c>
    </row>
    <row r="253" spans="1:13" hidden="1" x14ac:dyDescent="0.3">
      <c r="A253">
        <v>35</v>
      </c>
      <c r="B253" t="s">
        <v>12</v>
      </c>
      <c r="C253" s="1">
        <v>9</v>
      </c>
      <c r="D253" t="s">
        <v>13</v>
      </c>
      <c r="E253" t="s">
        <v>20</v>
      </c>
      <c r="F253" t="s">
        <v>22</v>
      </c>
      <c r="G253" t="s">
        <v>16</v>
      </c>
      <c r="H253" t="s">
        <v>17</v>
      </c>
      <c r="I253" s="3">
        <v>10540</v>
      </c>
      <c r="J253" s="3" t="str">
        <f>IF(I253&gt;16000, "High", IF(I253&gt;=12000, IF(I253&lt;=15000, "Medium", "High"), "Low"))</f>
        <v>Low</v>
      </c>
      <c r="K253" t="b">
        <v>0</v>
      </c>
      <c r="L253" t="b">
        <v>0</v>
      </c>
      <c r="M253" t="b">
        <v>1</v>
      </c>
    </row>
    <row r="254" spans="1:13" hidden="1" x14ac:dyDescent="0.3">
      <c r="A254">
        <v>57</v>
      </c>
      <c r="B254" t="s">
        <v>12</v>
      </c>
      <c r="C254" s="1">
        <v>2</v>
      </c>
      <c r="D254" t="s">
        <v>19</v>
      </c>
      <c r="E254" t="s">
        <v>20</v>
      </c>
      <c r="F254" t="s">
        <v>15</v>
      </c>
      <c r="G254" t="s">
        <v>16</v>
      </c>
      <c r="H254" t="s">
        <v>24</v>
      </c>
      <c r="I254" s="3">
        <v>15510</v>
      </c>
      <c r="J254" s="3" t="str">
        <f>IF(I254&gt;16000, "High", IF(I254&gt;=12000, IF(I254&lt;=15000, "Medium", "High"), "Low"))</f>
        <v>High</v>
      </c>
      <c r="K254" t="b">
        <v>1</v>
      </c>
      <c r="L254" t="b">
        <v>0</v>
      </c>
      <c r="M254" t="b">
        <v>0</v>
      </c>
    </row>
    <row r="255" spans="1:13" hidden="1" x14ac:dyDescent="0.3">
      <c r="A255">
        <v>18</v>
      </c>
      <c r="B255" t="s">
        <v>25</v>
      </c>
      <c r="C255" s="1">
        <v>3</v>
      </c>
      <c r="D255" t="s">
        <v>13</v>
      </c>
      <c r="E255" t="s">
        <v>26</v>
      </c>
      <c r="F255" t="s">
        <v>15</v>
      </c>
      <c r="G255" t="s">
        <v>16</v>
      </c>
      <c r="H255" t="s">
        <v>24</v>
      </c>
      <c r="I255" s="3">
        <v>18461</v>
      </c>
      <c r="J255" s="3" t="str">
        <f>IF(I255&gt;16000, "High", IF(I255&gt;=12000, IF(I255&lt;=15000, "Medium", "High"), "Low"))</f>
        <v>High</v>
      </c>
      <c r="K255" t="b">
        <v>1</v>
      </c>
      <c r="L255" t="b">
        <v>1</v>
      </c>
      <c r="M255" t="b">
        <v>1</v>
      </c>
    </row>
    <row r="256" spans="1:13" hidden="1" x14ac:dyDescent="0.3">
      <c r="A256">
        <v>28</v>
      </c>
      <c r="B256" t="s">
        <v>25</v>
      </c>
      <c r="C256" s="1">
        <v>7</v>
      </c>
      <c r="D256" t="s">
        <v>28</v>
      </c>
      <c r="E256" t="s">
        <v>26</v>
      </c>
      <c r="F256" t="s">
        <v>22</v>
      </c>
      <c r="G256" t="s">
        <v>23</v>
      </c>
      <c r="H256" t="s">
        <v>21</v>
      </c>
      <c r="I256" s="3">
        <v>17926</v>
      </c>
      <c r="J256" s="3" t="str">
        <f>IF(I256&gt;16000, "High", IF(I256&gt;=12000, IF(I256&lt;=15000, "Medium", "High"), "Low"))</f>
        <v>High</v>
      </c>
      <c r="K256" t="b">
        <v>0</v>
      </c>
      <c r="L256" t="b">
        <v>0</v>
      </c>
      <c r="M256" t="b">
        <v>0</v>
      </c>
    </row>
    <row r="257" spans="1:13" hidden="1" x14ac:dyDescent="0.3">
      <c r="A257">
        <v>45</v>
      </c>
      <c r="B257" t="s">
        <v>25</v>
      </c>
      <c r="C257" s="1">
        <v>5</v>
      </c>
      <c r="D257" t="s">
        <v>19</v>
      </c>
      <c r="E257" t="s">
        <v>26</v>
      </c>
      <c r="F257" t="s">
        <v>27</v>
      </c>
      <c r="G257" t="s">
        <v>29</v>
      </c>
      <c r="H257" t="s">
        <v>17</v>
      </c>
      <c r="I257" s="3">
        <v>15131</v>
      </c>
      <c r="J257" s="3" t="str">
        <f>IF(I257&gt;16000, "High", IF(I257&gt;=12000, IF(I257&lt;=15000, "Medium", "High"), "Low"))</f>
        <v>High</v>
      </c>
      <c r="K257" t="b">
        <v>1</v>
      </c>
      <c r="L257" t="b">
        <v>1</v>
      </c>
      <c r="M257" t="b">
        <v>1</v>
      </c>
    </row>
    <row r="258" spans="1:13" hidden="1" x14ac:dyDescent="0.3">
      <c r="A258">
        <v>42</v>
      </c>
      <c r="B258" t="s">
        <v>18</v>
      </c>
      <c r="C258" s="1">
        <v>2</v>
      </c>
      <c r="D258" t="s">
        <v>13</v>
      </c>
      <c r="E258" t="s">
        <v>26</v>
      </c>
      <c r="F258" t="s">
        <v>22</v>
      </c>
      <c r="G258" t="s">
        <v>23</v>
      </c>
      <c r="H258" t="s">
        <v>24</v>
      </c>
      <c r="I258" s="3">
        <v>18697</v>
      </c>
      <c r="J258" s="3" t="str">
        <f>IF(I258&gt;16000, "High", IF(I258&gt;=12000, IF(I258&lt;=15000, "Medium", "High"), "Low"))</f>
        <v>High</v>
      </c>
      <c r="K258" t="b">
        <v>0</v>
      </c>
      <c r="L258" t="b">
        <v>1</v>
      </c>
      <c r="M258" t="b">
        <v>0</v>
      </c>
    </row>
    <row r="259" spans="1:13" hidden="1" x14ac:dyDescent="0.3">
      <c r="A259">
        <v>40</v>
      </c>
      <c r="B259" t="s">
        <v>18</v>
      </c>
      <c r="C259" s="1">
        <v>3</v>
      </c>
      <c r="D259" t="s">
        <v>28</v>
      </c>
      <c r="E259" t="s">
        <v>14</v>
      </c>
      <c r="F259" t="s">
        <v>22</v>
      </c>
      <c r="G259" t="s">
        <v>16</v>
      </c>
      <c r="H259" t="s">
        <v>17</v>
      </c>
      <c r="I259" s="3">
        <v>11129</v>
      </c>
      <c r="J259" s="3" t="str">
        <f>IF(I259&gt;16000, "High", IF(I259&gt;=12000, IF(I259&lt;=15000, "Medium", "High"), "Low"))</f>
        <v>Low</v>
      </c>
      <c r="K259" t="b">
        <v>1</v>
      </c>
      <c r="L259" t="b">
        <v>1</v>
      </c>
      <c r="M259" t="b">
        <v>1</v>
      </c>
    </row>
    <row r="260" spans="1:13" hidden="1" x14ac:dyDescent="0.3">
      <c r="A260">
        <v>48</v>
      </c>
      <c r="B260" t="s">
        <v>25</v>
      </c>
      <c r="C260" s="1">
        <v>6</v>
      </c>
      <c r="D260" t="s">
        <v>13</v>
      </c>
      <c r="E260" t="s">
        <v>26</v>
      </c>
      <c r="F260" t="s">
        <v>22</v>
      </c>
      <c r="G260" t="s">
        <v>16</v>
      </c>
      <c r="H260" t="s">
        <v>17</v>
      </c>
      <c r="I260" s="3">
        <v>13145</v>
      </c>
      <c r="J260" s="3" t="str">
        <f>IF(I260&gt;16000, "High", IF(I260&gt;=12000, IF(I260&lt;=15000, "Medium", "High"), "Low"))</f>
        <v>Medium</v>
      </c>
      <c r="K260" t="b">
        <v>0</v>
      </c>
      <c r="L260" t="b">
        <v>0</v>
      </c>
      <c r="M260" t="b">
        <v>1</v>
      </c>
    </row>
    <row r="261" spans="1:13" hidden="1" x14ac:dyDescent="0.3">
      <c r="A261">
        <v>47</v>
      </c>
      <c r="B261" t="s">
        <v>18</v>
      </c>
      <c r="C261" s="1">
        <v>7</v>
      </c>
      <c r="D261" t="s">
        <v>13</v>
      </c>
      <c r="E261" t="s">
        <v>20</v>
      </c>
      <c r="F261" t="s">
        <v>15</v>
      </c>
      <c r="G261" t="s">
        <v>23</v>
      </c>
      <c r="H261" t="s">
        <v>24</v>
      </c>
      <c r="I261" s="3">
        <v>18553</v>
      </c>
      <c r="J261" s="3" t="str">
        <f>IF(I261&gt;16000, "High", IF(I261&gt;=12000, IF(I261&lt;=15000, "Medium", "High"), "Low"))</f>
        <v>High</v>
      </c>
      <c r="K261" t="b">
        <v>1</v>
      </c>
      <c r="L261" t="b">
        <v>1</v>
      </c>
      <c r="M261" t="b">
        <v>1</v>
      </c>
    </row>
    <row r="262" spans="1:13" hidden="1" x14ac:dyDescent="0.3">
      <c r="A262">
        <v>59</v>
      </c>
      <c r="B262" t="s">
        <v>18</v>
      </c>
      <c r="C262" s="1">
        <v>9</v>
      </c>
      <c r="D262" t="s">
        <v>13</v>
      </c>
      <c r="E262" t="s">
        <v>26</v>
      </c>
      <c r="F262" t="s">
        <v>27</v>
      </c>
      <c r="G262" t="s">
        <v>16</v>
      </c>
      <c r="H262" t="s">
        <v>17</v>
      </c>
      <c r="I262" s="3">
        <v>13720</v>
      </c>
      <c r="J262" s="3" t="str">
        <f>IF(I262&gt;16000, "High", IF(I262&gt;=12000, IF(I262&lt;=15000, "Medium", "High"), "Low"))</f>
        <v>Medium</v>
      </c>
      <c r="K262" t="b">
        <v>1</v>
      </c>
      <c r="L262" t="b">
        <v>0</v>
      </c>
      <c r="M262" t="b">
        <v>0</v>
      </c>
    </row>
    <row r="263" spans="1:13" hidden="1" x14ac:dyDescent="0.3">
      <c r="A263">
        <v>52</v>
      </c>
      <c r="B263" t="s">
        <v>12</v>
      </c>
      <c r="C263" s="1">
        <v>1</v>
      </c>
      <c r="D263" t="s">
        <v>28</v>
      </c>
      <c r="E263" t="s">
        <v>14</v>
      </c>
      <c r="F263" t="s">
        <v>27</v>
      </c>
      <c r="G263" t="s">
        <v>16</v>
      </c>
      <c r="H263" t="s">
        <v>24</v>
      </c>
      <c r="I263" s="3">
        <v>19648</v>
      </c>
      <c r="J263" s="3" t="str">
        <f>IF(I263&gt;16000, "High", IF(I263&gt;=12000, IF(I263&lt;=15000, "Medium", "High"), "Low"))</f>
        <v>High</v>
      </c>
      <c r="K263" t="b">
        <v>1</v>
      </c>
      <c r="L263" t="b">
        <v>0</v>
      </c>
      <c r="M263" t="b">
        <v>0</v>
      </c>
    </row>
    <row r="264" spans="1:13" hidden="1" x14ac:dyDescent="0.3">
      <c r="A264">
        <v>24</v>
      </c>
      <c r="B264" t="s">
        <v>25</v>
      </c>
      <c r="C264" s="1">
        <v>7</v>
      </c>
      <c r="D264" t="s">
        <v>28</v>
      </c>
      <c r="E264" t="s">
        <v>20</v>
      </c>
      <c r="F264" t="s">
        <v>22</v>
      </c>
      <c r="G264" t="s">
        <v>23</v>
      </c>
      <c r="H264" t="s">
        <v>24</v>
      </c>
      <c r="I264" s="3">
        <v>14067</v>
      </c>
      <c r="J264" s="3" t="str">
        <f>IF(I264&gt;16000, "High", IF(I264&gt;=12000, IF(I264&lt;=15000, "Medium", "High"), "Low"))</f>
        <v>Medium</v>
      </c>
      <c r="K264" t="b">
        <v>0</v>
      </c>
      <c r="L264" t="b">
        <v>0</v>
      </c>
      <c r="M264" t="b">
        <v>0</v>
      </c>
    </row>
    <row r="265" spans="1:13" hidden="1" x14ac:dyDescent="0.3">
      <c r="A265">
        <v>33</v>
      </c>
      <c r="B265" t="s">
        <v>25</v>
      </c>
      <c r="C265" s="1">
        <v>8</v>
      </c>
      <c r="D265" t="s">
        <v>13</v>
      </c>
      <c r="E265" t="s">
        <v>26</v>
      </c>
      <c r="F265" t="s">
        <v>15</v>
      </c>
      <c r="G265" t="s">
        <v>23</v>
      </c>
      <c r="H265" t="s">
        <v>24</v>
      </c>
      <c r="I265" s="3">
        <v>14195</v>
      </c>
      <c r="J265" s="3" t="str">
        <f>IF(I265&gt;16000, "High", IF(I265&gt;=12000, IF(I265&lt;=15000, "Medium", "High"), "Low"))</f>
        <v>Medium</v>
      </c>
      <c r="K265" t="b">
        <v>1</v>
      </c>
      <c r="L265" t="b">
        <v>0</v>
      </c>
      <c r="M265" t="b">
        <v>0</v>
      </c>
    </row>
    <row r="266" spans="1:13" x14ac:dyDescent="0.3">
      <c r="A266">
        <v>33</v>
      </c>
      <c r="B266" t="s">
        <v>18</v>
      </c>
      <c r="C266" s="1">
        <v>4</v>
      </c>
      <c r="D266" t="s">
        <v>19</v>
      </c>
      <c r="E266" t="s">
        <v>14</v>
      </c>
      <c r="F266" t="s">
        <v>27</v>
      </c>
      <c r="G266" t="s">
        <v>23</v>
      </c>
      <c r="H266" t="s">
        <v>21</v>
      </c>
      <c r="I266" s="3">
        <v>17964</v>
      </c>
      <c r="J266" s="3" t="str">
        <f>IF(I266&gt;16000, "High", IF(I266&gt;=12000, IF(I266&lt;=15000, "Medium", "High"), "Low"))</f>
        <v>High</v>
      </c>
      <c r="K266" t="b">
        <v>0</v>
      </c>
      <c r="L266" t="b">
        <v>0</v>
      </c>
      <c r="M266" t="b">
        <v>1</v>
      </c>
    </row>
    <row r="267" spans="1:13" hidden="1" x14ac:dyDescent="0.3">
      <c r="A267">
        <v>19</v>
      </c>
      <c r="B267" t="s">
        <v>25</v>
      </c>
      <c r="C267" s="1">
        <v>4</v>
      </c>
      <c r="D267" t="s">
        <v>19</v>
      </c>
      <c r="E267" t="s">
        <v>26</v>
      </c>
      <c r="F267" t="s">
        <v>15</v>
      </c>
      <c r="G267" t="s">
        <v>16</v>
      </c>
      <c r="H267" t="s">
        <v>24</v>
      </c>
      <c r="I267" s="3">
        <v>19244</v>
      </c>
      <c r="J267" s="3" t="str">
        <f>IF(I267&gt;16000, "High", IF(I267&gt;=12000, IF(I267&lt;=15000, "Medium", "High"), "Low"))</f>
        <v>High</v>
      </c>
      <c r="K267" t="b">
        <v>0</v>
      </c>
      <c r="L267" t="b">
        <v>1</v>
      </c>
      <c r="M267" t="b">
        <v>1</v>
      </c>
    </row>
    <row r="268" spans="1:13" hidden="1" x14ac:dyDescent="0.3">
      <c r="A268">
        <v>18</v>
      </c>
      <c r="B268" t="s">
        <v>12</v>
      </c>
      <c r="C268" s="1">
        <v>6</v>
      </c>
      <c r="D268" t="s">
        <v>28</v>
      </c>
      <c r="E268" t="s">
        <v>20</v>
      </c>
      <c r="F268" t="s">
        <v>15</v>
      </c>
      <c r="G268" t="s">
        <v>16</v>
      </c>
      <c r="H268" t="s">
        <v>17</v>
      </c>
      <c r="I268" s="3">
        <v>17281</v>
      </c>
      <c r="J268" s="3" t="str">
        <f>IF(I268&gt;16000, "High", IF(I268&gt;=12000, IF(I268&lt;=15000, "Medium", "High"), "Low"))</f>
        <v>High</v>
      </c>
      <c r="K268" t="b">
        <v>0</v>
      </c>
      <c r="L268" t="b">
        <v>1</v>
      </c>
      <c r="M268" t="b">
        <v>1</v>
      </c>
    </row>
    <row r="269" spans="1:13" hidden="1" x14ac:dyDescent="0.3">
      <c r="A269">
        <v>29</v>
      </c>
      <c r="B269" t="s">
        <v>12</v>
      </c>
      <c r="C269" s="1">
        <v>7</v>
      </c>
      <c r="D269" t="s">
        <v>28</v>
      </c>
      <c r="E269" t="s">
        <v>20</v>
      </c>
      <c r="F269" t="s">
        <v>15</v>
      </c>
      <c r="G269" t="s">
        <v>29</v>
      </c>
      <c r="H269" t="s">
        <v>24</v>
      </c>
      <c r="I269" s="3">
        <v>12509</v>
      </c>
      <c r="J269" s="3" t="str">
        <f>IF(I269&gt;16000, "High", IF(I269&gt;=12000, IF(I269&lt;=15000, "Medium", "High"), "Low"))</f>
        <v>Medium</v>
      </c>
      <c r="K269" t="b">
        <v>1</v>
      </c>
      <c r="L269" t="b">
        <v>0</v>
      </c>
      <c r="M269" t="b">
        <v>1</v>
      </c>
    </row>
    <row r="270" spans="1:13" hidden="1" x14ac:dyDescent="0.3">
      <c r="A270">
        <v>22</v>
      </c>
      <c r="B270" t="s">
        <v>12</v>
      </c>
      <c r="C270" s="1">
        <v>4</v>
      </c>
      <c r="D270" t="s">
        <v>28</v>
      </c>
      <c r="E270" t="s">
        <v>14</v>
      </c>
      <c r="F270" t="s">
        <v>15</v>
      </c>
      <c r="G270" t="s">
        <v>29</v>
      </c>
      <c r="H270" t="s">
        <v>24</v>
      </c>
      <c r="I270" s="3">
        <v>15016</v>
      </c>
      <c r="J270" s="3" t="str">
        <f>IF(I270&gt;16000, "High", IF(I270&gt;=12000, IF(I270&lt;=15000, "Medium", "High"), "Low"))</f>
        <v>High</v>
      </c>
      <c r="K270" t="b">
        <v>1</v>
      </c>
      <c r="L270" t="b">
        <v>1</v>
      </c>
      <c r="M270" t="b">
        <v>1</v>
      </c>
    </row>
    <row r="271" spans="1:13" hidden="1" x14ac:dyDescent="0.3">
      <c r="A271">
        <v>54</v>
      </c>
      <c r="B271" t="s">
        <v>25</v>
      </c>
      <c r="C271" s="1">
        <v>8</v>
      </c>
      <c r="D271" t="s">
        <v>28</v>
      </c>
      <c r="E271" t="s">
        <v>20</v>
      </c>
      <c r="F271" t="s">
        <v>27</v>
      </c>
      <c r="G271" t="s">
        <v>23</v>
      </c>
      <c r="H271" t="s">
        <v>21</v>
      </c>
      <c r="I271" s="3">
        <v>16533</v>
      </c>
      <c r="J271" s="3" t="str">
        <f>IF(I271&gt;16000, "High", IF(I271&gt;=12000, IF(I271&lt;=15000, "Medium", "High"), "Low"))</f>
        <v>High</v>
      </c>
      <c r="K271" t="b">
        <v>1</v>
      </c>
      <c r="L271" t="b">
        <v>0</v>
      </c>
      <c r="M271" t="b">
        <v>1</v>
      </c>
    </row>
    <row r="272" spans="1:13" hidden="1" x14ac:dyDescent="0.3">
      <c r="A272">
        <v>49</v>
      </c>
      <c r="B272" t="s">
        <v>25</v>
      </c>
      <c r="C272" s="1">
        <v>5</v>
      </c>
      <c r="D272" t="s">
        <v>28</v>
      </c>
      <c r="E272" t="s">
        <v>20</v>
      </c>
      <c r="F272" t="s">
        <v>15</v>
      </c>
      <c r="G272" t="s">
        <v>29</v>
      </c>
      <c r="H272" t="s">
        <v>21</v>
      </c>
      <c r="I272" s="3">
        <v>14727</v>
      </c>
      <c r="J272" s="3" t="str">
        <f>IF(I272&gt;16000, "High", IF(I272&gt;=12000, IF(I272&lt;=15000, "Medium", "High"), "Low"))</f>
        <v>Medium</v>
      </c>
      <c r="K272" t="b">
        <v>1</v>
      </c>
      <c r="L272" t="b">
        <v>1</v>
      </c>
      <c r="M272" t="b">
        <v>0</v>
      </c>
    </row>
    <row r="273" spans="1:13" hidden="1" x14ac:dyDescent="0.3">
      <c r="A273">
        <v>26</v>
      </c>
      <c r="B273" t="s">
        <v>25</v>
      </c>
      <c r="C273" s="1">
        <v>1</v>
      </c>
      <c r="D273" t="s">
        <v>19</v>
      </c>
      <c r="E273" t="s">
        <v>26</v>
      </c>
      <c r="F273" t="s">
        <v>15</v>
      </c>
      <c r="G273" t="s">
        <v>16</v>
      </c>
      <c r="H273" t="s">
        <v>21</v>
      </c>
      <c r="I273" s="3">
        <v>10681</v>
      </c>
      <c r="J273" s="3" t="str">
        <f>IF(I273&gt;16000, "High", IF(I273&gt;=12000, IF(I273&lt;=15000, "Medium", "High"), "Low"))</f>
        <v>Low</v>
      </c>
      <c r="K273" t="b">
        <v>0</v>
      </c>
      <c r="L273" t="b">
        <v>1</v>
      </c>
      <c r="M273" t="b">
        <v>1</v>
      </c>
    </row>
    <row r="274" spans="1:13" hidden="1" x14ac:dyDescent="0.3">
      <c r="A274">
        <v>58</v>
      </c>
      <c r="B274" t="s">
        <v>25</v>
      </c>
      <c r="C274" s="1">
        <v>4</v>
      </c>
      <c r="D274" t="s">
        <v>28</v>
      </c>
      <c r="E274" t="s">
        <v>20</v>
      </c>
      <c r="F274" t="s">
        <v>22</v>
      </c>
      <c r="G274" t="s">
        <v>29</v>
      </c>
      <c r="H274" t="s">
        <v>17</v>
      </c>
      <c r="I274" s="3">
        <v>13932</v>
      </c>
      <c r="J274" s="3" t="str">
        <f>IF(I274&gt;16000, "High", IF(I274&gt;=12000, IF(I274&lt;=15000, "Medium", "High"), "Low"))</f>
        <v>Medium</v>
      </c>
      <c r="K274" t="b">
        <v>1</v>
      </c>
      <c r="L274" t="b">
        <v>1</v>
      </c>
      <c r="M274" t="b">
        <v>0</v>
      </c>
    </row>
    <row r="275" spans="1:13" hidden="1" x14ac:dyDescent="0.3">
      <c r="A275">
        <v>52</v>
      </c>
      <c r="B275" t="s">
        <v>25</v>
      </c>
      <c r="C275" s="1">
        <v>3</v>
      </c>
      <c r="D275" t="s">
        <v>13</v>
      </c>
      <c r="E275" t="s">
        <v>26</v>
      </c>
      <c r="F275" t="s">
        <v>22</v>
      </c>
      <c r="G275" t="s">
        <v>16</v>
      </c>
      <c r="H275" t="s">
        <v>17</v>
      </c>
      <c r="I275" s="3">
        <v>15560</v>
      </c>
      <c r="J275" s="3" t="str">
        <f>IF(I275&gt;16000, "High", IF(I275&gt;=12000, IF(I275&lt;=15000, "Medium", "High"), "Low"))</f>
        <v>High</v>
      </c>
      <c r="K275" t="b">
        <v>1</v>
      </c>
      <c r="L275" t="b">
        <v>1</v>
      </c>
      <c r="M275" t="b">
        <v>1</v>
      </c>
    </row>
    <row r="276" spans="1:13" hidden="1" x14ac:dyDescent="0.3">
      <c r="A276">
        <v>36</v>
      </c>
      <c r="B276" t="s">
        <v>12</v>
      </c>
      <c r="C276" s="1">
        <v>9</v>
      </c>
      <c r="D276" t="s">
        <v>13</v>
      </c>
      <c r="E276" t="s">
        <v>26</v>
      </c>
      <c r="F276" t="s">
        <v>27</v>
      </c>
      <c r="G276" t="s">
        <v>23</v>
      </c>
      <c r="H276" t="s">
        <v>24</v>
      </c>
      <c r="I276" s="3">
        <v>14016</v>
      </c>
      <c r="J276" s="3" t="str">
        <f>IF(I276&gt;16000, "High", IF(I276&gt;=12000, IF(I276&lt;=15000, "Medium", "High"), "Low"))</f>
        <v>Medium</v>
      </c>
      <c r="K276" t="b">
        <v>0</v>
      </c>
      <c r="L276" t="b">
        <v>1</v>
      </c>
      <c r="M276" t="b">
        <v>0</v>
      </c>
    </row>
    <row r="277" spans="1:13" x14ac:dyDescent="0.3">
      <c r="A277">
        <v>63</v>
      </c>
      <c r="B277" t="s">
        <v>18</v>
      </c>
      <c r="C277" s="1">
        <v>3</v>
      </c>
      <c r="D277" t="s">
        <v>19</v>
      </c>
      <c r="E277" t="s">
        <v>20</v>
      </c>
      <c r="F277" t="s">
        <v>15</v>
      </c>
      <c r="G277" t="s">
        <v>23</v>
      </c>
      <c r="H277" t="s">
        <v>21</v>
      </c>
      <c r="I277" s="3">
        <v>13690</v>
      </c>
      <c r="J277" s="3" t="str">
        <f>IF(I277&gt;16000, "High", IF(I277&gt;=12000, IF(I277&lt;=15000, "Medium", "High"), "Low"))</f>
        <v>Medium</v>
      </c>
      <c r="K277" t="b">
        <v>1</v>
      </c>
      <c r="L277" t="b">
        <v>1</v>
      </c>
      <c r="M277" t="b">
        <v>0</v>
      </c>
    </row>
    <row r="278" spans="1:13" hidden="1" x14ac:dyDescent="0.3">
      <c r="A278">
        <v>20</v>
      </c>
      <c r="B278" t="s">
        <v>12</v>
      </c>
      <c r="C278" s="1">
        <v>1</v>
      </c>
      <c r="D278" t="s">
        <v>13</v>
      </c>
      <c r="E278" t="s">
        <v>14</v>
      </c>
      <c r="F278" t="s">
        <v>15</v>
      </c>
      <c r="G278" t="s">
        <v>16</v>
      </c>
      <c r="H278" t="s">
        <v>24</v>
      </c>
      <c r="I278" s="3">
        <v>10719</v>
      </c>
      <c r="J278" s="3" t="str">
        <f>IF(I278&gt;16000, "High", IF(I278&gt;=12000, IF(I278&lt;=15000, "Medium", "High"), "Low"))</f>
        <v>Low</v>
      </c>
      <c r="K278" t="b">
        <v>1</v>
      </c>
      <c r="L278" t="b">
        <v>1</v>
      </c>
      <c r="M278" t="b">
        <v>0</v>
      </c>
    </row>
    <row r="279" spans="1:13" hidden="1" x14ac:dyDescent="0.3">
      <c r="A279">
        <v>37</v>
      </c>
      <c r="B279" t="s">
        <v>25</v>
      </c>
      <c r="C279" s="1">
        <v>6</v>
      </c>
      <c r="D279" t="s">
        <v>19</v>
      </c>
      <c r="E279" t="s">
        <v>14</v>
      </c>
      <c r="F279" t="s">
        <v>22</v>
      </c>
      <c r="G279" t="s">
        <v>29</v>
      </c>
      <c r="H279" t="s">
        <v>24</v>
      </c>
      <c r="I279" s="3">
        <v>10074</v>
      </c>
      <c r="J279" s="3" t="str">
        <f>IF(I279&gt;16000, "High", IF(I279&gt;=12000, IF(I279&lt;=15000, "Medium", "High"), "Low"))</f>
        <v>Low</v>
      </c>
      <c r="K279" t="b">
        <v>1</v>
      </c>
      <c r="L279" t="b">
        <v>1</v>
      </c>
      <c r="M279" t="b">
        <v>1</v>
      </c>
    </row>
    <row r="280" spans="1:13" hidden="1" x14ac:dyDescent="0.3">
      <c r="A280">
        <v>41</v>
      </c>
      <c r="B280" t="s">
        <v>12</v>
      </c>
      <c r="C280" s="1">
        <v>9</v>
      </c>
      <c r="D280" t="s">
        <v>19</v>
      </c>
      <c r="E280" t="s">
        <v>20</v>
      </c>
      <c r="F280" t="s">
        <v>27</v>
      </c>
      <c r="G280" t="s">
        <v>23</v>
      </c>
      <c r="H280" t="s">
        <v>17</v>
      </c>
      <c r="I280" s="3">
        <v>19485</v>
      </c>
      <c r="J280" s="3" t="str">
        <f>IF(I280&gt;16000, "High", IF(I280&gt;=12000, IF(I280&lt;=15000, "Medium", "High"), "Low"))</f>
        <v>High</v>
      </c>
      <c r="K280" t="b">
        <v>0</v>
      </c>
      <c r="L280" t="b">
        <v>1</v>
      </c>
      <c r="M280" t="b">
        <v>1</v>
      </c>
    </row>
    <row r="281" spans="1:13" hidden="1" x14ac:dyDescent="0.3">
      <c r="A281">
        <v>50</v>
      </c>
      <c r="B281" t="s">
        <v>25</v>
      </c>
      <c r="C281" s="1">
        <v>7</v>
      </c>
      <c r="D281" t="s">
        <v>13</v>
      </c>
      <c r="E281" t="s">
        <v>14</v>
      </c>
      <c r="F281" t="s">
        <v>22</v>
      </c>
      <c r="G281" t="s">
        <v>23</v>
      </c>
      <c r="H281" t="s">
        <v>24</v>
      </c>
      <c r="I281" s="3">
        <v>14157</v>
      </c>
      <c r="J281" s="3" t="str">
        <f>IF(I281&gt;16000, "High", IF(I281&gt;=12000, IF(I281&lt;=15000, "Medium", "High"), "Low"))</f>
        <v>Medium</v>
      </c>
      <c r="K281" t="b">
        <v>0</v>
      </c>
      <c r="L281" t="b">
        <v>1</v>
      </c>
      <c r="M281" t="b">
        <v>1</v>
      </c>
    </row>
    <row r="282" spans="1:13" hidden="1" x14ac:dyDescent="0.3">
      <c r="A282">
        <v>41</v>
      </c>
      <c r="B282" t="s">
        <v>25</v>
      </c>
      <c r="C282" s="1">
        <v>4</v>
      </c>
      <c r="D282" t="s">
        <v>28</v>
      </c>
      <c r="E282" t="s">
        <v>26</v>
      </c>
      <c r="F282" t="s">
        <v>22</v>
      </c>
      <c r="G282" t="s">
        <v>29</v>
      </c>
      <c r="H282" t="s">
        <v>24</v>
      </c>
      <c r="I282" s="3">
        <v>18511</v>
      </c>
      <c r="J282" s="3" t="str">
        <f>IF(I282&gt;16000, "High", IF(I282&gt;=12000, IF(I282&lt;=15000, "Medium", "High"), "Low"))</f>
        <v>High</v>
      </c>
      <c r="K282" t="b">
        <v>1</v>
      </c>
      <c r="L282" t="b">
        <v>1</v>
      </c>
      <c r="M282" t="b">
        <v>1</v>
      </c>
    </row>
    <row r="283" spans="1:13" hidden="1" x14ac:dyDescent="0.3">
      <c r="A283">
        <v>28</v>
      </c>
      <c r="B283" t="s">
        <v>12</v>
      </c>
      <c r="C283" s="1">
        <v>1</v>
      </c>
      <c r="D283" t="s">
        <v>13</v>
      </c>
      <c r="E283" t="s">
        <v>26</v>
      </c>
      <c r="F283" t="s">
        <v>27</v>
      </c>
      <c r="G283" t="s">
        <v>29</v>
      </c>
      <c r="H283" t="s">
        <v>21</v>
      </c>
      <c r="I283" s="3">
        <v>12149</v>
      </c>
      <c r="J283" s="3" t="str">
        <f>IF(I283&gt;16000, "High", IF(I283&gt;=12000, IF(I283&lt;=15000, "Medium", "High"), "Low"))</f>
        <v>Medium</v>
      </c>
      <c r="K283" t="b">
        <v>1</v>
      </c>
      <c r="L283" t="b">
        <v>1</v>
      </c>
      <c r="M283" t="b">
        <v>0</v>
      </c>
    </row>
    <row r="284" spans="1:13" hidden="1" x14ac:dyDescent="0.3">
      <c r="A284">
        <v>25</v>
      </c>
      <c r="B284" t="s">
        <v>25</v>
      </c>
      <c r="C284" s="1">
        <v>2</v>
      </c>
      <c r="D284" t="s">
        <v>13</v>
      </c>
      <c r="E284" t="s">
        <v>20</v>
      </c>
      <c r="F284" t="s">
        <v>27</v>
      </c>
      <c r="G284" t="s">
        <v>16</v>
      </c>
      <c r="H284" t="s">
        <v>24</v>
      </c>
      <c r="I284" s="3">
        <v>19644</v>
      </c>
      <c r="J284" s="3" t="str">
        <f>IF(I284&gt;16000, "High", IF(I284&gt;=12000, IF(I284&lt;=15000, "Medium", "High"), "Low"))</f>
        <v>High</v>
      </c>
      <c r="K284" t="b">
        <v>0</v>
      </c>
      <c r="L284" t="b">
        <v>1</v>
      </c>
      <c r="M284" t="b">
        <v>0</v>
      </c>
    </row>
    <row r="285" spans="1:13" x14ac:dyDescent="0.3">
      <c r="A285">
        <v>18</v>
      </c>
      <c r="B285" t="s">
        <v>18</v>
      </c>
      <c r="C285" s="1">
        <v>5</v>
      </c>
      <c r="D285" t="s">
        <v>19</v>
      </c>
      <c r="E285" t="s">
        <v>14</v>
      </c>
      <c r="F285" t="s">
        <v>15</v>
      </c>
      <c r="G285" t="s">
        <v>16</v>
      </c>
      <c r="H285" t="s">
        <v>21</v>
      </c>
      <c r="I285" s="3">
        <v>19230</v>
      </c>
      <c r="J285" s="3" t="str">
        <f>IF(I285&gt;16000, "High", IF(I285&gt;=12000, IF(I285&lt;=15000, "Medium", "High"), "Low"))</f>
        <v>High</v>
      </c>
      <c r="K285" t="b">
        <v>1</v>
      </c>
      <c r="L285" t="b">
        <v>1</v>
      </c>
      <c r="M285" t="b">
        <v>1</v>
      </c>
    </row>
    <row r="286" spans="1:13" hidden="1" x14ac:dyDescent="0.3">
      <c r="A286">
        <v>55</v>
      </c>
      <c r="B286" t="s">
        <v>25</v>
      </c>
      <c r="C286" s="1">
        <v>5</v>
      </c>
      <c r="D286" t="s">
        <v>13</v>
      </c>
      <c r="E286" t="s">
        <v>14</v>
      </c>
      <c r="F286" t="s">
        <v>22</v>
      </c>
      <c r="G286" t="s">
        <v>29</v>
      </c>
      <c r="H286" t="s">
        <v>24</v>
      </c>
      <c r="I286" s="3">
        <v>16713</v>
      </c>
      <c r="J286" s="3" t="str">
        <f>IF(I286&gt;16000, "High", IF(I286&gt;=12000, IF(I286&lt;=15000, "Medium", "High"), "Low"))</f>
        <v>High</v>
      </c>
      <c r="K286" t="b">
        <v>1</v>
      </c>
      <c r="L286" t="b">
        <v>1</v>
      </c>
      <c r="M286" t="b">
        <v>0</v>
      </c>
    </row>
    <row r="287" spans="1:13" x14ac:dyDescent="0.3">
      <c r="A287">
        <v>56</v>
      </c>
      <c r="B287" t="s">
        <v>18</v>
      </c>
      <c r="C287" s="1">
        <v>2</v>
      </c>
      <c r="D287" t="s">
        <v>19</v>
      </c>
      <c r="E287" t="s">
        <v>20</v>
      </c>
      <c r="F287" t="s">
        <v>22</v>
      </c>
      <c r="G287" t="s">
        <v>23</v>
      </c>
      <c r="H287" t="s">
        <v>21</v>
      </c>
      <c r="I287" s="3">
        <v>15599</v>
      </c>
      <c r="J287" s="3" t="str">
        <f>IF(I287&gt;16000, "High", IF(I287&gt;=12000, IF(I287&lt;=15000, "Medium", "High"), "Low"))</f>
        <v>High</v>
      </c>
      <c r="K287" t="b">
        <v>1</v>
      </c>
      <c r="L287" t="b">
        <v>1</v>
      </c>
      <c r="M287" t="b">
        <v>1</v>
      </c>
    </row>
    <row r="288" spans="1:13" hidden="1" x14ac:dyDescent="0.3">
      <c r="A288">
        <v>37</v>
      </c>
      <c r="B288" t="s">
        <v>18</v>
      </c>
      <c r="C288" s="1">
        <v>6</v>
      </c>
      <c r="D288" t="s">
        <v>28</v>
      </c>
      <c r="E288" t="s">
        <v>20</v>
      </c>
      <c r="F288" t="s">
        <v>22</v>
      </c>
      <c r="G288" t="s">
        <v>16</v>
      </c>
      <c r="H288" t="s">
        <v>21</v>
      </c>
      <c r="I288" s="3">
        <v>17141</v>
      </c>
      <c r="J288" s="3" t="str">
        <f>IF(I288&gt;16000, "High", IF(I288&gt;=12000, IF(I288&lt;=15000, "Medium", "High"), "Low"))</f>
        <v>High</v>
      </c>
      <c r="K288" t="b">
        <v>0</v>
      </c>
      <c r="L288" t="b">
        <v>1</v>
      </c>
      <c r="M288" t="b">
        <v>0</v>
      </c>
    </row>
    <row r="289" spans="1:13" hidden="1" x14ac:dyDescent="0.3">
      <c r="A289">
        <v>52</v>
      </c>
      <c r="B289" t="s">
        <v>25</v>
      </c>
      <c r="C289" s="1">
        <v>8</v>
      </c>
      <c r="D289" t="s">
        <v>28</v>
      </c>
      <c r="E289" t="s">
        <v>14</v>
      </c>
      <c r="F289" t="s">
        <v>22</v>
      </c>
      <c r="G289" t="s">
        <v>16</v>
      </c>
      <c r="H289" t="s">
        <v>24</v>
      </c>
      <c r="I289" s="3">
        <v>18652</v>
      </c>
      <c r="J289" s="3" t="str">
        <f>IF(I289&gt;16000, "High", IF(I289&gt;=12000, IF(I289&lt;=15000, "Medium", "High"), "Low"))</f>
        <v>High</v>
      </c>
      <c r="K289" t="b">
        <v>0</v>
      </c>
      <c r="L289" t="b">
        <v>1</v>
      </c>
      <c r="M289" t="b">
        <v>1</v>
      </c>
    </row>
    <row r="290" spans="1:13" hidden="1" x14ac:dyDescent="0.3">
      <c r="A290">
        <v>42</v>
      </c>
      <c r="B290" t="s">
        <v>12</v>
      </c>
      <c r="C290" s="1">
        <v>2</v>
      </c>
      <c r="D290" t="s">
        <v>28</v>
      </c>
      <c r="E290" t="s">
        <v>20</v>
      </c>
      <c r="F290" t="s">
        <v>15</v>
      </c>
      <c r="G290" t="s">
        <v>23</v>
      </c>
      <c r="H290" t="s">
        <v>24</v>
      </c>
      <c r="I290" s="3">
        <v>19078</v>
      </c>
      <c r="J290" s="3" t="str">
        <f>IF(I290&gt;16000, "High", IF(I290&gt;=12000, IF(I290&lt;=15000, "Medium", "High"), "Low"))</f>
        <v>High</v>
      </c>
      <c r="K290" t="b">
        <v>1</v>
      </c>
      <c r="L290" t="b">
        <v>1</v>
      </c>
      <c r="M290" t="b">
        <v>0</v>
      </c>
    </row>
    <row r="291" spans="1:13" hidden="1" x14ac:dyDescent="0.3">
      <c r="A291">
        <v>52</v>
      </c>
      <c r="B291" t="s">
        <v>18</v>
      </c>
      <c r="C291" s="1">
        <v>3</v>
      </c>
      <c r="D291" t="s">
        <v>13</v>
      </c>
      <c r="E291" t="s">
        <v>14</v>
      </c>
      <c r="F291" t="s">
        <v>22</v>
      </c>
      <c r="G291" t="s">
        <v>16</v>
      </c>
      <c r="H291" t="s">
        <v>21</v>
      </c>
      <c r="I291" s="3">
        <v>13936</v>
      </c>
      <c r="J291" s="3" t="str">
        <f>IF(I291&gt;16000, "High", IF(I291&gt;=12000, IF(I291&lt;=15000, "Medium", "High"), "Low"))</f>
        <v>Medium</v>
      </c>
      <c r="K291" t="b">
        <v>1</v>
      </c>
      <c r="L291" t="b">
        <v>1</v>
      </c>
      <c r="M291" t="b">
        <v>0</v>
      </c>
    </row>
    <row r="292" spans="1:13" hidden="1" x14ac:dyDescent="0.3">
      <c r="A292">
        <v>42</v>
      </c>
      <c r="B292" t="s">
        <v>12</v>
      </c>
      <c r="C292" s="1">
        <v>6</v>
      </c>
      <c r="D292" t="s">
        <v>19</v>
      </c>
      <c r="E292" t="s">
        <v>26</v>
      </c>
      <c r="F292" t="s">
        <v>22</v>
      </c>
      <c r="G292" t="s">
        <v>23</v>
      </c>
      <c r="H292" t="s">
        <v>24</v>
      </c>
      <c r="I292" s="3">
        <v>19307</v>
      </c>
      <c r="J292" s="3" t="str">
        <f>IF(I292&gt;16000, "High", IF(I292&gt;=12000, IF(I292&lt;=15000, "Medium", "High"), "Low"))</f>
        <v>High</v>
      </c>
      <c r="K292" t="b">
        <v>1</v>
      </c>
      <c r="L292" t="b">
        <v>0</v>
      </c>
      <c r="M292" t="b">
        <v>0</v>
      </c>
    </row>
    <row r="293" spans="1:13" hidden="1" x14ac:dyDescent="0.3">
      <c r="A293">
        <v>46</v>
      </c>
      <c r="B293" t="s">
        <v>18</v>
      </c>
      <c r="C293" s="1">
        <v>3</v>
      </c>
      <c r="D293" t="s">
        <v>28</v>
      </c>
      <c r="E293" t="s">
        <v>26</v>
      </c>
      <c r="F293" t="s">
        <v>22</v>
      </c>
      <c r="G293" t="s">
        <v>29</v>
      </c>
      <c r="H293" t="s">
        <v>17</v>
      </c>
      <c r="I293" s="3">
        <v>11075</v>
      </c>
      <c r="J293" s="3" t="str">
        <f>IF(I293&gt;16000, "High", IF(I293&gt;=12000, IF(I293&lt;=15000, "Medium", "High"), "Low"))</f>
        <v>Low</v>
      </c>
      <c r="K293" t="b">
        <v>1</v>
      </c>
      <c r="L293" t="b">
        <v>0</v>
      </c>
      <c r="M293" t="b">
        <v>1</v>
      </c>
    </row>
    <row r="294" spans="1:13" hidden="1" x14ac:dyDescent="0.3">
      <c r="A294">
        <v>35</v>
      </c>
      <c r="B294" t="s">
        <v>25</v>
      </c>
      <c r="C294" s="1">
        <v>6</v>
      </c>
      <c r="D294" t="s">
        <v>19</v>
      </c>
      <c r="E294" t="s">
        <v>20</v>
      </c>
      <c r="F294" t="s">
        <v>27</v>
      </c>
      <c r="G294" t="s">
        <v>23</v>
      </c>
      <c r="H294" t="s">
        <v>24</v>
      </c>
      <c r="I294" s="3">
        <v>13876</v>
      </c>
      <c r="J294" s="3" t="str">
        <f>IF(I294&gt;16000, "High", IF(I294&gt;=12000, IF(I294&lt;=15000, "Medium", "High"), "Low"))</f>
        <v>Medium</v>
      </c>
      <c r="K294" t="b">
        <v>0</v>
      </c>
      <c r="L294" t="b">
        <v>0</v>
      </c>
      <c r="M294" t="b">
        <v>1</v>
      </c>
    </row>
    <row r="295" spans="1:13" hidden="1" x14ac:dyDescent="0.3">
      <c r="A295">
        <v>63</v>
      </c>
      <c r="B295" t="s">
        <v>25</v>
      </c>
      <c r="C295" s="1">
        <v>6</v>
      </c>
      <c r="D295" t="s">
        <v>19</v>
      </c>
      <c r="E295" t="s">
        <v>26</v>
      </c>
      <c r="F295" t="s">
        <v>15</v>
      </c>
      <c r="G295" t="s">
        <v>23</v>
      </c>
      <c r="H295" t="s">
        <v>17</v>
      </c>
      <c r="I295" s="3">
        <v>14615</v>
      </c>
      <c r="J295" s="3" t="str">
        <f>IF(I295&gt;16000, "High", IF(I295&gt;=12000, IF(I295&lt;=15000, "Medium", "High"), "Low"))</f>
        <v>Medium</v>
      </c>
      <c r="K295" t="b">
        <v>1</v>
      </c>
      <c r="L295" t="b">
        <v>1</v>
      </c>
      <c r="M295" t="b">
        <v>0</v>
      </c>
    </row>
    <row r="296" spans="1:13" hidden="1" x14ac:dyDescent="0.3">
      <c r="A296">
        <v>35</v>
      </c>
      <c r="B296" t="s">
        <v>18</v>
      </c>
      <c r="C296" s="1">
        <v>2</v>
      </c>
      <c r="D296" t="s">
        <v>28</v>
      </c>
      <c r="E296" t="s">
        <v>14</v>
      </c>
      <c r="F296" t="s">
        <v>27</v>
      </c>
      <c r="G296" t="s">
        <v>29</v>
      </c>
      <c r="H296" t="s">
        <v>17</v>
      </c>
      <c r="I296" s="3">
        <v>17265</v>
      </c>
      <c r="J296" s="3" t="str">
        <f>IF(I296&gt;16000, "High", IF(I296&gt;=12000, IF(I296&lt;=15000, "Medium", "High"), "Low"))</f>
        <v>High</v>
      </c>
      <c r="K296" t="b">
        <v>1</v>
      </c>
      <c r="L296" t="b">
        <v>1</v>
      </c>
      <c r="M296" t="b">
        <v>0</v>
      </c>
    </row>
    <row r="297" spans="1:13" hidden="1" x14ac:dyDescent="0.3">
      <c r="A297">
        <v>19</v>
      </c>
      <c r="B297" t="s">
        <v>25</v>
      </c>
      <c r="C297" s="1">
        <v>7</v>
      </c>
      <c r="D297" t="s">
        <v>28</v>
      </c>
      <c r="E297" t="s">
        <v>26</v>
      </c>
      <c r="F297" t="s">
        <v>15</v>
      </c>
      <c r="G297" t="s">
        <v>23</v>
      </c>
      <c r="H297" t="s">
        <v>24</v>
      </c>
      <c r="I297" s="3">
        <v>16379</v>
      </c>
      <c r="J297" s="3" t="str">
        <f>IF(I297&gt;16000, "High", IF(I297&gt;=12000, IF(I297&lt;=15000, "Medium", "High"), "Low"))</f>
        <v>High</v>
      </c>
      <c r="K297" t="b">
        <v>0</v>
      </c>
      <c r="L297" t="b">
        <v>1</v>
      </c>
      <c r="M297" t="b">
        <v>0</v>
      </c>
    </row>
    <row r="298" spans="1:13" x14ac:dyDescent="0.3">
      <c r="A298">
        <v>47</v>
      </c>
      <c r="B298" t="s">
        <v>18</v>
      </c>
      <c r="C298" s="1">
        <v>9</v>
      </c>
      <c r="D298" t="s">
        <v>19</v>
      </c>
      <c r="E298" t="s">
        <v>26</v>
      </c>
      <c r="F298" t="s">
        <v>15</v>
      </c>
      <c r="G298" t="s">
        <v>23</v>
      </c>
      <c r="H298" t="s">
        <v>21</v>
      </c>
      <c r="I298" s="3">
        <v>17450</v>
      </c>
      <c r="J298" s="3" t="str">
        <f>IF(I298&gt;16000, "High", IF(I298&gt;=12000, IF(I298&lt;=15000, "Medium", "High"), "Low"))</f>
        <v>High</v>
      </c>
      <c r="K298" t="b">
        <v>1</v>
      </c>
      <c r="L298" t="b">
        <v>0</v>
      </c>
      <c r="M298" t="b">
        <v>1</v>
      </c>
    </row>
    <row r="299" spans="1:13" hidden="1" x14ac:dyDescent="0.3">
      <c r="A299">
        <v>33</v>
      </c>
      <c r="B299" t="s">
        <v>25</v>
      </c>
      <c r="C299" s="1">
        <v>6</v>
      </c>
      <c r="D299" t="s">
        <v>28</v>
      </c>
      <c r="E299" t="s">
        <v>20</v>
      </c>
      <c r="F299" t="s">
        <v>22</v>
      </c>
      <c r="G299" t="s">
        <v>16</v>
      </c>
      <c r="H299" t="s">
        <v>17</v>
      </c>
      <c r="I299" s="3">
        <v>14652</v>
      </c>
      <c r="J299" s="3" t="str">
        <f>IF(I299&gt;16000, "High", IF(I299&gt;=12000, IF(I299&lt;=15000, "Medium", "High"), "Low"))</f>
        <v>Medium</v>
      </c>
      <c r="K299" t="b">
        <v>1</v>
      </c>
      <c r="L299" t="b">
        <v>1</v>
      </c>
      <c r="M299" t="b">
        <v>1</v>
      </c>
    </row>
    <row r="300" spans="1:13" hidden="1" x14ac:dyDescent="0.3">
      <c r="A300">
        <v>58</v>
      </c>
      <c r="B300" t="s">
        <v>12</v>
      </c>
      <c r="C300" s="1">
        <v>1</v>
      </c>
      <c r="D300" t="s">
        <v>19</v>
      </c>
      <c r="E300" t="s">
        <v>20</v>
      </c>
      <c r="F300" t="s">
        <v>15</v>
      </c>
      <c r="G300" t="s">
        <v>16</v>
      </c>
      <c r="H300" t="s">
        <v>21</v>
      </c>
      <c r="I300" s="3">
        <v>16792</v>
      </c>
      <c r="J300" s="3" t="str">
        <f>IF(I300&gt;16000, "High", IF(I300&gt;=12000, IF(I300&lt;=15000, "Medium", "High"), "Low"))</f>
        <v>High</v>
      </c>
      <c r="K300" t="b">
        <v>0</v>
      </c>
      <c r="L300" t="b">
        <v>1</v>
      </c>
      <c r="M300" t="b">
        <v>1</v>
      </c>
    </row>
    <row r="301" spans="1:13" hidden="1" x14ac:dyDescent="0.3">
      <c r="A301">
        <v>53</v>
      </c>
      <c r="B301" t="s">
        <v>25</v>
      </c>
      <c r="C301" s="1">
        <v>3</v>
      </c>
      <c r="D301" t="s">
        <v>19</v>
      </c>
      <c r="E301" t="s">
        <v>14</v>
      </c>
      <c r="F301" t="s">
        <v>27</v>
      </c>
      <c r="G301" t="s">
        <v>16</v>
      </c>
      <c r="H301" t="s">
        <v>24</v>
      </c>
      <c r="I301" s="3">
        <v>19247</v>
      </c>
      <c r="J301" s="3" t="str">
        <f>IF(I301&gt;16000, "High", IF(I301&gt;=12000, IF(I301&lt;=15000, "Medium", "High"), "Low"))</f>
        <v>High</v>
      </c>
      <c r="K301" t="b">
        <v>0</v>
      </c>
      <c r="L301" t="b">
        <v>0</v>
      </c>
      <c r="M301" t="b">
        <v>0</v>
      </c>
    </row>
    <row r="302" spans="1:13" hidden="1" x14ac:dyDescent="0.3">
      <c r="A302">
        <v>50</v>
      </c>
      <c r="B302" t="s">
        <v>12</v>
      </c>
      <c r="C302" s="1">
        <v>2</v>
      </c>
      <c r="D302" t="s">
        <v>28</v>
      </c>
      <c r="E302" t="s">
        <v>14</v>
      </c>
      <c r="F302" t="s">
        <v>27</v>
      </c>
      <c r="G302" t="s">
        <v>23</v>
      </c>
      <c r="H302" t="s">
        <v>17</v>
      </c>
      <c r="I302" s="3">
        <v>17456</v>
      </c>
      <c r="J302" s="3" t="str">
        <f>IF(I302&gt;16000, "High", IF(I302&gt;=12000, IF(I302&lt;=15000, "Medium", "High"), "Low"))</f>
        <v>High</v>
      </c>
      <c r="K302" t="b">
        <v>1</v>
      </c>
      <c r="L302" t="b">
        <v>0</v>
      </c>
      <c r="M302" t="b">
        <v>1</v>
      </c>
    </row>
    <row r="303" spans="1:13" hidden="1" x14ac:dyDescent="0.3">
      <c r="A303">
        <v>21</v>
      </c>
      <c r="B303" t="s">
        <v>25</v>
      </c>
      <c r="C303" s="1">
        <v>7</v>
      </c>
      <c r="D303" t="s">
        <v>13</v>
      </c>
      <c r="E303" t="s">
        <v>14</v>
      </c>
      <c r="F303" t="s">
        <v>27</v>
      </c>
      <c r="G303" t="s">
        <v>23</v>
      </c>
      <c r="H303" t="s">
        <v>24</v>
      </c>
      <c r="I303" s="3">
        <v>14674</v>
      </c>
      <c r="J303" s="3" t="str">
        <f>IF(I303&gt;16000, "High", IF(I303&gt;=12000, IF(I303&lt;=15000, "Medium", "High"), "Low"))</f>
        <v>Medium</v>
      </c>
      <c r="K303" t="b">
        <v>1</v>
      </c>
      <c r="L303" t="b">
        <v>1</v>
      </c>
      <c r="M303" t="b">
        <v>0</v>
      </c>
    </row>
    <row r="304" spans="1:13" hidden="1" x14ac:dyDescent="0.3">
      <c r="A304">
        <v>50</v>
      </c>
      <c r="B304" t="s">
        <v>12</v>
      </c>
      <c r="C304" s="1">
        <v>4</v>
      </c>
      <c r="D304" t="s">
        <v>28</v>
      </c>
      <c r="E304" t="s">
        <v>14</v>
      </c>
      <c r="F304" t="s">
        <v>15</v>
      </c>
      <c r="G304" t="s">
        <v>29</v>
      </c>
      <c r="H304" t="s">
        <v>21</v>
      </c>
      <c r="I304" s="3">
        <v>10541</v>
      </c>
      <c r="J304" s="3" t="str">
        <f>IF(I304&gt;16000, "High", IF(I304&gt;=12000, IF(I304&lt;=15000, "Medium", "High"), "Low"))</f>
        <v>Low</v>
      </c>
      <c r="K304" t="b">
        <v>1</v>
      </c>
      <c r="L304" t="b">
        <v>1</v>
      </c>
      <c r="M304" t="b">
        <v>1</v>
      </c>
    </row>
    <row r="305" spans="1:13" hidden="1" x14ac:dyDescent="0.3">
      <c r="A305">
        <v>31</v>
      </c>
      <c r="B305" t="s">
        <v>25</v>
      </c>
      <c r="C305" s="1">
        <v>8</v>
      </c>
      <c r="D305" t="s">
        <v>13</v>
      </c>
      <c r="E305" t="s">
        <v>14</v>
      </c>
      <c r="F305" t="s">
        <v>27</v>
      </c>
      <c r="G305" t="s">
        <v>23</v>
      </c>
      <c r="H305" t="s">
        <v>24</v>
      </c>
      <c r="I305" s="3">
        <v>12161</v>
      </c>
      <c r="J305" s="3" t="str">
        <f>IF(I305&gt;16000, "High", IF(I305&gt;=12000, IF(I305&lt;=15000, "Medium", "High"), "Low"))</f>
        <v>Medium</v>
      </c>
      <c r="K305" t="b">
        <v>1</v>
      </c>
      <c r="L305" t="b">
        <v>1</v>
      </c>
      <c r="M305" t="b">
        <v>0</v>
      </c>
    </row>
    <row r="306" spans="1:13" hidden="1" x14ac:dyDescent="0.3">
      <c r="A306">
        <v>38</v>
      </c>
      <c r="B306" t="s">
        <v>12</v>
      </c>
      <c r="C306" s="1">
        <v>6</v>
      </c>
      <c r="D306" t="s">
        <v>19</v>
      </c>
      <c r="E306" t="s">
        <v>26</v>
      </c>
      <c r="F306" t="s">
        <v>15</v>
      </c>
      <c r="G306" t="s">
        <v>23</v>
      </c>
      <c r="H306" t="s">
        <v>24</v>
      </c>
      <c r="I306" s="3">
        <v>12251</v>
      </c>
      <c r="J306" s="3" t="str">
        <f>IF(I306&gt;16000, "High", IF(I306&gt;=12000, IF(I306&lt;=15000, "Medium", "High"), "Low"))</f>
        <v>Medium</v>
      </c>
      <c r="K306" t="b">
        <v>0</v>
      </c>
      <c r="L306" t="b">
        <v>1</v>
      </c>
      <c r="M306" t="b">
        <v>0</v>
      </c>
    </row>
    <row r="307" spans="1:13" x14ac:dyDescent="0.3">
      <c r="A307">
        <v>51</v>
      </c>
      <c r="B307" t="s">
        <v>18</v>
      </c>
      <c r="C307" s="1">
        <v>8</v>
      </c>
      <c r="D307" t="s">
        <v>19</v>
      </c>
      <c r="E307" t="s">
        <v>14</v>
      </c>
      <c r="F307" t="s">
        <v>15</v>
      </c>
      <c r="G307" t="s">
        <v>23</v>
      </c>
      <c r="H307" t="s">
        <v>21</v>
      </c>
      <c r="I307" s="3">
        <v>14381</v>
      </c>
      <c r="J307" s="3" t="str">
        <f>IF(I307&gt;16000, "High", IF(I307&gt;=12000, IF(I307&lt;=15000, "Medium", "High"), "Low"))</f>
        <v>Medium</v>
      </c>
      <c r="K307" t="b">
        <v>1</v>
      </c>
      <c r="L307" t="b">
        <v>0</v>
      </c>
      <c r="M307" t="b">
        <v>0</v>
      </c>
    </row>
    <row r="308" spans="1:13" hidden="1" x14ac:dyDescent="0.3">
      <c r="A308">
        <v>25</v>
      </c>
      <c r="B308" t="s">
        <v>18</v>
      </c>
      <c r="C308" s="1">
        <v>5</v>
      </c>
      <c r="D308" t="s">
        <v>13</v>
      </c>
      <c r="E308" t="s">
        <v>14</v>
      </c>
      <c r="F308" t="s">
        <v>27</v>
      </c>
      <c r="G308" t="s">
        <v>29</v>
      </c>
      <c r="H308" t="s">
        <v>24</v>
      </c>
      <c r="I308" s="3">
        <v>14569</v>
      </c>
      <c r="J308" s="3" t="str">
        <f>IF(I308&gt;16000, "High", IF(I308&gt;=12000, IF(I308&lt;=15000, "Medium", "High"), "Low"))</f>
        <v>Medium</v>
      </c>
      <c r="K308" t="b">
        <v>1</v>
      </c>
      <c r="L308" t="b">
        <v>1</v>
      </c>
      <c r="M308" t="b">
        <v>0</v>
      </c>
    </row>
    <row r="309" spans="1:13" hidden="1" x14ac:dyDescent="0.3">
      <c r="A309">
        <v>24</v>
      </c>
      <c r="B309" t="s">
        <v>12</v>
      </c>
      <c r="C309" s="1">
        <v>9</v>
      </c>
      <c r="D309" t="s">
        <v>19</v>
      </c>
      <c r="E309" t="s">
        <v>26</v>
      </c>
      <c r="F309" t="s">
        <v>15</v>
      </c>
      <c r="G309" t="s">
        <v>16</v>
      </c>
      <c r="H309" t="s">
        <v>24</v>
      </c>
      <c r="I309" s="3">
        <v>12744</v>
      </c>
      <c r="J309" s="3" t="str">
        <f>IF(I309&gt;16000, "High", IF(I309&gt;=12000, IF(I309&lt;=15000, "Medium", "High"), "Low"))</f>
        <v>Medium</v>
      </c>
      <c r="K309" t="b">
        <v>1</v>
      </c>
      <c r="L309" t="b">
        <v>1</v>
      </c>
      <c r="M309" t="b">
        <v>0</v>
      </c>
    </row>
    <row r="310" spans="1:13" hidden="1" x14ac:dyDescent="0.3">
      <c r="A310">
        <v>20</v>
      </c>
      <c r="B310" t="s">
        <v>25</v>
      </c>
      <c r="C310" s="1">
        <v>7</v>
      </c>
      <c r="D310" t="s">
        <v>13</v>
      </c>
      <c r="E310" t="s">
        <v>14</v>
      </c>
      <c r="F310" t="s">
        <v>27</v>
      </c>
      <c r="G310" t="s">
        <v>23</v>
      </c>
      <c r="H310" t="s">
        <v>24</v>
      </c>
      <c r="I310" s="3">
        <v>16041</v>
      </c>
      <c r="J310" s="3" t="str">
        <f>IF(I310&gt;16000, "High", IF(I310&gt;=12000, IF(I310&lt;=15000, "Medium", "High"), "Low"))</f>
        <v>High</v>
      </c>
      <c r="K310" t="b">
        <v>0</v>
      </c>
      <c r="L310" t="b">
        <v>0</v>
      </c>
      <c r="M310" t="b">
        <v>0</v>
      </c>
    </row>
    <row r="311" spans="1:13" hidden="1" x14ac:dyDescent="0.3">
      <c r="A311">
        <v>34</v>
      </c>
      <c r="B311" t="s">
        <v>12</v>
      </c>
      <c r="C311" s="1">
        <v>9</v>
      </c>
      <c r="D311" t="s">
        <v>13</v>
      </c>
      <c r="E311" t="s">
        <v>20</v>
      </c>
      <c r="F311" t="s">
        <v>22</v>
      </c>
      <c r="G311" t="s">
        <v>29</v>
      </c>
      <c r="H311" t="s">
        <v>17</v>
      </c>
      <c r="I311" s="3">
        <v>14675</v>
      </c>
      <c r="J311" s="3" t="str">
        <f>IF(I311&gt;16000, "High", IF(I311&gt;=12000, IF(I311&lt;=15000, "Medium", "High"), "Low"))</f>
        <v>Medium</v>
      </c>
      <c r="K311" t="b">
        <v>1</v>
      </c>
      <c r="L311" t="b">
        <v>1</v>
      </c>
      <c r="M311" t="b">
        <v>1</v>
      </c>
    </row>
    <row r="312" spans="1:13" hidden="1" x14ac:dyDescent="0.3">
      <c r="A312">
        <v>50</v>
      </c>
      <c r="B312" t="s">
        <v>25</v>
      </c>
      <c r="C312" s="1">
        <v>7</v>
      </c>
      <c r="D312" t="s">
        <v>19</v>
      </c>
      <c r="E312" t="s">
        <v>14</v>
      </c>
      <c r="F312" t="s">
        <v>15</v>
      </c>
      <c r="G312" t="s">
        <v>29</v>
      </c>
      <c r="H312" t="s">
        <v>21</v>
      </c>
      <c r="I312" s="3">
        <v>11560</v>
      </c>
      <c r="J312" s="3" t="str">
        <f>IF(I312&gt;16000, "High", IF(I312&gt;=12000, IF(I312&lt;=15000, "Medium", "High"), "Low"))</f>
        <v>Low</v>
      </c>
      <c r="K312" t="b">
        <v>1</v>
      </c>
      <c r="L312" t="b">
        <v>1</v>
      </c>
      <c r="M312" t="b">
        <v>0</v>
      </c>
    </row>
    <row r="313" spans="1:13" hidden="1" x14ac:dyDescent="0.3">
      <c r="A313">
        <v>29</v>
      </c>
      <c r="B313" t="s">
        <v>18</v>
      </c>
      <c r="C313" s="1">
        <v>1</v>
      </c>
      <c r="D313" t="s">
        <v>13</v>
      </c>
      <c r="E313" t="s">
        <v>14</v>
      </c>
      <c r="F313" t="s">
        <v>15</v>
      </c>
      <c r="G313" t="s">
        <v>29</v>
      </c>
      <c r="H313" t="s">
        <v>21</v>
      </c>
      <c r="I313" s="3">
        <v>11164</v>
      </c>
      <c r="J313" s="3" t="str">
        <f>IF(I313&gt;16000, "High", IF(I313&gt;=12000, IF(I313&lt;=15000, "Medium", "High"), "Low"))</f>
        <v>Low</v>
      </c>
      <c r="K313" t="b">
        <v>1</v>
      </c>
      <c r="L313" t="b">
        <v>0</v>
      </c>
      <c r="M313" t="b">
        <v>1</v>
      </c>
    </row>
    <row r="314" spans="1:13" hidden="1" x14ac:dyDescent="0.3">
      <c r="A314">
        <v>39</v>
      </c>
      <c r="B314" t="s">
        <v>25</v>
      </c>
      <c r="C314" s="1">
        <v>8</v>
      </c>
      <c r="D314" t="s">
        <v>28</v>
      </c>
      <c r="E314" t="s">
        <v>20</v>
      </c>
      <c r="F314" t="s">
        <v>15</v>
      </c>
      <c r="G314" t="s">
        <v>16</v>
      </c>
      <c r="H314" t="s">
        <v>24</v>
      </c>
      <c r="I314" s="3">
        <v>15419</v>
      </c>
      <c r="J314" s="3" t="str">
        <f>IF(I314&gt;16000, "High", IF(I314&gt;=12000, IF(I314&lt;=15000, "Medium", "High"), "Low"))</f>
        <v>High</v>
      </c>
      <c r="K314" t="b">
        <v>1</v>
      </c>
      <c r="L314" t="b">
        <v>0</v>
      </c>
      <c r="M314" t="b">
        <v>1</v>
      </c>
    </row>
    <row r="315" spans="1:13" hidden="1" x14ac:dyDescent="0.3">
      <c r="A315">
        <v>39</v>
      </c>
      <c r="B315" t="s">
        <v>18</v>
      </c>
      <c r="C315" s="1">
        <v>4</v>
      </c>
      <c r="D315" t="s">
        <v>28</v>
      </c>
      <c r="E315" t="s">
        <v>20</v>
      </c>
      <c r="F315" t="s">
        <v>22</v>
      </c>
      <c r="G315" t="s">
        <v>23</v>
      </c>
      <c r="H315" t="s">
        <v>17</v>
      </c>
      <c r="I315" s="3">
        <v>12722</v>
      </c>
      <c r="J315" s="3" t="str">
        <f>IF(I315&gt;16000, "High", IF(I315&gt;=12000, IF(I315&lt;=15000, "Medium", "High"), "Low"))</f>
        <v>Medium</v>
      </c>
      <c r="K315" t="b">
        <v>0</v>
      </c>
      <c r="L315" t="b">
        <v>1</v>
      </c>
      <c r="M315" t="b">
        <v>0</v>
      </c>
    </row>
    <row r="316" spans="1:13" hidden="1" x14ac:dyDescent="0.3">
      <c r="A316">
        <v>63</v>
      </c>
      <c r="B316" t="s">
        <v>25</v>
      </c>
      <c r="C316" s="1">
        <v>3</v>
      </c>
      <c r="D316" t="s">
        <v>19</v>
      </c>
      <c r="E316" t="s">
        <v>20</v>
      </c>
      <c r="F316" t="s">
        <v>15</v>
      </c>
      <c r="G316" t="s">
        <v>29</v>
      </c>
      <c r="H316" t="s">
        <v>24</v>
      </c>
      <c r="I316" s="3">
        <v>10470</v>
      </c>
      <c r="J316" s="3" t="str">
        <f>IF(I316&gt;16000, "High", IF(I316&gt;=12000, IF(I316&lt;=15000, "Medium", "High"), "Low"))</f>
        <v>Low</v>
      </c>
      <c r="K316" t="b">
        <v>1</v>
      </c>
      <c r="L316" t="b">
        <v>0</v>
      </c>
      <c r="M316" t="b">
        <v>1</v>
      </c>
    </row>
    <row r="317" spans="1:13" hidden="1" x14ac:dyDescent="0.3">
      <c r="A317">
        <v>47</v>
      </c>
      <c r="B317" t="s">
        <v>25</v>
      </c>
      <c r="C317" s="1">
        <v>7</v>
      </c>
      <c r="D317" t="s">
        <v>19</v>
      </c>
      <c r="E317" t="s">
        <v>20</v>
      </c>
      <c r="F317" t="s">
        <v>27</v>
      </c>
      <c r="G317" t="s">
        <v>16</v>
      </c>
      <c r="H317" t="s">
        <v>21</v>
      </c>
      <c r="I317" s="3">
        <v>19608</v>
      </c>
      <c r="J317" s="3" t="str">
        <f>IF(I317&gt;16000, "High", IF(I317&gt;=12000, IF(I317&lt;=15000, "Medium", "High"), "Low"))</f>
        <v>High</v>
      </c>
      <c r="K317" t="b">
        <v>0</v>
      </c>
      <c r="L317" t="b">
        <v>0</v>
      </c>
      <c r="M317" t="b">
        <v>0</v>
      </c>
    </row>
    <row r="318" spans="1:13" hidden="1" x14ac:dyDescent="0.3">
      <c r="A318">
        <v>55</v>
      </c>
      <c r="B318" t="s">
        <v>25</v>
      </c>
      <c r="C318" s="1">
        <v>3</v>
      </c>
      <c r="D318" t="s">
        <v>13</v>
      </c>
      <c r="E318" t="s">
        <v>14</v>
      </c>
      <c r="F318" t="s">
        <v>27</v>
      </c>
      <c r="G318" t="s">
        <v>29</v>
      </c>
      <c r="H318" t="s">
        <v>17</v>
      </c>
      <c r="I318" s="3">
        <v>11468</v>
      </c>
      <c r="J318" s="3" t="str">
        <f>IF(I318&gt;16000, "High", IF(I318&gt;=12000, IF(I318&lt;=15000, "Medium", "High"), "Low"))</f>
        <v>Low</v>
      </c>
      <c r="K318" t="b">
        <v>1</v>
      </c>
      <c r="L318" t="b">
        <v>1</v>
      </c>
      <c r="M318" t="b">
        <v>1</v>
      </c>
    </row>
    <row r="319" spans="1:13" hidden="1" x14ac:dyDescent="0.3">
      <c r="A319">
        <v>55</v>
      </c>
      <c r="B319" t="s">
        <v>12</v>
      </c>
      <c r="C319" s="1">
        <v>8</v>
      </c>
      <c r="D319" t="s">
        <v>13</v>
      </c>
      <c r="E319" t="s">
        <v>20</v>
      </c>
      <c r="F319" t="s">
        <v>27</v>
      </c>
      <c r="G319" t="s">
        <v>29</v>
      </c>
      <c r="H319" t="s">
        <v>21</v>
      </c>
      <c r="I319" s="3">
        <v>17925</v>
      </c>
      <c r="J319" s="3" t="str">
        <f>IF(I319&gt;16000, "High", IF(I319&gt;=12000, IF(I319&lt;=15000, "Medium", "High"), "Low"))</f>
        <v>High</v>
      </c>
      <c r="K319" t="b">
        <v>1</v>
      </c>
      <c r="L319" t="b">
        <v>0</v>
      </c>
      <c r="M319" t="b">
        <v>0</v>
      </c>
    </row>
    <row r="320" spans="1:13" hidden="1" x14ac:dyDescent="0.3">
      <c r="A320">
        <v>62</v>
      </c>
      <c r="B320" t="s">
        <v>12</v>
      </c>
      <c r="C320" s="1">
        <v>6</v>
      </c>
      <c r="D320" t="s">
        <v>13</v>
      </c>
      <c r="E320" t="s">
        <v>20</v>
      </c>
      <c r="F320" t="s">
        <v>15</v>
      </c>
      <c r="G320" t="s">
        <v>29</v>
      </c>
      <c r="H320" t="s">
        <v>21</v>
      </c>
      <c r="I320" s="3">
        <v>10808</v>
      </c>
      <c r="J320" s="3" t="str">
        <f>IF(I320&gt;16000, "High", IF(I320&gt;=12000, IF(I320&lt;=15000, "Medium", "High"), "Low"))</f>
        <v>Low</v>
      </c>
      <c r="K320" t="b">
        <v>0</v>
      </c>
      <c r="L320" t="b">
        <v>1</v>
      </c>
      <c r="M320" t="b">
        <v>1</v>
      </c>
    </row>
    <row r="321" spans="1:13" hidden="1" x14ac:dyDescent="0.3">
      <c r="A321">
        <v>25</v>
      </c>
      <c r="B321" t="s">
        <v>18</v>
      </c>
      <c r="C321" s="1">
        <v>5</v>
      </c>
      <c r="D321" t="s">
        <v>13</v>
      </c>
      <c r="E321" t="s">
        <v>26</v>
      </c>
      <c r="F321" t="s">
        <v>27</v>
      </c>
      <c r="G321" t="s">
        <v>29</v>
      </c>
      <c r="H321" t="s">
        <v>17</v>
      </c>
      <c r="I321" s="3">
        <v>18363</v>
      </c>
      <c r="J321" s="3" t="str">
        <f>IF(I321&gt;16000, "High", IF(I321&gt;=12000, IF(I321&lt;=15000, "Medium", "High"), "Low"))</f>
        <v>High</v>
      </c>
      <c r="K321" t="b">
        <v>1</v>
      </c>
      <c r="L321" t="b">
        <v>1</v>
      </c>
      <c r="M321" t="b">
        <v>0</v>
      </c>
    </row>
    <row r="322" spans="1:13" hidden="1" x14ac:dyDescent="0.3">
      <c r="A322">
        <v>44</v>
      </c>
      <c r="B322" t="s">
        <v>18</v>
      </c>
      <c r="C322" s="1">
        <v>4</v>
      </c>
      <c r="D322" t="s">
        <v>28</v>
      </c>
      <c r="E322" t="s">
        <v>20</v>
      </c>
      <c r="F322" t="s">
        <v>15</v>
      </c>
      <c r="G322" t="s">
        <v>29</v>
      </c>
      <c r="H322" t="s">
        <v>17</v>
      </c>
      <c r="I322" s="3">
        <v>16719</v>
      </c>
      <c r="J322" s="3" t="str">
        <f>IF(I322&gt;16000, "High", IF(I322&gt;=12000, IF(I322&lt;=15000, "Medium", "High"), "Low"))</f>
        <v>High</v>
      </c>
      <c r="K322" t="b">
        <v>0</v>
      </c>
      <c r="L322" t="b">
        <v>1</v>
      </c>
      <c r="M322" t="b">
        <v>0</v>
      </c>
    </row>
    <row r="323" spans="1:13" hidden="1" x14ac:dyDescent="0.3">
      <c r="A323">
        <v>44</v>
      </c>
      <c r="B323" t="s">
        <v>12</v>
      </c>
      <c r="C323" s="1">
        <v>8</v>
      </c>
      <c r="D323" t="s">
        <v>28</v>
      </c>
      <c r="E323" t="s">
        <v>20</v>
      </c>
      <c r="F323" t="s">
        <v>27</v>
      </c>
      <c r="G323" t="s">
        <v>16</v>
      </c>
      <c r="H323" t="s">
        <v>24</v>
      </c>
      <c r="I323" s="3">
        <v>15073</v>
      </c>
      <c r="J323" s="3" t="str">
        <f>IF(I323&gt;16000, "High", IF(I323&gt;=12000, IF(I323&lt;=15000, "Medium", "High"), "Low"))</f>
        <v>High</v>
      </c>
      <c r="K323" t="b">
        <v>1</v>
      </c>
      <c r="L323" t="b">
        <v>1</v>
      </c>
      <c r="M323" t="b">
        <v>0</v>
      </c>
    </row>
    <row r="324" spans="1:13" x14ac:dyDescent="0.3">
      <c r="A324">
        <v>60</v>
      </c>
      <c r="B324" t="s">
        <v>18</v>
      </c>
      <c r="C324" s="1">
        <v>7</v>
      </c>
      <c r="D324" t="s">
        <v>19</v>
      </c>
      <c r="E324" t="s">
        <v>26</v>
      </c>
      <c r="F324" t="s">
        <v>27</v>
      </c>
      <c r="G324" t="s">
        <v>23</v>
      </c>
      <c r="H324" t="s">
        <v>21</v>
      </c>
      <c r="I324" s="3">
        <v>17460</v>
      </c>
      <c r="J324" s="3" t="str">
        <f>IF(I324&gt;16000, "High", IF(I324&gt;=12000, IF(I324&lt;=15000, "Medium", "High"), "Low"))</f>
        <v>High</v>
      </c>
      <c r="K324" t="b">
        <v>0</v>
      </c>
      <c r="L324" t="b">
        <v>1</v>
      </c>
      <c r="M324" t="b">
        <v>0</v>
      </c>
    </row>
    <row r="325" spans="1:13" hidden="1" x14ac:dyDescent="0.3">
      <c r="A325">
        <v>38</v>
      </c>
      <c r="B325" t="s">
        <v>12</v>
      </c>
      <c r="C325" s="1">
        <v>1</v>
      </c>
      <c r="D325" t="s">
        <v>13</v>
      </c>
      <c r="E325" t="s">
        <v>26</v>
      </c>
      <c r="F325" t="s">
        <v>22</v>
      </c>
      <c r="G325" t="s">
        <v>23</v>
      </c>
      <c r="H325" t="s">
        <v>21</v>
      </c>
      <c r="I325" s="3">
        <v>11645</v>
      </c>
      <c r="J325" s="3" t="str">
        <f>IF(I325&gt;16000, "High", IF(I325&gt;=12000, IF(I325&lt;=15000, "Medium", "High"), "Low"))</f>
        <v>Low</v>
      </c>
      <c r="K325" t="b">
        <v>1</v>
      </c>
      <c r="L325" t="b">
        <v>1</v>
      </c>
      <c r="M325" t="b">
        <v>1</v>
      </c>
    </row>
    <row r="326" spans="1:13" hidden="1" x14ac:dyDescent="0.3">
      <c r="A326">
        <v>47</v>
      </c>
      <c r="B326" t="s">
        <v>25</v>
      </c>
      <c r="C326" s="1">
        <v>9</v>
      </c>
      <c r="D326" t="s">
        <v>13</v>
      </c>
      <c r="E326" t="s">
        <v>14</v>
      </c>
      <c r="F326" t="s">
        <v>22</v>
      </c>
      <c r="G326" t="s">
        <v>23</v>
      </c>
      <c r="H326" t="s">
        <v>17</v>
      </c>
      <c r="I326" s="3">
        <v>18249</v>
      </c>
      <c r="J326" s="3" t="str">
        <f>IF(I326&gt;16000, "High", IF(I326&gt;=12000, IF(I326&lt;=15000, "Medium", "High"), "Low"))</f>
        <v>High</v>
      </c>
      <c r="K326" t="b">
        <v>1</v>
      </c>
      <c r="L326" t="b">
        <v>1</v>
      </c>
      <c r="M326" t="b">
        <v>1</v>
      </c>
    </row>
    <row r="327" spans="1:13" x14ac:dyDescent="0.3">
      <c r="A327">
        <v>40</v>
      </c>
      <c r="B327" t="s">
        <v>18</v>
      </c>
      <c r="C327" s="1">
        <v>4</v>
      </c>
      <c r="D327" t="s">
        <v>19</v>
      </c>
      <c r="E327" t="s">
        <v>14</v>
      </c>
      <c r="F327" t="s">
        <v>27</v>
      </c>
      <c r="G327" t="s">
        <v>16</v>
      </c>
      <c r="H327" t="s">
        <v>21</v>
      </c>
      <c r="I327" s="3">
        <v>17259</v>
      </c>
      <c r="J327" s="3" t="str">
        <f>IF(I327&gt;16000, "High", IF(I327&gt;=12000, IF(I327&lt;=15000, "Medium", "High"), "Low"))</f>
        <v>High</v>
      </c>
      <c r="K327" t="b">
        <v>1</v>
      </c>
      <c r="L327" t="b">
        <v>0</v>
      </c>
      <c r="M327" t="b">
        <v>1</v>
      </c>
    </row>
    <row r="328" spans="1:13" hidden="1" x14ac:dyDescent="0.3">
      <c r="A328">
        <v>45</v>
      </c>
      <c r="B328" t="s">
        <v>18</v>
      </c>
      <c r="C328" s="1">
        <v>4</v>
      </c>
      <c r="D328" t="s">
        <v>13</v>
      </c>
      <c r="E328" t="s">
        <v>14</v>
      </c>
      <c r="F328" t="s">
        <v>15</v>
      </c>
      <c r="G328" t="s">
        <v>16</v>
      </c>
      <c r="H328" t="s">
        <v>24</v>
      </c>
      <c r="I328" s="3">
        <v>11353</v>
      </c>
      <c r="J328" s="3" t="str">
        <f>IF(I328&gt;16000, "High", IF(I328&gt;=12000, IF(I328&lt;=15000, "Medium", "High"), "Low"))</f>
        <v>Low</v>
      </c>
      <c r="K328" t="b">
        <v>0</v>
      </c>
      <c r="L328" t="b">
        <v>1</v>
      </c>
      <c r="M328" t="b">
        <v>1</v>
      </c>
    </row>
    <row r="329" spans="1:13" hidden="1" x14ac:dyDescent="0.3">
      <c r="A329">
        <v>64</v>
      </c>
      <c r="B329" t="s">
        <v>12</v>
      </c>
      <c r="C329" s="1">
        <v>6</v>
      </c>
      <c r="D329" t="s">
        <v>13</v>
      </c>
      <c r="E329" t="s">
        <v>26</v>
      </c>
      <c r="F329" t="s">
        <v>27</v>
      </c>
      <c r="G329" t="s">
        <v>16</v>
      </c>
      <c r="H329" t="s">
        <v>21</v>
      </c>
      <c r="I329" s="3">
        <v>10767</v>
      </c>
      <c r="J329" s="3" t="str">
        <f>IF(I329&gt;16000, "High", IF(I329&gt;=12000, IF(I329&lt;=15000, "Medium", "High"), "Low"))</f>
        <v>Low</v>
      </c>
      <c r="K329" t="b">
        <v>0</v>
      </c>
      <c r="L329" t="b">
        <v>0</v>
      </c>
      <c r="M329" t="b">
        <v>0</v>
      </c>
    </row>
    <row r="330" spans="1:13" hidden="1" x14ac:dyDescent="0.3">
      <c r="A330">
        <v>50</v>
      </c>
      <c r="B330" t="s">
        <v>18</v>
      </c>
      <c r="C330" s="1">
        <v>6</v>
      </c>
      <c r="D330" t="s">
        <v>13</v>
      </c>
      <c r="E330" t="s">
        <v>26</v>
      </c>
      <c r="F330" t="s">
        <v>22</v>
      </c>
      <c r="G330" t="s">
        <v>16</v>
      </c>
      <c r="H330" t="s">
        <v>21</v>
      </c>
      <c r="I330" s="3">
        <v>13895</v>
      </c>
      <c r="J330" s="3" t="str">
        <f>IF(I330&gt;16000, "High", IF(I330&gt;=12000, IF(I330&lt;=15000, "Medium", "High"), "Low"))</f>
        <v>Medium</v>
      </c>
      <c r="K330" t="b">
        <v>1</v>
      </c>
      <c r="L330" t="b">
        <v>0</v>
      </c>
      <c r="M330" t="b">
        <v>0</v>
      </c>
    </row>
    <row r="331" spans="1:13" hidden="1" x14ac:dyDescent="0.3">
      <c r="A331">
        <v>22</v>
      </c>
      <c r="B331" t="s">
        <v>18</v>
      </c>
      <c r="C331" s="1">
        <v>2</v>
      </c>
      <c r="D331" t="s">
        <v>13</v>
      </c>
      <c r="E331" t="s">
        <v>14</v>
      </c>
      <c r="F331" t="s">
        <v>15</v>
      </c>
      <c r="G331" t="s">
        <v>29</v>
      </c>
      <c r="H331" t="s">
        <v>24</v>
      </c>
      <c r="I331" s="3">
        <v>18874</v>
      </c>
      <c r="J331" s="3" t="str">
        <f>IF(I331&gt;16000, "High", IF(I331&gt;=12000, IF(I331&lt;=15000, "Medium", "High"), "Low"))</f>
        <v>High</v>
      </c>
      <c r="K331" t="b">
        <v>1</v>
      </c>
      <c r="L331" t="b">
        <v>0</v>
      </c>
      <c r="M331" t="b">
        <v>1</v>
      </c>
    </row>
    <row r="332" spans="1:13" hidden="1" x14ac:dyDescent="0.3">
      <c r="A332">
        <v>36</v>
      </c>
      <c r="B332" t="s">
        <v>25</v>
      </c>
      <c r="C332" s="1">
        <v>8</v>
      </c>
      <c r="D332" t="s">
        <v>13</v>
      </c>
      <c r="E332" t="s">
        <v>26</v>
      </c>
      <c r="F332" t="s">
        <v>22</v>
      </c>
      <c r="G332" t="s">
        <v>29</v>
      </c>
      <c r="H332" t="s">
        <v>17</v>
      </c>
      <c r="I332" s="3">
        <v>13454</v>
      </c>
      <c r="J332" s="3" t="str">
        <f>IF(I332&gt;16000, "High", IF(I332&gt;=12000, IF(I332&lt;=15000, "Medium", "High"), "Low"))</f>
        <v>Medium</v>
      </c>
      <c r="K332" t="b">
        <v>0</v>
      </c>
      <c r="L332" t="b">
        <v>1</v>
      </c>
      <c r="M332" t="b">
        <v>1</v>
      </c>
    </row>
    <row r="333" spans="1:13" x14ac:dyDescent="0.3">
      <c r="A333">
        <v>57</v>
      </c>
      <c r="B333" t="s">
        <v>18</v>
      </c>
      <c r="C333" s="1">
        <v>4</v>
      </c>
      <c r="D333" t="s">
        <v>19</v>
      </c>
      <c r="E333" t="s">
        <v>26</v>
      </c>
      <c r="F333" t="s">
        <v>15</v>
      </c>
      <c r="G333" t="s">
        <v>16</v>
      </c>
      <c r="H333" t="s">
        <v>21</v>
      </c>
      <c r="I333" s="3">
        <v>11387</v>
      </c>
      <c r="J333" s="3" t="str">
        <f>IF(I333&gt;16000, "High", IF(I333&gt;=12000, IF(I333&lt;=15000, "Medium", "High"), "Low"))</f>
        <v>Low</v>
      </c>
      <c r="K333" t="b">
        <v>0</v>
      </c>
      <c r="L333" t="b">
        <v>1</v>
      </c>
      <c r="M333" t="b">
        <v>1</v>
      </c>
    </row>
    <row r="334" spans="1:13" hidden="1" x14ac:dyDescent="0.3">
      <c r="A334">
        <v>52</v>
      </c>
      <c r="B334" t="s">
        <v>25</v>
      </c>
      <c r="C334" s="1">
        <v>1</v>
      </c>
      <c r="D334" t="s">
        <v>13</v>
      </c>
      <c r="E334" t="s">
        <v>26</v>
      </c>
      <c r="F334" t="s">
        <v>15</v>
      </c>
      <c r="G334" t="s">
        <v>23</v>
      </c>
      <c r="H334" t="s">
        <v>24</v>
      </c>
      <c r="I334" s="3">
        <v>11790</v>
      </c>
      <c r="J334" s="3" t="str">
        <f>IF(I334&gt;16000, "High", IF(I334&gt;=12000, IF(I334&lt;=15000, "Medium", "High"), "Low"))</f>
        <v>Low</v>
      </c>
      <c r="K334" t="b">
        <v>1</v>
      </c>
      <c r="L334" t="b">
        <v>0</v>
      </c>
      <c r="M334" t="b">
        <v>1</v>
      </c>
    </row>
    <row r="335" spans="1:13" hidden="1" x14ac:dyDescent="0.3">
      <c r="A335">
        <v>34</v>
      </c>
      <c r="B335" t="s">
        <v>12</v>
      </c>
      <c r="C335" s="1">
        <v>5</v>
      </c>
      <c r="D335" t="s">
        <v>19</v>
      </c>
      <c r="E335" t="s">
        <v>20</v>
      </c>
      <c r="F335" t="s">
        <v>15</v>
      </c>
      <c r="G335" t="s">
        <v>29</v>
      </c>
      <c r="H335" t="s">
        <v>24</v>
      </c>
      <c r="I335" s="3">
        <v>19669</v>
      </c>
      <c r="J335" s="3" t="str">
        <f>IF(I335&gt;16000, "High", IF(I335&gt;=12000, IF(I335&lt;=15000, "Medium", "High"), "Low"))</f>
        <v>High</v>
      </c>
      <c r="K335" t="b">
        <v>1</v>
      </c>
      <c r="L335" t="b">
        <v>1</v>
      </c>
      <c r="M335" t="b">
        <v>0</v>
      </c>
    </row>
    <row r="336" spans="1:13" hidden="1" x14ac:dyDescent="0.3">
      <c r="A336">
        <v>61</v>
      </c>
      <c r="B336" t="s">
        <v>18</v>
      </c>
      <c r="C336" s="1">
        <v>6</v>
      </c>
      <c r="D336" t="s">
        <v>13</v>
      </c>
      <c r="E336" t="s">
        <v>26</v>
      </c>
      <c r="F336" t="s">
        <v>27</v>
      </c>
      <c r="G336" t="s">
        <v>23</v>
      </c>
      <c r="H336" t="s">
        <v>24</v>
      </c>
      <c r="I336" s="3">
        <v>10885</v>
      </c>
      <c r="J336" s="3" t="str">
        <f>IF(I336&gt;16000, "High", IF(I336&gt;=12000, IF(I336&lt;=15000, "Medium", "High"), "Low"))</f>
        <v>Low</v>
      </c>
      <c r="K336" t="b">
        <v>0</v>
      </c>
      <c r="L336" t="b">
        <v>0</v>
      </c>
      <c r="M336" t="b">
        <v>1</v>
      </c>
    </row>
    <row r="337" spans="1:13" hidden="1" x14ac:dyDescent="0.3">
      <c r="A337">
        <v>45</v>
      </c>
      <c r="B337" t="s">
        <v>25</v>
      </c>
      <c r="C337" s="1">
        <v>4</v>
      </c>
      <c r="D337" t="s">
        <v>28</v>
      </c>
      <c r="E337" t="s">
        <v>14</v>
      </c>
      <c r="F337" t="s">
        <v>27</v>
      </c>
      <c r="G337" t="s">
        <v>29</v>
      </c>
      <c r="H337" t="s">
        <v>17</v>
      </c>
      <c r="I337" s="3">
        <v>17734</v>
      </c>
      <c r="J337" s="3" t="str">
        <f>IF(I337&gt;16000, "High", IF(I337&gt;=12000, IF(I337&lt;=15000, "Medium", "High"), "Low"))</f>
        <v>High</v>
      </c>
      <c r="K337" t="b">
        <v>1</v>
      </c>
      <c r="L337" t="b">
        <v>1</v>
      </c>
      <c r="M337" t="b">
        <v>1</v>
      </c>
    </row>
    <row r="338" spans="1:13" hidden="1" x14ac:dyDescent="0.3">
      <c r="A338">
        <v>47</v>
      </c>
      <c r="B338" t="s">
        <v>12</v>
      </c>
      <c r="C338" s="1">
        <v>2</v>
      </c>
      <c r="D338" t="s">
        <v>28</v>
      </c>
      <c r="E338" t="s">
        <v>26</v>
      </c>
      <c r="F338" t="s">
        <v>22</v>
      </c>
      <c r="G338" t="s">
        <v>23</v>
      </c>
      <c r="H338" t="s">
        <v>24</v>
      </c>
      <c r="I338" s="3">
        <v>13906</v>
      </c>
      <c r="J338" s="3" t="str">
        <f>IF(I338&gt;16000, "High", IF(I338&gt;=12000, IF(I338&lt;=15000, "Medium", "High"), "Low"))</f>
        <v>Medium</v>
      </c>
      <c r="K338" t="b">
        <v>0</v>
      </c>
      <c r="L338" t="b">
        <v>0</v>
      </c>
      <c r="M338" t="b">
        <v>1</v>
      </c>
    </row>
    <row r="339" spans="1:13" hidden="1" x14ac:dyDescent="0.3">
      <c r="A339">
        <v>46</v>
      </c>
      <c r="B339" t="s">
        <v>18</v>
      </c>
      <c r="C339" s="1">
        <v>4</v>
      </c>
      <c r="D339" t="s">
        <v>28</v>
      </c>
      <c r="E339" t="s">
        <v>14</v>
      </c>
      <c r="F339" t="s">
        <v>22</v>
      </c>
      <c r="G339" t="s">
        <v>29</v>
      </c>
      <c r="H339" t="s">
        <v>17</v>
      </c>
      <c r="I339" s="3">
        <v>14492</v>
      </c>
      <c r="J339" s="3" t="str">
        <f>IF(I339&gt;16000, "High", IF(I339&gt;=12000, IF(I339&lt;=15000, "Medium", "High"), "Low"))</f>
        <v>Medium</v>
      </c>
      <c r="K339" t="b">
        <v>1</v>
      </c>
      <c r="L339" t="b">
        <v>0</v>
      </c>
      <c r="M339" t="b">
        <v>1</v>
      </c>
    </row>
    <row r="340" spans="1:13" hidden="1" x14ac:dyDescent="0.3">
      <c r="A340">
        <v>63</v>
      </c>
      <c r="B340" t="s">
        <v>12</v>
      </c>
      <c r="C340" s="1">
        <v>1</v>
      </c>
      <c r="D340" t="s">
        <v>28</v>
      </c>
      <c r="E340" t="s">
        <v>14</v>
      </c>
      <c r="F340" t="s">
        <v>27</v>
      </c>
      <c r="G340" t="s">
        <v>29</v>
      </c>
      <c r="H340" t="s">
        <v>24</v>
      </c>
      <c r="I340" s="3">
        <v>19730</v>
      </c>
      <c r="J340" s="3" t="str">
        <f>IF(I340&gt;16000, "High", IF(I340&gt;=12000, IF(I340&lt;=15000, "Medium", "High"), "Low"))</f>
        <v>High</v>
      </c>
      <c r="K340" t="b">
        <v>0</v>
      </c>
      <c r="L340" t="b">
        <v>0</v>
      </c>
      <c r="M340" t="b">
        <v>1</v>
      </c>
    </row>
    <row r="341" spans="1:13" x14ac:dyDescent="0.3">
      <c r="A341">
        <v>39</v>
      </c>
      <c r="B341" t="s">
        <v>18</v>
      </c>
      <c r="C341" s="1">
        <v>2</v>
      </c>
      <c r="D341" t="s">
        <v>19</v>
      </c>
      <c r="E341" t="s">
        <v>26</v>
      </c>
      <c r="F341" t="s">
        <v>15</v>
      </c>
      <c r="G341" t="s">
        <v>16</v>
      </c>
      <c r="H341" t="s">
        <v>21</v>
      </c>
      <c r="I341" s="3">
        <v>15193</v>
      </c>
      <c r="J341" s="3" t="str">
        <f>IF(I341&gt;16000, "High", IF(I341&gt;=12000, IF(I341&lt;=15000, "Medium", "High"), "Low"))</f>
        <v>High</v>
      </c>
      <c r="K341" t="b">
        <v>0</v>
      </c>
      <c r="L341" t="b">
        <v>0</v>
      </c>
      <c r="M341" t="b">
        <v>0</v>
      </c>
    </row>
    <row r="342" spans="1:13" hidden="1" x14ac:dyDescent="0.3">
      <c r="A342">
        <v>52</v>
      </c>
      <c r="B342" t="s">
        <v>12</v>
      </c>
      <c r="C342" s="1">
        <v>2</v>
      </c>
      <c r="D342" t="s">
        <v>19</v>
      </c>
      <c r="E342" t="s">
        <v>20</v>
      </c>
      <c r="F342" t="s">
        <v>15</v>
      </c>
      <c r="G342" t="s">
        <v>29</v>
      </c>
      <c r="H342" t="s">
        <v>17</v>
      </c>
      <c r="I342" s="3">
        <v>10312</v>
      </c>
      <c r="J342" s="3" t="str">
        <f>IF(I342&gt;16000, "High", IF(I342&gt;=12000, IF(I342&lt;=15000, "Medium", "High"), "Low"))</f>
        <v>Low</v>
      </c>
      <c r="K342" t="b">
        <v>1</v>
      </c>
      <c r="L342" t="b">
        <v>1</v>
      </c>
      <c r="M342" t="b">
        <v>1</v>
      </c>
    </row>
    <row r="343" spans="1:13" hidden="1" x14ac:dyDescent="0.3">
      <c r="A343">
        <v>58</v>
      </c>
      <c r="B343" t="s">
        <v>12</v>
      </c>
      <c r="C343" s="1">
        <v>2</v>
      </c>
      <c r="D343" t="s">
        <v>13</v>
      </c>
      <c r="E343" t="s">
        <v>14</v>
      </c>
      <c r="F343" t="s">
        <v>27</v>
      </c>
      <c r="G343" t="s">
        <v>29</v>
      </c>
      <c r="H343" t="s">
        <v>21</v>
      </c>
      <c r="I343" s="3">
        <v>16269</v>
      </c>
      <c r="J343" s="3" t="str">
        <f>IF(I343&gt;16000, "High", IF(I343&gt;=12000, IF(I343&lt;=15000, "Medium", "High"), "Low"))</f>
        <v>High</v>
      </c>
      <c r="K343" t="b">
        <v>0</v>
      </c>
      <c r="L343" t="b">
        <v>1</v>
      </c>
      <c r="M343" t="b">
        <v>1</v>
      </c>
    </row>
    <row r="344" spans="1:13" hidden="1" x14ac:dyDescent="0.3">
      <c r="A344">
        <v>54</v>
      </c>
      <c r="B344" t="s">
        <v>25</v>
      </c>
      <c r="C344" s="1">
        <v>9</v>
      </c>
      <c r="D344" t="s">
        <v>28</v>
      </c>
      <c r="E344" t="s">
        <v>26</v>
      </c>
      <c r="F344" t="s">
        <v>27</v>
      </c>
      <c r="G344" t="s">
        <v>16</v>
      </c>
      <c r="H344" t="s">
        <v>24</v>
      </c>
      <c r="I344" s="3">
        <v>15317</v>
      </c>
      <c r="J344" s="3" t="str">
        <f>IF(I344&gt;16000, "High", IF(I344&gt;=12000, IF(I344&lt;=15000, "Medium", "High"), "Low"))</f>
        <v>High</v>
      </c>
      <c r="K344" t="b">
        <v>1</v>
      </c>
      <c r="L344" t="b">
        <v>0</v>
      </c>
      <c r="M344" t="b">
        <v>0</v>
      </c>
    </row>
    <row r="345" spans="1:13" hidden="1" x14ac:dyDescent="0.3">
      <c r="A345">
        <v>41</v>
      </c>
      <c r="B345" t="s">
        <v>12</v>
      </c>
      <c r="C345" s="1">
        <v>5</v>
      </c>
      <c r="D345" t="s">
        <v>19</v>
      </c>
      <c r="E345" t="s">
        <v>14</v>
      </c>
      <c r="F345" t="s">
        <v>22</v>
      </c>
      <c r="G345" t="s">
        <v>23</v>
      </c>
      <c r="H345" t="s">
        <v>24</v>
      </c>
      <c r="I345" s="3">
        <v>10810</v>
      </c>
      <c r="J345" s="3" t="str">
        <f>IF(I345&gt;16000, "High", IF(I345&gt;=12000, IF(I345&lt;=15000, "Medium", "High"), "Low"))</f>
        <v>Low</v>
      </c>
      <c r="K345" t="b">
        <v>1</v>
      </c>
      <c r="L345" t="b">
        <v>1</v>
      </c>
      <c r="M345" t="b">
        <v>0</v>
      </c>
    </row>
    <row r="346" spans="1:13" hidden="1" x14ac:dyDescent="0.3">
      <c r="A346">
        <v>46</v>
      </c>
      <c r="B346" t="s">
        <v>18</v>
      </c>
      <c r="C346" s="1">
        <v>2</v>
      </c>
      <c r="D346" t="s">
        <v>13</v>
      </c>
      <c r="E346" t="s">
        <v>14</v>
      </c>
      <c r="F346" t="s">
        <v>27</v>
      </c>
      <c r="G346" t="s">
        <v>16</v>
      </c>
      <c r="H346" t="s">
        <v>24</v>
      </c>
      <c r="I346" s="3">
        <v>16841</v>
      </c>
      <c r="J346" s="3" t="str">
        <f>IF(I346&gt;16000, "High", IF(I346&gt;=12000, IF(I346&lt;=15000, "Medium", "High"), "Low"))</f>
        <v>High</v>
      </c>
      <c r="K346" t="b">
        <v>1</v>
      </c>
      <c r="L346" t="b">
        <v>0</v>
      </c>
      <c r="M346" t="b">
        <v>0</v>
      </c>
    </row>
    <row r="347" spans="1:13" hidden="1" x14ac:dyDescent="0.3">
      <c r="A347">
        <v>63</v>
      </c>
      <c r="B347" t="s">
        <v>18</v>
      </c>
      <c r="C347" s="1">
        <v>9</v>
      </c>
      <c r="D347" t="s">
        <v>13</v>
      </c>
      <c r="E347" t="s">
        <v>26</v>
      </c>
      <c r="F347" t="s">
        <v>22</v>
      </c>
      <c r="G347" t="s">
        <v>16</v>
      </c>
      <c r="H347" t="s">
        <v>17</v>
      </c>
      <c r="I347" s="3">
        <v>12032</v>
      </c>
      <c r="J347" s="3" t="str">
        <f>IF(I347&gt;16000, "High", IF(I347&gt;=12000, IF(I347&lt;=15000, "Medium", "High"), "Low"))</f>
        <v>Medium</v>
      </c>
      <c r="K347" t="b">
        <v>1</v>
      </c>
      <c r="L347" t="b">
        <v>0</v>
      </c>
      <c r="M347" t="b">
        <v>1</v>
      </c>
    </row>
    <row r="348" spans="1:13" hidden="1" x14ac:dyDescent="0.3">
      <c r="A348">
        <v>48</v>
      </c>
      <c r="B348" t="s">
        <v>25</v>
      </c>
      <c r="C348" s="1">
        <v>9</v>
      </c>
      <c r="D348" t="s">
        <v>19</v>
      </c>
      <c r="E348" t="s">
        <v>26</v>
      </c>
      <c r="F348" t="s">
        <v>27</v>
      </c>
      <c r="G348" t="s">
        <v>23</v>
      </c>
      <c r="H348" t="s">
        <v>21</v>
      </c>
      <c r="I348" s="3">
        <v>19699</v>
      </c>
      <c r="J348" s="3" t="str">
        <f>IF(I348&gt;16000, "High", IF(I348&gt;=12000, IF(I348&lt;=15000, "Medium", "High"), "Low"))</f>
        <v>High</v>
      </c>
      <c r="K348" t="b">
        <v>0</v>
      </c>
      <c r="L348" t="b">
        <v>0</v>
      </c>
      <c r="M348" t="b">
        <v>1</v>
      </c>
    </row>
    <row r="349" spans="1:13" hidden="1" x14ac:dyDescent="0.3">
      <c r="A349">
        <v>52</v>
      </c>
      <c r="B349" t="s">
        <v>18</v>
      </c>
      <c r="C349" s="1">
        <v>1</v>
      </c>
      <c r="D349" t="s">
        <v>28</v>
      </c>
      <c r="E349" t="s">
        <v>26</v>
      </c>
      <c r="F349" t="s">
        <v>15</v>
      </c>
      <c r="G349" t="s">
        <v>29</v>
      </c>
      <c r="H349" t="s">
        <v>17</v>
      </c>
      <c r="I349" s="3">
        <v>17129</v>
      </c>
      <c r="J349" s="3" t="str">
        <f>IF(I349&gt;16000, "High", IF(I349&gt;=12000, IF(I349&lt;=15000, "Medium", "High"), "Low"))</f>
        <v>High</v>
      </c>
      <c r="K349" t="b">
        <v>1</v>
      </c>
      <c r="L349" t="b">
        <v>0</v>
      </c>
      <c r="M349" t="b">
        <v>0</v>
      </c>
    </row>
    <row r="350" spans="1:13" hidden="1" x14ac:dyDescent="0.3">
      <c r="A350">
        <v>50</v>
      </c>
      <c r="B350" t="s">
        <v>18</v>
      </c>
      <c r="C350" s="1">
        <v>3</v>
      </c>
      <c r="D350" t="s">
        <v>13</v>
      </c>
      <c r="E350" t="s">
        <v>26</v>
      </c>
      <c r="F350" t="s">
        <v>27</v>
      </c>
      <c r="G350" t="s">
        <v>23</v>
      </c>
      <c r="H350" t="s">
        <v>17</v>
      </c>
      <c r="I350" s="3">
        <v>12705</v>
      </c>
      <c r="J350" s="3" t="str">
        <f>IF(I350&gt;16000, "High", IF(I350&gt;=12000, IF(I350&lt;=15000, "Medium", "High"), "Low"))</f>
        <v>Medium</v>
      </c>
      <c r="K350" t="b">
        <v>1</v>
      </c>
      <c r="L350" t="b">
        <v>0</v>
      </c>
      <c r="M350" t="b">
        <v>0</v>
      </c>
    </row>
    <row r="351" spans="1:13" hidden="1" x14ac:dyDescent="0.3">
      <c r="A351">
        <v>38</v>
      </c>
      <c r="B351" t="s">
        <v>18</v>
      </c>
      <c r="C351" s="1">
        <v>4</v>
      </c>
      <c r="D351" t="s">
        <v>28</v>
      </c>
      <c r="E351" t="s">
        <v>14</v>
      </c>
      <c r="F351" t="s">
        <v>27</v>
      </c>
      <c r="G351" t="s">
        <v>29</v>
      </c>
      <c r="H351" t="s">
        <v>24</v>
      </c>
      <c r="I351" s="3">
        <v>18788</v>
      </c>
      <c r="J351" s="3" t="str">
        <f>IF(I351&gt;16000, "High", IF(I351&gt;=12000, IF(I351&lt;=15000, "Medium", "High"), "Low"))</f>
        <v>High</v>
      </c>
      <c r="K351" t="b">
        <v>1</v>
      </c>
      <c r="L351" t="b">
        <v>0</v>
      </c>
      <c r="M351" t="b">
        <v>0</v>
      </c>
    </row>
    <row r="352" spans="1:13" hidden="1" x14ac:dyDescent="0.3">
      <c r="A352">
        <v>49</v>
      </c>
      <c r="B352" t="s">
        <v>12</v>
      </c>
      <c r="C352" s="1">
        <v>7</v>
      </c>
      <c r="D352" t="s">
        <v>28</v>
      </c>
      <c r="E352" t="s">
        <v>14</v>
      </c>
      <c r="F352" t="s">
        <v>27</v>
      </c>
      <c r="G352" t="s">
        <v>29</v>
      </c>
      <c r="H352" t="s">
        <v>21</v>
      </c>
      <c r="I352" s="3">
        <v>12147</v>
      </c>
      <c r="J352" s="3" t="str">
        <f>IF(I352&gt;16000, "High", IF(I352&gt;=12000, IF(I352&lt;=15000, "Medium", "High"), "Low"))</f>
        <v>Medium</v>
      </c>
      <c r="K352" t="b">
        <v>1</v>
      </c>
      <c r="L352" t="b">
        <v>1</v>
      </c>
      <c r="M352" t="b">
        <v>0</v>
      </c>
    </row>
    <row r="353" spans="1:13" hidden="1" x14ac:dyDescent="0.3">
      <c r="A353">
        <v>40</v>
      </c>
      <c r="B353" t="s">
        <v>12</v>
      </c>
      <c r="C353" s="1">
        <v>4</v>
      </c>
      <c r="D353" t="s">
        <v>28</v>
      </c>
      <c r="E353" t="s">
        <v>20</v>
      </c>
      <c r="F353" t="s">
        <v>22</v>
      </c>
      <c r="G353" t="s">
        <v>23</v>
      </c>
      <c r="H353" t="s">
        <v>24</v>
      </c>
      <c r="I353" s="3">
        <v>10615</v>
      </c>
      <c r="J353" s="3" t="str">
        <f>IF(I353&gt;16000, "High", IF(I353&gt;=12000, IF(I353&lt;=15000, "Medium", "High"), "Low"))</f>
        <v>Low</v>
      </c>
      <c r="K353" t="b">
        <v>0</v>
      </c>
      <c r="L353" t="b">
        <v>1</v>
      </c>
      <c r="M353" t="b">
        <v>1</v>
      </c>
    </row>
    <row r="354" spans="1:13" hidden="1" x14ac:dyDescent="0.3">
      <c r="A354">
        <v>50</v>
      </c>
      <c r="B354" t="s">
        <v>18</v>
      </c>
      <c r="C354" s="1">
        <v>2</v>
      </c>
      <c r="D354" t="s">
        <v>13</v>
      </c>
      <c r="E354" t="s">
        <v>14</v>
      </c>
      <c r="F354" t="s">
        <v>15</v>
      </c>
      <c r="G354" t="s">
        <v>16</v>
      </c>
      <c r="H354" t="s">
        <v>17</v>
      </c>
      <c r="I354" s="3">
        <v>10947</v>
      </c>
      <c r="J354" s="3" t="str">
        <f>IF(I354&gt;16000, "High", IF(I354&gt;=12000, IF(I354&lt;=15000, "Medium", "High"), "Low"))</f>
        <v>Low</v>
      </c>
      <c r="K354" t="b">
        <v>1</v>
      </c>
      <c r="L354" t="b">
        <v>0</v>
      </c>
      <c r="M354" t="b">
        <v>1</v>
      </c>
    </row>
    <row r="355" spans="1:13" hidden="1" x14ac:dyDescent="0.3">
      <c r="A355">
        <v>20</v>
      </c>
      <c r="B355" t="s">
        <v>25</v>
      </c>
      <c r="C355" s="1">
        <v>7</v>
      </c>
      <c r="D355" t="s">
        <v>28</v>
      </c>
      <c r="E355" t="s">
        <v>26</v>
      </c>
      <c r="F355" t="s">
        <v>27</v>
      </c>
      <c r="G355" t="s">
        <v>23</v>
      </c>
      <c r="H355" t="s">
        <v>24</v>
      </c>
      <c r="I355" s="3">
        <v>15677</v>
      </c>
      <c r="J355" s="3" t="str">
        <f>IF(I355&gt;16000, "High", IF(I355&gt;=12000, IF(I355&lt;=15000, "Medium", "High"), "Low"))</f>
        <v>High</v>
      </c>
      <c r="K355" t="b">
        <v>0</v>
      </c>
      <c r="L355" t="b">
        <v>1</v>
      </c>
      <c r="M355" t="b">
        <v>1</v>
      </c>
    </row>
    <row r="356" spans="1:13" hidden="1" x14ac:dyDescent="0.3">
      <c r="A356">
        <v>35</v>
      </c>
      <c r="B356" t="s">
        <v>12</v>
      </c>
      <c r="C356" s="1">
        <v>6</v>
      </c>
      <c r="D356" t="s">
        <v>13</v>
      </c>
      <c r="E356" t="s">
        <v>20</v>
      </c>
      <c r="F356" t="s">
        <v>22</v>
      </c>
      <c r="G356" t="s">
        <v>29</v>
      </c>
      <c r="H356" t="s">
        <v>21</v>
      </c>
      <c r="I356" s="3">
        <v>14651</v>
      </c>
      <c r="J356" s="3" t="str">
        <f>IF(I356&gt;16000, "High", IF(I356&gt;=12000, IF(I356&lt;=15000, "Medium", "High"), "Low"))</f>
        <v>Medium</v>
      </c>
      <c r="K356" t="b">
        <v>0</v>
      </c>
      <c r="L356" t="b">
        <v>0</v>
      </c>
      <c r="M356" t="b">
        <v>1</v>
      </c>
    </row>
    <row r="357" spans="1:13" hidden="1" x14ac:dyDescent="0.3">
      <c r="A357">
        <v>42</v>
      </c>
      <c r="B357" t="s">
        <v>25</v>
      </c>
      <c r="C357" s="1">
        <v>3</v>
      </c>
      <c r="D357" t="s">
        <v>28</v>
      </c>
      <c r="E357" t="s">
        <v>26</v>
      </c>
      <c r="F357" t="s">
        <v>15</v>
      </c>
      <c r="G357" t="s">
        <v>23</v>
      </c>
      <c r="H357" t="s">
        <v>24</v>
      </c>
      <c r="I357" s="3">
        <v>17866</v>
      </c>
      <c r="J357" s="3" t="str">
        <f>IF(I357&gt;16000, "High", IF(I357&gt;=12000, IF(I357&lt;=15000, "Medium", "High"), "Low"))</f>
        <v>High</v>
      </c>
      <c r="K357" t="b">
        <v>0</v>
      </c>
      <c r="L357" t="b">
        <v>1</v>
      </c>
      <c r="M357" t="b">
        <v>1</v>
      </c>
    </row>
    <row r="358" spans="1:13" hidden="1" x14ac:dyDescent="0.3">
      <c r="A358">
        <v>59</v>
      </c>
      <c r="B358" t="s">
        <v>18</v>
      </c>
      <c r="C358" s="1">
        <v>6</v>
      </c>
      <c r="D358" t="s">
        <v>13</v>
      </c>
      <c r="E358" t="s">
        <v>14</v>
      </c>
      <c r="F358" t="s">
        <v>22</v>
      </c>
      <c r="G358" t="s">
        <v>23</v>
      </c>
      <c r="H358" t="s">
        <v>21</v>
      </c>
      <c r="I358" s="3">
        <v>12013</v>
      </c>
      <c r="J358" s="3" t="str">
        <f>IF(I358&gt;16000, "High", IF(I358&gt;=12000, IF(I358&lt;=15000, "Medium", "High"), "Low"))</f>
        <v>Medium</v>
      </c>
      <c r="K358" t="b">
        <v>1</v>
      </c>
      <c r="L358" t="b">
        <v>1</v>
      </c>
      <c r="M358" t="b">
        <v>0</v>
      </c>
    </row>
    <row r="359" spans="1:13" hidden="1" x14ac:dyDescent="0.3">
      <c r="A359">
        <v>48</v>
      </c>
      <c r="B359" t="s">
        <v>18</v>
      </c>
      <c r="C359" s="1">
        <v>6</v>
      </c>
      <c r="D359" t="s">
        <v>28</v>
      </c>
      <c r="E359" t="s">
        <v>20</v>
      </c>
      <c r="F359" t="s">
        <v>22</v>
      </c>
      <c r="G359" t="s">
        <v>29</v>
      </c>
      <c r="H359" t="s">
        <v>21</v>
      </c>
      <c r="I359" s="3">
        <v>13697</v>
      </c>
      <c r="J359" s="3" t="str">
        <f>IF(I359&gt;16000, "High", IF(I359&gt;=12000, IF(I359&lt;=15000, "Medium", "High"), "Low"))</f>
        <v>Medium</v>
      </c>
      <c r="K359" t="b">
        <v>1</v>
      </c>
      <c r="L359" t="b">
        <v>1</v>
      </c>
      <c r="M359" t="b">
        <v>1</v>
      </c>
    </row>
    <row r="360" spans="1:13" hidden="1" x14ac:dyDescent="0.3">
      <c r="A360">
        <v>20</v>
      </c>
      <c r="B360" t="s">
        <v>12</v>
      </c>
      <c r="C360" s="1">
        <v>5</v>
      </c>
      <c r="D360" t="s">
        <v>19</v>
      </c>
      <c r="E360" t="s">
        <v>26</v>
      </c>
      <c r="F360" t="s">
        <v>15</v>
      </c>
      <c r="G360" t="s">
        <v>16</v>
      </c>
      <c r="H360" t="s">
        <v>24</v>
      </c>
      <c r="I360" s="3">
        <v>10490</v>
      </c>
      <c r="J360" s="3" t="str">
        <f>IF(I360&gt;16000, "High", IF(I360&gt;=12000, IF(I360&lt;=15000, "Medium", "High"), "Low"))</f>
        <v>Low</v>
      </c>
      <c r="K360" t="b">
        <v>1</v>
      </c>
      <c r="L360" t="b">
        <v>0</v>
      </c>
      <c r="M360" t="b">
        <v>0</v>
      </c>
    </row>
    <row r="361" spans="1:13" hidden="1" x14ac:dyDescent="0.3">
      <c r="A361">
        <v>57</v>
      </c>
      <c r="B361" t="s">
        <v>18</v>
      </c>
      <c r="C361" s="1">
        <v>4</v>
      </c>
      <c r="D361" t="s">
        <v>28</v>
      </c>
      <c r="E361" t="s">
        <v>20</v>
      </c>
      <c r="F361" t="s">
        <v>27</v>
      </c>
      <c r="G361" t="s">
        <v>23</v>
      </c>
      <c r="H361" t="s">
        <v>17</v>
      </c>
      <c r="I361" s="3">
        <v>14350</v>
      </c>
      <c r="J361" s="3" t="str">
        <f>IF(I361&gt;16000, "High", IF(I361&gt;=12000, IF(I361&lt;=15000, "Medium", "High"), "Low"))</f>
        <v>Medium</v>
      </c>
      <c r="K361" t="b">
        <v>1</v>
      </c>
      <c r="L361" t="b">
        <v>1</v>
      </c>
      <c r="M361" t="b">
        <v>0</v>
      </c>
    </row>
    <row r="362" spans="1:13" hidden="1" x14ac:dyDescent="0.3">
      <c r="A362">
        <v>63</v>
      </c>
      <c r="B362" t="s">
        <v>12</v>
      </c>
      <c r="C362" s="1">
        <v>1</v>
      </c>
      <c r="D362" t="s">
        <v>28</v>
      </c>
      <c r="E362" t="s">
        <v>20</v>
      </c>
      <c r="F362" t="s">
        <v>22</v>
      </c>
      <c r="G362" t="s">
        <v>29</v>
      </c>
      <c r="H362" t="s">
        <v>24</v>
      </c>
      <c r="I362" s="3">
        <v>12428</v>
      </c>
      <c r="J362" s="3" t="str">
        <f>IF(I362&gt;16000, "High", IF(I362&gt;=12000, IF(I362&lt;=15000, "Medium", "High"), "Low"))</f>
        <v>Medium</v>
      </c>
      <c r="K362" t="b">
        <v>0</v>
      </c>
      <c r="L362" t="b">
        <v>0</v>
      </c>
      <c r="M362" t="b">
        <v>0</v>
      </c>
    </row>
    <row r="363" spans="1:13" hidden="1" x14ac:dyDescent="0.3">
      <c r="A363">
        <v>41</v>
      </c>
      <c r="B363" t="s">
        <v>18</v>
      </c>
      <c r="C363" s="1">
        <v>6</v>
      </c>
      <c r="D363" t="s">
        <v>13</v>
      </c>
      <c r="E363" t="s">
        <v>14</v>
      </c>
      <c r="F363" t="s">
        <v>22</v>
      </c>
      <c r="G363" t="s">
        <v>29</v>
      </c>
      <c r="H363" t="s">
        <v>17</v>
      </c>
      <c r="I363" s="3">
        <v>14987</v>
      </c>
      <c r="J363" s="3" t="str">
        <f>IF(I363&gt;16000, "High", IF(I363&gt;=12000, IF(I363&lt;=15000, "Medium", "High"), "Low"))</f>
        <v>Medium</v>
      </c>
      <c r="K363" t="b">
        <v>0</v>
      </c>
      <c r="L363" t="b">
        <v>0</v>
      </c>
      <c r="M363" t="b">
        <v>1</v>
      </c>
    </row>
    <row r="364" spans="1:13" hidden="1" x14ac:dyDescent="0.3">
      <c r="A364">
        <v>49</v>
      </c>
      <c r="B364" t="s">
        <v>18</v>
      </c>
      <c r="C364" s="1">
        <v>2</v>
      </c>
      <c r="D364" t="s">
        <v>13</v>
      </c>
      <c r="E364" t="s">
        <v>26</v>
      </c>
      <c r="F364" t="s">
        <v>27</v>
      </c>
      <c r="G364" t="s">
        <v>23</v>
      </c>
      <c r="H364" t="s">
        <v>17</v>
      </c>
      <c r="I364" s="3">
        <v>18733</v>
      </c>
      <c r="J364" s="3" t="str">
        <f>IF(I364&gt;16000, "High", IF(I364&gt;=12000, IF(I364&lt;=15000, "Medium", "High"), "Low"))</f>
        <v>High</v>
      </c>
      <c r="K364" t="b">
        <v>1</v>
      </c>
      <c r="L364" t="b">
        <v>0</v>
      </c>
      <c r="M364" t="b">
        <v>0</v>
      </c>
    </row>
    <row r="365" spans="1:13" hidden="1" x14ac:dyDescent="0.3">
      <c r="A365">
        <v>64</v>
      </c>
      <c r="B365" t="s">
        <v>12</v>
      </c>
      <c r="C365" s="1">
        <v>3</v>
      </c>
      <c r="D365" t="s">
        <v>28</v>
      </c>
      <c r="E365" t="s">
        <v>20</v>
      </c>
      <c r="F365" t="s">
        <v>27</v>
      </c>
      <c r="G365" t="s">
        <v>16</v>
      </c>
      <c r="H365" t="s">
        <v>24</v>
      </c>
      <c r="I365" s="3">
        <v>19479</v>
      </c>
      <c r="J365" s="3" t="str">
        <f>IF(I365&gt;16000, "High", IF(I365&gt;=12000, IF(I365&lt;=15000, "Medium", "High"), "Low"))</f>
        <v>High</v>
      </c>
      <c r="K365" t="b">
        <v>1</v>
      </c>
      <c r="L365" t="b">
        <v>1</v>
      </c>
      <c r="M365" t="b">
        <v>1</v>
      </c>
    </row>
    <row r="366" spans="1:13" hidden="1" x14ac:dyDescent="0.3">
      <c r="A366">
        <v>39</v>
      </c>
      <c r="B366" t="s">
        <v>12</v>
      </c>
      <c r="C366" s="1">
        <v>8</v>
      </c>
      <c r="D366" t="s">
        <v>19</v>
      </c>
      <c r="E366" t="s">
        <v>20</v>
      </c>
      <c r="F366" t="s">
        <v>15</v>
      </c>
      <c r="G366" t="s">
        <v>23</v>
      </c>
      <c r="H366" t="s">
        <v>17</v>
      </c>
      <c r="I366" s="3">
        <v>19825</v>
      </c>
      <c r="J366" s="3" t="str">
        <f>IF(I366&gt;16000, "High", IF(I366&gt;=12000, IF(I366&lt;=15000, "Medium", "High"), "Low"))</f>
        <v>High</v>
      </c>
      <c r="K366" t="b">
        <v>1</v>
      </c>
      <c r="L366" t="b">
        <v>1</v>
      </c>
      <c r="M366" t="b">
        <v>0</v>
      </c>
    </row>
    <row r="367" spans="1:13" hidden="1" x14ac:dyDescent="0.3">
      <c r="A367">
        <v>40</v>
      </c>
      <c r="B367" t="s">
        <v>12</v>
      </c>
      <c r="C367" s="1">
        <v>6</v>
      </c>
      <c r="D367" t="s">
        <v>19</v>
      </c>
      <c r="E367" t="s">
        <v>26</v>
      </c>
      <c r="F367" t="s">
        <v>15</v>
      </c>
      <c r="G367" t="s">
        <v>16</v>
      </c>
      <c r="H367" t="s">
        <v>17</v>
      </c>
      <c r="I367" s="3">
        <v>14920</v>
      </c>
      <c r="J367" s="3" t="str">
        <f>IF(I367&gt;16000, "High", IF(I367&gt;=12000, IF(I367&lt;=15000, "Medium", "High"), "Low"))</f>
        <v>Medium</v>
      </c>
      <c r="K367" t="b">
        <v>1</v>
      </c>
      <c r="L367" t="b">
        <v>1</v>
      </c>
      <c r="M367" t="b">
        <v>1</v>
      </c>
    </row>
    <row r="368" spans="1:13" hidden="1" x14ac:dyDescent="0.3">
      <c r="A368">
        <v>19</v>
      </c>
      <c r="B368" t="s">
        <v>18</v>
      </c>
      <c r="C368" s="1">
        <v>3</v>
      </c>
      <c r="D368" t="s">
        <v>13</v>
      </c>
      <c r="E368" t="s">
        <v>20</v>
      </c>
      <c r="F368" t="s">
        <v>15</v>
      </c>
      <c r="G368" t="s">
        <v>16</v>
      </c>
      <c r="H368" t="s">
        <v>24</v>
      </c>
      <c r="I368" s="3">
        <v>12926</v>
      </c>
      <c r="J368" s="3" t="str">
        <f>IF(I368&gt;16000, "High", IF(I368&gt;=12000, IF(I368&lt;=15000, "Medium", "High"), "Low"))</f>
        <v>Medium</v>
      </c>
      <c r="K368" t="b">
        <v>1</v>
      </c>
      <c r="L368" t="b">
        <v>0</v>
      </c>
      <c r="M368" t="b">
        <v>0</v>
      </c>
    </row>
    <row r="369" spans="1:13" x14ac:dyDescent="0.3">
      <c r="A369">
        <v>60</v>
      </c>
      <c r="B369" t="s">
        <v>18</v>
      </c>
      <c r="C369" s="1">
        <v>2</v>
      </c>
      <c r="D369" t="s">
        <v>19</v>
      </c>
      <c r="E369" t="s">
        <v>26</v>
      </c>
      <c r="F369" t="s">
        <v>15</v>
      </c>
      <c r="G369" t="s">
        <v>23</v>
      </c>
      <c r="H369" t="s">
        <v>21</v>
      </c>
      <c r="I369" s="3">
        <v>17314</v>
      </c>
      <c r="J369" s="3" t="str">
        <f>IF(I369&gt;16000, "High", IF(I369&gt;=12000, IF(I369&lt;=15000, "Medium", "High"), "Low"))</f>
        <v>High</v>
      </c>
      <c r="K369" t="b">
        <v>0</v>
      </c>
      <c r="L369" t="b">
        <v>1</v>
      </c>
      <c r="M369" t="b">
        <v>0</v>
      </c>
    </row>
    <row r="370" spans="1:13" hidden="1" x14ac:dyDescent="0.3">
      <c r="A370">
        <v>59</v>
      </c>
      <c r="B370" t="s">
        <v>25</v>
      </c>
      <c r="C370" s="1">
        <v>4</v>
      </c>
      <c r="D370" t="s">
        <v>28</v>
      </c>
      <c r="E370" t="s">
        <v>20</v>
      </c>
      <c r="F370" t="s">
        <v>22</v>
      </c>
      <c r="G370" t="s">
        <v>16</v>
      </c>
      <c r="H370" t="s">
        <v>24</v>
      </c>
      <c r="I370" s="3">
        <v>17282</v>
      </c>
      <c r="J370" s="3" t="str">
        <f>IF(I370&gt;16000, "High", IF(I370&gt;=12000, IF(I370&lt;=15000, "Medium", "High"), "Low"))</f>
        <v>High</v>
      </c>
      <c r="K370" t="b">
        <v>1</v>
      </c>
      <c r="L370" t="b">
        <v>1</v>
      </c>
      <c r="M370" t="b">
        <v>0</v>
      </c>
    </row>
    <row r="371" spans="1:13" hidden="1" x14ac:dyDescent="0.3">
      <c r="A371">
        <v>19</v>
      </c>
      <c r="B371" t="s">
        <v>12</v>
      </c>
      <c r="C371" s="1">
        <v>9</v>
      </c>
      <c r="D371" t="s">
        <v>13</v>
      </c>
      <c r="E371" t="s">
        <v>26</v>
      </c>
      <c r="F371" t="s">
        <v>22</v>
      </c>
      <c r="G371" t="s">
        <v>23</v>
      </c>
      <c r="H371" t="s">
        <v>17</v>
      </c>
      <c r="I371" s="3">
        <v>14376</v>
      </c>
      <c r="J371" s="3" t="str">
        <f>IF(I371&gt;16000, "High", IF(I371&gt;=12000, IF(I371&lt;=15000, "Medium", "High"), "Low"))</f>
        <v>Medium</v>
      </c>
      <c r="K371" t="b">
        <v>0</v>
      </c>
      <c r="L371" t="b">
        <v>0</v>
      </c>
      <c r="M371" t="b">
        <v>0</v>
      </c>
    </row>
    <row r="372" spans="1:13" hidden="1" x14ac:dyDescent="0.3">
      <c r="A372">
        <v>43</v>
      </c>
      <c r="B372" t="s">
        <v>18</v>
      </c>
      <c r="C372" s="1">
        <v>5</v>
      </c>
      <c r="D372" t="s">
        <v>28</v>
      </c>
      <c r="E372" t="s">
        <v>26</v>
      </c>
      <c r="F372" t="s">
        <v>15</v>
      </c>
      <c r="G372" t="s">
        <v>29</v>
      </c>
      <c r="H372" t="s">
        <v>21</v>
      </c>
      <c r="I372" s="3">
        <v>19490</v>
      </c>
      <c r="J372" s="3" t="str">
        <f>IF(I372&gt;16000, "High", IF(I372&gt;=12000, IF(I372&lt;=15000, "Medium", "High"), "Low"))</f>
        <v>High</v>
      </c>
      <c r="K372" t="b">
        <v>0</v>
      </c>
      <c r="L372" t="b">
        <v>1</v>
      </c>
      <c r="M372" t="b">
        <v>0</v>
      </c>
    </row>
    <row r="373" spans="1:13" hidden="1" x14ac:dyDescent="0.3">
      <c r="A373">
        <v>34</v>
      </c>
      <c r="B373" t="s">
        <v>18</v>
      </c>
      <c r="C373" s="1">
        <v>3</v>
      </c>
      <c r="D373" t="s">
        <v>13</v>
      </c>
      <c r="E373" t="s">
        <v>26</v>
      </c>
      <c r="F373" t="s">
        <v>27</v>
      </c>
      <c r="G373" t="s">
        <v>29</v>
      </c>
      <c r="H373" t="s">
        <v>17</v>
      </c>
      <c r="I373" s="3">
        <v>14868</v>
      </c>
      <c r="J373" s="3" t="str">
        <f>IF(I373&gt;16000, "High", IF(I373&gt;=12000, IF(I373&lt;=15000, "Medium", "High"), "Low"))</f>
        <v>Medium</v>
      </c>
      <c r="K373" t="b">
        <v>0</v>
      </c>
      <c r="L373" t="b">
        <v>1</v>
      </c>
      <c r="M373" t="b">
        <v>0</v>
      </c>
    </row>
    <row r="374" spans="1:13" hidden="1" x14ac:dyDescent="0.3">
      <c r="A374">
        <v>57</v>
      </c>
      <c r="B374" t="s">
        <v>12</v>
      </c>
      <c r="C374" s="1">
        <v>2</v>
      </c>
      <c r="D374" t="s">
        <v>13</v>
      </c>
      <c r="E374" t="s">
        <v>26</v>
      </c>
      <c r="F374" t="s">
        <v>22</v>
      </c>
      <c r="G374" t="s">
        <v>29</v>
      </c>
      <c r="H374" t="s">
        <v>21</v>
      </c>
      <c r="I374" s="3">
        <v>16986</v>
      </c>
      <c r="J374" s="3" t="str">
        <f>IF(I374&gt;16000, "High", IF(I374&gt;=12000, IF(I374&lt;=15000, "Medium", "High"), "Low"))</f>
        <v>High</v>
      </c>
      <c r="K374" t="b">
        <v>0</v>
      </c>
      <c r="L374" t="b">
        <v>1</v>
      </c>
      <c r="M374" t="b">
        <v>1</v>
      </c>
    </row>
    <row r="375" spans="1:13" hidden="1" x14ac:dyDescent="0.3">
      <c r="A375">
        <v>50</v>
      </c>
      <c r="B375" t="s">
        <v>25</v>
      </c>
      <c r="C375" s="1">
        <v>2</v>
      </c>
      <c r="D375" t="s">
        <v>13</v>
      </c>
      <c r="E375" t="s">
        <v>14</v>
      </c>
      <c r="F375" t="s">
        <v>15</v>
      </c>
      <c r="G375" t="s">
        <v>29</v>
      </c>
      <c r="H375" t="s">
        <v>24</v>
      </c>
      <c r="I375" s="3">
        <v>16862</v>
      </c>
      <c r="J375" s="3" t="str">
        <f>IF(I375&gt;16000, "High", IF(I375&gt;=12000, IF(I375&lt;=15000, "Medium", "High"), "Low"))</f>
        <v>High</v>
      </c>
      <c r="K375" t="b">
        <v>1</v>
      </c>
      <c r="L375" t="b">
        <v>1</v>
      </c>
      <c r="M375" t="b">
        <v>1</v>
      </c>
    </row>
    <row r="376" spans="1:13" hidden="1" x14ac:dyDescent="0.3">
      <c r="A376">
        <v>26</v>
      </c>
      <c r="B376" t="s">
        <v>12</v>
      </c>
      <c r="C376" s="1">
        <v>3</v>
      </c>
      <c r="D376" t="s">
        <v>13</v>
      </c>
      <c r="E376" t="s">
        <v>20</v>
      </c>
      <c r="F376" t="s">
        <v>22</v>
      </c>
      <c r="G376" t="s">
        <v>29</v>
      </c>
      <c r="H376" t="s">
        <v>21</v>
      </c>
      <c r="I376" s="3">
        <v>14423</v>
      </c>
      <c r="J376" s="3" t="str">
        <f>IF(I376&gt;16000, "High", IF(I376&gt;=12000, IF(I376&lt;=15000, "Medium", "High"), "Low"))</f>
        <v>Medium</v>
      </c>
      <c r="K376" t="b">
        <v>1</v>
      </c>
      <c r="L376" t="b">
        <v>0</v>
      </c>
      <c r="M376" t="b">
        <v>1</v>
      </c>
    </row>
    <row r="377" spans="1:13" hidden="1" x14ac:dyDescent="0.3">
      <c r="A377">
        <v>60</v>
      </c>
      <c r="B377" t="s">
        <v>25</v>
      </c>
      <c r="C377" s="1">
        <v>2</v>
      </c>
      <c r="D377" t="s">
        <v>19</v>
      </c>
      <c r="E377" t="s">
        <v>26</v>
      </c>
      <c r="F377" t="s">
        <v>22</v>
      </c>
      <c r="G377" t="s">
        <v>29</v>
      </c>
      <c r="H377" t="s">
        <v>24</v>
      </c>
      <c r="I377" s="3">
        <v>16870</v>
      </c>
      <c r="J377" s="3" t="str">
        <f>IF(I377&gt;16000, "High", IF(I377&gt;=12000, IF(I377&lt;=15000, "Medium", "High"), "Low"))</f>
        <v>High</v>
      </c>
      <c r="K377" t="b">
        <v>1</v>
      </c>
      <c r="L377" t="b">
        <v>1</v>
      </c>
      <c r="M377" t="b">
        <v>0</v>
      </c>
    </row>
    <row r="378" spans="1:13" hidden="1" x14ac:dyDescent="0.3">
      <c r="A378">
        <v>56</v>
      </c>
      <c r="B378" t="s">
        <v>18</v>
      </c>
      <c r="C378" s="1">
        <v>4</v>
      </c>
      <c r="D378" t="s">
        <v>28</v>
      </c>
      <c r="E378" t="s">
        <v>20</v>
      </c>
      <c r="F378" t="s">
        <v>27</v>
      </c>
      <c r="G378" t="s">
        <v>23</v>
      </c>
      <c r="H378" t="s">
        <v>24</v>
      </c>
      <c r="I378" s="3">
        <v>18159</v>
      </c>
      <c r="J378" s="3" t="str">
        <f>IF(I378&gt;16000, "High", IF(I378&gt;=12000, IF(I378&lt;=15000, "Medium", "High"), "Low"))</f>
        <v>High</v>
      </c>
      <c r="K378" t="b">
        <v>1</v>
      </c>
      <c r="L378" t="b">
        <v>1</v>
      </c>
      <c r="M378" t="b">
        <v>0</v>
      </c>
    </row>
    <row r="379" spans="1:13" hidden="1" x14ac:dyDescent="0.3">
      <c r="A379">
        <v>46</v>
      </c>
      <c r="B379" t="s">
        <v>25</v>
      </c>
      <c r="C379" s="1">
        <v>2</v>
      </c>
      <c r="D379" t="s">
        <v>28</v>
      </c>
      <c r="E379" t="s">
        <v>20</v>
      </c>
      <c r="F379" t="s">
        <v>27</v>
      </c>
      <c r="G379" t="s">
        <v>16</v>
      </c>
      <c r="H379" t="s">
        <v>21</v>
      </c>
      <c r="I379" s="3">
        <v>12073</v>
      </c>
      <c r="J379" s="3" t="str">
        <f>IF(I379&gt;16000, "High", IF(I379&gt;=12000, IF(I379&lt;=15000, "Medium", "High"), "Low"))</f>
        <v>Medium</v>
      </c>
      <c r="K379" t="b">
        <v>1</v>
      </c>
      <c r="L379" t="b">
        <v>1</v>
      </c>
      <c r="M379" t="b">
        <v>0</v>
      </c>
    </row>
    <row r="380" spans="1:13" hidden="1" x14ac:dyDescent="0.3">
      <c r="A380">
        <v>59</v>
      </c>
      <c r="B380" t="s">
        <v>18</v>
      </c>
      <c r="C380" s="1">
        <v>9</v>
      </c>
      <c r="D380" t="s">
        <v>28</v>
      </c>
      <c r="E380" t="s">
        <v>14</v>
      </c>
      <c r="F380" t="s">
        <v>22</v>
      </c>
      <c r="G380" t="s">
        <v>29</v>
      </c>
      <c r="H380" t="s">
        <v>24</v>
      </c>
      <c r="I380" s="3">
        <v>16170</v>
      </c>
      <c r="J380" s="3" t="str">
        <f>IF(I380&gt;16000, "High", IF(I380&gt;=12000, IF(I380&lt;=15000, "Medium", "High"), "Low"))</f>
        <v>High</v>
      </c>
      <c r="K380" t="b">
        <v>0</v>
      </c>
      <c r="L380" t="b">
        <v>1</v>
      </c>
      <c r="M380" t="b">
        <v>0</v>
      </c>
    </row>
    <row r="381" spans="1:13" hidden="1" x14ac:dyDescent="0.3">
      <c r="A381">
        <v>43</v>
      </c>
      <c r="B381" t="s">
        <v>12</v>
      </c>
      <c r="C381" s="1">
        <v>2</v>
      </c>
      <c r="D381" t="s">
        <v>13</v>
      </c>
      <c r="E381" t="s">
        <v>26</v>
      </c>
      <c r="F381" t="s">
        <v>15</v>
      </c>
      <c r="G381" t="s">
        <v>23</v>
      </c>
      <c r="H381" t="s">
        <v>21</v>
      </c>
      <c r="I381" s="3">
        <v>10701</v>
      </c>
      <c r="J381" s="3" t="str">
        <f>IF(I381&gt;16000, "High", IF(I381&gt;=12000, IF(I381&lt;=15000, "Medium", "High"), "Low"))</f>
        <v>Low</v>
      </c>
      <c r="K381" t="b">
        <v>1</v>
      </c>
      <c r="L381" t="b">
        <v>1</v>
      </c>
      <c r="M381" t="b">
        <v>0</v>
      </c>
    </row>
    <row r="382" spans="1:13" hidden="1" x14ac:dyDescent="0.3">
      <c r="A382">
        <v>52</v>
      </c>
      <c r="B382" t="s">
        <v>12</v>
      </c>
      <c r="C382" s="1">
        <v>9</v>
      </c>
      <c r="D382" t="s">
        <v>19</v>
      </c>
      <c r="E382" t="s">
        <v>26</v>
      </c>
      <c r="F382" t="s">
        <v>27</v>
      </c>
      <c r="G382" t="s">
        <v>29</v>
      </c>
      <c r="H382" t="s">
        <v>24</v>
      </c>
      <c r="I382" s="3">
        <v>18113</v>
      </c>
      <c r="J382" s="3" t="str">
        <f>IF(I382&gt;16000, "High", IF(I382&gt;=12000, IF(I382&lt;=15000, "Medium", "High"), "Low"))</f>
        <v>High</v>
      </c>
      <c r="K382" t="b">
        <v>0</v>
      </c>
      <c r="L382" t="b">
        <v>1</v>
      </c>
      <c r="M382" t="b">
        <v>0</v>
      </c>
    </row>
    <row r="383" spans="1:13" hidden="1" x14ac:dyDescent="0.3">
      <c r="A383">
        <v>42</v>
      </c>
      <c r="B383" t="s">
        <v>12</v>
      </c>
      <c r="C383" s="1">
        <v>6</v>
      </c>
      <c r="D383" t="s">
        <v>28</v>
      </c>
      <c r="E383" t="s">
        <v>20</v>
      </c>
      <c r="F383" t="s">
        <v>22</v>
      </c>
      <c r="G383" t="s">
        <v>29</v>
      </c>
      <c r="H383" t="s">
        <v>17</v>
      </c>
      <c r="I383" s="3">
        <v>16825</v>
      </c>
      <c r="J383" s="3" t="str">
        <f>IF(I383&gt;16000, "High", IF(I383&gt;=12000, IF(I383&lt;=15000, "Medium", "High"), "Low"))</f>
        <v>High</v>
      </c>
      <c r="K383" t="b">
        <v>1</v>
      </c>
      <c r="L383" t="b">
        <v>1</v>
      </c>
      <c r="M383" t="b">
        <v>1</v>
      </c>
    </row>
    <row r="384" spans="1:13" hidden="1" x14ac:dyDescent="0.3">
      <c r="A384">
        <v>41</v>
      </c>
      <c r="B384" t="s">
        <v>25</v>
      </c>
      <c r="C384" s="1">
        <v>1</v>
      </c>
      <c r="D384" t="s">
        <v>19</v>
      </c>
      <c r="E384" t="s">
        <v>26</v>
      </c>
      <c r="F384" t="s">
        <v>27</v>
      </c>
      <c r="G384" t="s">
        <v>16</v>
      </c>
      <c r="H384" t="s">
        <v>17</v>
      </c>
      <c r="I384" s="3">
        <v>17867</v>
      </c>
      <c r="J384" s="3" t="str">
        <f>IF(I384&gt;16000, "High", IF(I384&gt;=12000, IF(I384&lt;=15000, "Medium", "High"), "Low"))</f>
        <v>High</v>
      </c>
      <c r="K384" t="b">
        <v>0</v>
      </c>
      <c r="L384" t="b">
        <v>0</v>
      </c>
      <c r="M384" t="b">
        <v>1</v>
      </c>
    </row>
    <row r="385" spans="1:13" hidden="1" x14ac:dyDescent="0.3">
      <c r="A385">
        <v>30</v>
      </c>
      <c r="B385" t="s">
        <v>18</v>
      </c>
      <c r="C385" s="1">
        <v>4</v>
      </c>
      <c r="D385" t="s">
        <v>13</v>
      </c>
      <c r="E385" t="s">
        <v>20</v>
      </c>
      <c r="F385" t="s">
        <v>27</v>
      </c>
      <c r="G385" t="s">
        <v>16</v>
      </c>
      <c r="H385" t="s">
        <v>24</v>
      </c>
      <c r="I385" s="3">
        <v>14264</v>
      </c>
      <c r="J385" s="3" t="str">
        <f>IF(I385&gt;16000, "High", IF(I385&gt;=12000, IF(I385&lt;=15000, "Medium", "High"), "Low"))</f>
        <v>Medium</v>
      </c>
      <c r="K385" t="b">
        <v>1</v>
      </c>
      <c r="L385" t="b">
        <v>0</v>
      </c>
      <c r="M385" t="b">
        <v>1</v>
      </c>
    </row>
    <row r="386" spans="1:13" hidden="1" x14ac:dyDescent="0.3">
      <c r="A386">
        <v>24</v>
      </c>
      <c r="B386" t="s">
        <v>12</v>
      </c>
      <c r="C386" s="1">
        <v>1</v>
      </c>
      <c r="D386" t="s">
        <v>28</v>
      </c>
      <c r="E386" t="s">
        <v>20</v>
      </c>
      <c r="F386" t="s">
        <v>27</v>
      </c>
      <c r="G386" t="s">
        <v>16</v>
      </c>
      <c r="H386" t="s">
        <v>24</v>
      </c>
      <c r="I386" s="3">
        <v>17968</v>
      </c>
      <c r="J386" s="3" t="str">
        <f>IF(I386&gt;16000, "High", IF(I386&gt;=12000, IF(I386&lt;=15000, "Medium", "High"), "Low"))</f>
        <v>High</v>
      </c>
      <c r="K386" t="b">
        <v>0</v>
      </c>
      <c r="L386" t="b">
        <v>0</v>
      </c>
      <c r="M386" t="b">
        <v>1</v>
      </c>
    </row>
    <row r="387" spans="1:13" hidden="1" x14ac:dyDescent="0.3">
      <c r="A387">
        <v>53</v>
      </c>
      <c r="B387" t="s">
        <v>12</v>
      </c>
      <c r="C387" s="1">
        <v>6</v>
      </c>
      <c r="D387" t="s">
        <v>19</v>
      </c>
      <c r="E387" t="s">
        <v>14</v>
      </c>
      <c r="F387" t="s">
        <v>22</v>
      </c>
      <c r="G387" t="s">
        <v>29</v>
      </c>
      <c r="H387" t="s">
        <v>21</v>
      </c>
      <c r="I387" s="3">
        <v>18146</v>
      </c>
      <c r="J387" s="3" t="str">
        <f>IF(I387&gt;16000, "High", IF(I387&gt;=12000, IF(I387&lt;=15000, "Medium", "High"), "Low"))</f>
        <v>High</v>
      </c>
      <c r="K387" t="b">
        <v>1</v>
      </c>
      <c r="L387" t="b">
        <v>0</v>
      </c>
      <c r="M387" t="b">
        <v>1</v>
      </c>
    </row>
    <row r="388" spans="1:13" hidden="1" x14ac:dyDescent="0.3">
      <c r="A388">
        <v>62</v>
      </c>
      <c r="B388" t="s">
        <v>18</v>
      </c>
      <c r="C388" s="1">
        <v>4</v>
      </c>
      <c r="D388" t="s">
        <v>13</v>
      </c>
      <c r="E388" t="s">
        <v>14</v>
      </c>
      <c r="F388" t="s">
        <v>15</v>
      </c>
      <c r="G388" t="s">
        <v>29</v>
      </c>
      <c r="H388" t="s">
        <v>17</v>
      </c>
      <c r="I388" s="3">
        <v>17776</v>
      </c>
      <c r="J388" s="3" t="str">
        <f>IF(I388&gt;16000, "High", IF(I388&gt;=12000, IF(I388&lt;=15000, "Medium", "High"), "Low"))</f>
        <v>High</v>
      </c>
      <c r="K388" t="b">
        <v>1</v>
      </c>
      <c r="L388" t="b">
        <v>1</v>
      </c>
      <c r="M388" t="b">
        <v>1</v>
      </c>
    </row>
    <row r="389" spans="1:13" hidden="1" x14ac:dyDescent="0.3">
      <c r="A389">
        <v>37</v>
      </c>
      <c r="B389" t="s">
        <v>12</v>
      </c>
      <c r="C389" s="1">
        <v>3</v>
      </c>
      <c r="D389" t="s">
        <v>19</v>
      </c>
      <c r="E389" t="s">
        <v>14</v>
      </c>
      <c r="F389" t="s">
        <v>15</v>
      </c>
      <c r="G389" t="s">
        <v>29</v>
      </c>
      <c r="H389" t="s">
        <v>21</v>
      </c>
      <c r="I389" s="3">
        <v>18558</v>
      </c>
      <c r="J389" s="3" t="str">
        <f>IF(I389&gt;16000, "High", IF(I389&gt;=12000, IF(I389&lt;=15000, "Medium", "High"), "Low"))</f>
        <v>High</v>
      </c>
      <c r="K389" t="b">
        <v>1</v>
      </c>
      <c r="L389" t="b">
        <v>0</v>
      </c>
      <c r="M389" t="b">
        <v>1</v>
      </c>
    </row>
    <row r="390" spans="1:13" hidden="1" x14ac:dyDescent="0.3">
      <c r="A390">
        <v>18</v>
      </c>
      <c r="B390" t="s">
        <v>18</v>
      </c>
      <c r="C390" s="1">
        <v>3</v>
      </c>
      <c r="D390" t="s">
        <v>28</v>
      </c>
      <c r="E390" t="s">
        <v>20</v>
      </c>
      <c r="F390" t="s">
        <v>15</v>
      </c>
      <c r="G390" t="s">
        <v>16</v>
      </c>
      <c r="H390" t="s">
        <v>24</v>
      </c>
      <c r="I390" s="3">
        <v>18719</v>
      </c>
      <c r="J390" s="3" t="str">
        <f>IF(I390&gt;16000, "High", IF(I390&gt;=12000, IF(I390&lt;=15000, "Medium", "High"), "Low"))</f>
        <v>High</v>
      </c>
      <c r="K390" t="b">
        <v>1</v>
      </c>
      <c r="L390" t="b">
        <v>0</v>
      </c>
      <c r="M390" t="b">
        <v>1</v>
      </c>
    </row>
    <row r="391" spans="1:13" hidden="1" x14ac:dyDescent="0.3">
      <c r="A391">
        <v>25</v>
      </c>
      <c r="B391" t="s">
        <v>18</v>
      </c>
      <c r="C391" s="1">
        <v>9</v>
      </c>
      <c r="D391" t="s">
        <v>28</v>
      </c>
      <c r="E391" t="s">
        <v>26</v>
      </c>
      <c r="F391" t="s">
        <v>27</v>
      </c>
      <c r="G391" t="s">
        <v>23</v>
      </c>
      <c r="H391" t="s">
        <v>24</v>
      </c>
      <c r="I391" s="3">
        <v>14886</v>
      </c>
      <c r="J391" s="3" t="str">
        <f>IF(I391&gt;16000, "High", IF(I391&gt;=12000, IF(I391&lt;=15000, "Medium", "High"), "Low"))</f>
        <v>Medium</v>
      </c>
      <c r="K391" t="b">
        <v>0</v>
      </c>
      <c r="L391" t="b">
        <v>0</v>
      </c>
      <c r="M391" t="b">
        <v>0</v>
      </c>
    </row>
    <row r="392" spans="1:13" hidden="1" x14ac:dyDescent="0.3">
      <c r="A392">
        <v>63</v>
      </c>
      <c r="B392" t="s">
        <v>18</v>
      </c>
      <c r="C392" s="1">
        <v>6</v>
      </c>
      <c r="D392" t="s">
        <v>13</v>
      </c>
      <c r="E392" t="s">
        <v>14</v>
      </c>
      <c r="F392" t="s">
        <v>22</v>
      </c>
      <c r="G392" t="s">
        <v>29</v>
      </c>
      <c r="H392" t="s">
        <v>21</v>
      </c>
      <c r="I392" s="3">
        <v>13935</v>
      </c>
      <c r="J392" s="3" t="str">
        <f>IF(I392&gt;16000, "High", IF(I392&gt;=12000, IF(I392&lt;=15000, "Medium", "High"), "Low"))</f>
        <v>Medium</v>
      </c>
      <c r="K392" t="b">
        <v>1</v>
      </c>
      <c r="L392" t="b">
        <v>1</v>
      </c>
      <c r="M392" t="b">
        <v>0</v>
      </c>
    </row>
    <row r="393" spans="1:13" hidden="1" x14ac:dyDescent="0.3">
      <c r="A393">
        <v>33</v>
      </c>
      <c r="B393" t="s">
        <v>18</v>
      </c>
      <c r="C393" s="1">
        <v>9</v>
      </c>
      <c r="D393" t="s">
        <v>13</v>
      </c>
      <c r="E393" t="s">
        <v>26</v>
      </c>
      <c r="F393" t="s">
        <v>27</v>
      </c>
      <c r="G393" t="s">
        <v>29</v>
      </c>
      <c r="H393" t="s">
        <v>24</v>
      </c>
      <c r="I393" s="3">
        <v>14619</v>
      </c>
      <c r="J393" s="3" t="str">
        <f>IF(I393&gt;16000, "High", IF(I393&gt;=12000, IF(I393&lt;=15000, "Medium", "High"), "Low"))</f>
        <v>Medium</v>
      </c>
      <c r="K393" t="b">
        <v>0</v>
      </c>
      <c r="L393" t="b">
        <v>0</v>
      </c>
      <c r="M393" t="b">
        <v>0</v>
      </c>
    </row>
    <row r="394" spans="1:13" hidden="1" x14ac:dyDescent="0.3">
      <c r="A394">
        <v>31</v>
      </c>
      <c r="B394" t="s">
        <v>18</v>
      </c>
      <c r="C394" s="1">
        <v>5</v>
      </c>
      <c r="D394" t="s">
        <v>13</v>
      </c>
      <c r="E394" t="s">
        <v>14</v>
      </c>
      <c r="F394" t="s">
        <v>15</v>
      </c>
      <c r="G394" t="s">
        <v>29</v>
      </c>
      <c r="H394" t="s">
        <v>17</v>
      </c>
      <c r="I394" s="3">
        <v>15191</v>
      </c>
      <c r="J394" s="3" t="str">
        <f>IF(I394&gt;16000, "High", IF(I394&gt;=12000, IF(I394&lt;=15000, "Medium", "High"), "Low"))</f>
        <v>High</v>
      </c>
      <c r="K394" t="b">
        <v>1</v>
      </c>
      <c r="L394" t="b">
        <v>0</v>
      </c>
      <c r="M394" t="b">
        <v>0</v>
      </c>
    </row>
    <row r="395" spans="1:13" hidden="1" x14ac:dyDescent="0.3">
      <c r="A395">
        <v>29</v>
      </c>
      <c r="B395" t="s">
        <v>25</v>
      </c>
      <c r="C395" s="1">
        <v>2</v>
      </c>
      <c r="D395" t="s">
        <v>19</v>
      </c>
      <c r="E395" t="s">
        <v>14</v>
      </c>
      <c r="F395" t="s">
        <v>15</v>
      </c>
      <c r="G395" t="s">
        <v>23</v>
      </c>
      <c r="H395" t="s">
        <v>21</v>
      </c>
      <c r="I395" s="3">
        <v>16875</v>
      </c>
      <c r="J395" s="3" t="str">
        <f>IF(I395&gt;16000, "High", IF(I395&gt;=12000, IF(I395&lt;=15000, "Medium", "High"), "Low"))</f>
        <v>High</v>
      </c>
      <c r="K395" t="b">
        <v>0</v>
      </c>
      <c r="L395" t="b">
        <v>1</v>
      </c>
      <c r="M395" t="b">
        <v>0</v>
      </c>
    </row>
    <row r="396" spans="1:13" hidden="1" x14ac:dyDescent="0.3">
      <c r="A396">
        <v>40</v>
      </c>
      <c r="B396" t="s">
        <v>12</v>
      </c>
      <c r="C396" s="1">
        <v>8</v>
      </c>
      <c r="D396" t="s">
        <v>19</v>
      </c>
      <c r="E396" t="s">
        <v>20</v>
      </c>
      <c r="F396" t="s">
        <v>22</v>
      </c>
      <c r="G396" t="s">
        <v>29</v>
      </c>
      <c r="H396" t="s">
        <v>17</v>
      </c>
      <c r="I396" s="3">
        <v>17856</v>
      </c>
      <c r="J396" s="3" t="str">
        <f>IF(I396&gt;16000, "High", IF(I396&gt;=12000, IF(I396&lt;=15000, "Medium", "High"), "Low"))</f>
        <v>High</v>
      </c>
      <c r="K396" t="b">
        <v>1</v>
      </c>
      <c r="L396" t="b">
        <v>0</v>
      </c>
      <c r="M396" t="b">
        <v>0</v>
      </c>
    </row>
    <row r="397" spans="1:13" hidden="1" x14ac:dyDescent="0.3">
      <c r="A397">
        <v>32</v>
      </c>
      <c r="B397" t="s">
        <v>25</v>
      </c>
      <c r="C397" s="1">
        <v>5</v>
      </c>
      <c r="D397" t="s">
        <v>19</v>
      </c>
      <c r="E397" t="s">
        <v>14</v>
      </c>
      <c r="F397" t="s">
        <v>27</v>
      </c>
      <c r="G397" t="s">
        <v>23</v>
      </c>
      <c r="H397" t="s">
        <v>17</v>
      </c>
      <c r="I397" s="3">
        <v>15401</v>
      </c>
      <c r="J397" s="3" t="str">
        <f>IF(I397&gt;16000, "High", IF(I397&gt;=12000, IF(I397&lt;=15000, "Medium", "High"), "Low"))</f>
        <v>High</v>
      </c>
      <c r="K397" t="b">
        <v>1</v>
      </c>
      <c r="L397" t="b">
        <v>1</v>
      </c>
      <c r="M397" t="b">
        <v>0</v>
      </c>
    </row>
    <row r="398" spans="1:13" hidden="1" x14ac:dyDescent="0.3">
      <c r="A398">
        <v>45</v>
      </c>
      <c r="B398" t="s">
        <v>12</v>
      </c>
      <c r="C398" s="1">
        <v>2</v>
      </c>
      <c r="D398" t="s">
        <v>13</v>
      </c>
      <c r="E398" t="s">
        <v>14</v>
      </c>
      <c r="F398" t="s">
        <v>15</v>
      </c>
      <c r="G398" t="s">
        <v>29</v>
      </c>
      <c r="H398" t="s">
        <v>17</v>
      </c>
      <c r="I398" s="3">
        <v>13022</v>
      </c>
      <c r="J398" s="3" t="str">
        <f>IF(I398&gt;16000, "High", IF(I398&gt;=12000, IF(I398&lt;=15000, "Medium", "High"), "Low"))</f>
        <v>Medium</v>
      </c>
      <c r="K398" t="b">
        <v>0</v>
      </c>
      <c r="L398" t="b">
        <v>0</v>
      </c>
      <c r="M398" t="b">
        <v>1</v>
      </c>
    </row>
    <row r="399" spans="1:13" hidden="1" x14ac:dyDescent="0.3">
      <c r="A399">
        <v>51</v>
      </c>
      <c r="B399" t="s">
        <v>25</v>
      </c>
      <c r="C399" s="1">
        <v>4</v>
      </c>
      <c r="D399" t="s">
        <v>28</v>
      </c>
      <c r="E399" t="s">
        <v>20</v>
      </c>
      <c r="F399" t="s">
        <v>22</v>
      </c>
      <c r="G399" t="s">
        <v>23</v>
      </c>
      <c r="H399" t="s">
        <v>21</v>
      </c>
      <c r="I399" s="3">
        <v>15738</v>
      </c>
      <c r="J399" s="3" t="str">
        <f>IF(I399&gt;16000, "High", IF(I399&gt;=12000, IF(I399&lt;=15000, "Medium", "High"), "Low"))</f>
        <v>High</v>
      </c>
      <c r="K399" t="b">
        <v>1</v>
      </c>
      <c r="L399" t="b">
        <v>1</v>
      </c>
      <c r="M399" t="b">
        <v>1</v>
      </c>
    </row>
    <row r="400" spans="1:13" hidden="1" x14ac:dyDescent="0.3">
      <c r="A400">
        <v>19</v>
      </c>
      <c r="B400" t="s">
        <v>18</v>
      </c>
      <c r="C400" s="1">
        <v>9</v>
      </c>
      <c r="D400" t="s">
        <v>28</v>
      </c>
      <c r="E400" t="s">
        <v>26</v>
      </c>
      <c r="F400" t="s">
        <v>27</v>
      </c>
      <c r="G400" t="s">
        <v>29</v>
      </c>
      <c r="H400" t="s">
        <v>24</v>
      </c>
      <c r="I400" s="3">
        <v>15984</v>
      </c>
      <c r="J400" s="3" t="str">
        <f>IF(I400&gt;16000, "High", IF(I400&gt;=12000, IF(I400&lt;=15000, "Medium", "High"), "Low"))</f>
        <v>High</v>
      </c>
      <c r="K400" t="b">
        <v>1</v>
      </c>
      <c r="L400" t="b">
        <v>0</v>
      </c>
      <c r="M400" t="b">
        <v>0</v>
      </c>
    </row>
    <row r="401" spans="1:13" hidden="1" x14ac:dyDescent="0.3">
      <c r="A401">
        <v>49</v>
      </c>
      <c r="B401" t="s">
        <v>12</v>
      </c>
      <c r="C401" s="1">
        <v>4</v>
      </c>
      <c r="D401" t="s">
        <v>19</v>
      </c>
      <c r="E401" t="s">
        <v>14</v>
      </c>
      <c r="F401" t="s">
        <v>27</v>
      </c>
      <c r="G401" t="s">
        <v>16</v>
      </c>
      <c r="H401" t="s">
        <v>17</v>
      </c>
      <c r="I401" s="3">
        <v>11770</v>
      </c>
      <c r="J401" s="3" t="str">
        <f>IF(I401&gt;16000, "High", IF(I401&gt;=12000, IF(I401&lt;=15000, "Medium", "High"), "Low"))</f>
        <v>Low</v>
      </c>
      <c r="K401" t="b">
        <v>0</v>
      </c>
      <c r="L401" t="b">
        <v>0</v>
      </c>
      <c r="M401" t="b">
        <v>1</v>
      </c>
    </row>
    <row r="402" spans="1:13" hidden="1" x14ac:dyDescent="0.3">
      <c r="A402">
        <v>40</v>
      </c>
      <c r="B402" t="s">
        <v>12</v>
      </c>
      <c r="C402" s="1">
        <v>4</v>
      </c>
      <c r="D402" t="s">
        <v>19</v>
      </c>
      <c r="E402" t="s">
        <v>20</v>
      </c>
      <c r="F402" t="s">
        <v>15</v>
      </c>
      <c r="G402" t="s">
        <v>16</v>
      </c>
      <c r="H402" t="s">
        <v>17</v>
      </c>
      <c r="I402" s="3">
        <v>19969</v>
      </c>
      <c r="J402" s="3" t="str">
        <f>IF(I402&gt;16000, "High", IF(I402&gt;=12000, IF(I402&lt;=15000, "Medium", "High"), "Low"))</f>
        <v>High</v>
      </c>
      <c r="K402" t="b">
        <v>1</v>
      </c>
      <c r="L402" t="b">
        <v>0</v>
      </c>
      <c r="M402" t="b">
        <v>1</v>
      </c>
    </row>
    <row r="403" spans="1:13" hidden="1" x14ac:dyDescent="0.3">
      <c r="A403">
        <v>39</v>
      </c>
      <c r="B403" t="s">
        <v>25</v>
      </c>
      <c r="C403" s="1">
        <v>2</v>
      </c>
      <c r="D403" t="s">
        <v>28</v>
      </c>
      <c r="E403" t="s">
        <v>14</v>
      </c>
      <c r="F403" t="s">
        <v>15</v>
      </c>
      <c r="G403" t="s">
        <v>16</v>
      </c>
      <c r="H403" t="s">
        <v>17</v>
      </c>
      <c r="I403" s="3">
        <v>18989</v>
      </c>
      <c r="J403" s="3" t="str">
        <f>IF(I403&gt;16000, "High", IF(I403&gt;=12000, IF(I403&lt;=15000, "Medium", "High"), "Low"))</f>
        <v>High</v>
      </c>
      <c r="K403" t="b">
        <v>0</v>
      </c>
      <c r="L403" t="b">
        <v>1</v>
      </c>
      <c r="M403" t="b">
        <v>1</v>
      </c>
    </row>
    <row r="404" spans="1:13" hidden="1" x14ac:dyDescent="0.3">
      <c r="A404">
        <v>42</v>
      </c>
      <c r="B404" t="s">
        <v>25</v>
      </c>
      <c r="C404" s="1">
        <v>6</v>
      </c>
      <c r="D404" t="s">
        <v>28</v>
      </c>
      <c r="E404" t="s">
        <v>20</v>
      </c>
      <c r="F404" t="s">
        <v>27</v>
      </c>
      <c r="G404" t="s">
        <v>16</v>
      </c>
      <c r="H404" t="s">
        <v>24</v>
      </c>
      <c r="I404" s="3">
        <v>13215</v>
      </c>
      <c r="J404" s="3" t="str">
        <f>IF(I404&gt;16000, "High", IF(I404&gt;=12000, IF(I404&lt;=15000, "Medium", "High"), "Low"))</f>
        <v>Medium</v>
      </c>
      <c r="K404" t="b">
        <v>1</v>
      </c>
      <c r="L404" t="b">
        <v>0</v>
      </c>
      <c r="M404" t="b">
        <v>1</v>
      </c>
    </row>
    <row r="405" spans="1:13" hidden="1" x14ac:dyDescent="0.3">
      <c r="A405">
        <v>39</v>
      </c>
      <c r="B405" t="s">
        <v>12</v>
      </c>
      <c r="C405" s="1">
        <v>2</v>
      </c>
      <c r="D405" t="s">
        <v>19</v>
      </c>
      <c r="E405" t="s">
        <v>26</v>
      </c>
      <c r="F405" t="s">
        <v>27</v>
      </c>
      <c r="G405" t="s">
        <v>29</v>
      </c>
      <c r="H405" t="s">
        <v>24</v>
      </c>
      <c r="I405" s="3">
        <v>16694</v>
      </c>
      <c r="J405" s="3" t="str">
        <f>IF(I405&gt;16000, "High", IF(I405&gt;=12000, IF(I405&lt;=15000, "Medium", "High"), "Low"))</f>
        <v>High</v>
      </c>
      <c r="K405" t="b">
        <v>0</v>
      </c>
      <c r="L405" t="b">
        <v>1</v>
      </c>
      <c r="M405" t="b">
        <v>1</v>
      </c>
    </row>
    <row r="406" spans="1:13" hidden="1" x14ac:dyDescent="0.3">
      <c r="A406">
        <v>39</v>
      </c>
      <c r="B406" t="s">
        <v>25</v>
      </c>
      <c r="C406" s="1">
        <v>7</v>
      </c>
      <c r="D406" t="s">
        <v>19</v>
      </c>
      <c r="E406" t="s">
        <v>26</v>
      </c>
      <c r="F406" t="s">
        <v>15</v>
      </c>
      <c r="G406" t="s">
        <v>16</v>
      </c>
      <c r="H406" t="s">
        <v>21</v>
      </c>
      <c r="I406" s="3">
        <v>12976</v>
      </c>
      <c r="J406" s="3" t="str">
        <f>IF(I406&gt;16000, "High", IF(I406&gt;=12000, IF(I406&lt;=15000, "Medium", "High"), "Low"))</f>
        <v>Medium</v>
      </c>
      <c r="K406" t="b">
        <v>0</v>
      </c>
      <c r="L406" t="b">
        <v>1</v>
      </c>
      <c r="M406" t="b">
        <v>0</v>
      </c>
    </row>
    <row r="407" spans="1:13" hidden="1" x14ac:dyDescent="0.3">
      <c r="A407">
        <v>59</v>
      </c>
      <c r="B407" t="s">
        <v>25</v>
      </c>
      <c r="C407" s="1">
        <v>3</v>
      </c>
      <c r="D407" t="s">
        <v>28</v>
      </c>
      <c r="E407" t="s">
        <v>20</v>
      </c>
      <c r="F407" t="s">
        <v>27</v>
      </c>
      <c r="G407" t="s">
        <v>23</v>
      </c>
      <c r="H407" t="s">
        <v>24</v>
      </c>
      <c r="I407" s="3">
        <v>13737</v>
      </c>
      <c r="J407" s="3" t="str">
        <f>IF(I407&gt;16000, "High", IF(I407&gt;=12000, IF(I407&lt;=15000, "Medium", "High"), "Low"))</f>
        <v>Medium</v>
      </c>
      <c r="K407" t="b">
        <v>0</v>
      </c>
      <c r="L407" t="b">
        <v>1</v>
      </c>
      <c r="M407" t="b">
        <v>1</v>
      </c>
    </row>
    <row r="408" spans="1:13" hidden="1" x14ac:dyDescent="0.3">
      <c r="A408">
        <v>23</v>
      </c>
      <c r="B408" t="s">
        <v>25</v>
      </c>
      <c r="C408" s="1">
        <v>3</v>
      </c>
      <c r="D408" t="s">
        <v>13</v>
      </c>
      <c r="E408" t="s">
        <v>20</v>
      </c>
      <c r="F408" t="s">
        <v>15</v>
      </c>
      <c r="G408" t="s">
        <v>16</v>
      </c>
      <c r="H408" t="s">
        <v>21</v>
      </c>
      <c r="I408" s="3">
        <v>19903</v>
      </c>
      <c r="J408" s="3" t="str">
        <f>IF(I408&gt;16000, "High", IF(I408&gt;=12000, IF(I408&lt;=15000, "Medium", "High"), "Low"))</f>
        <v>High</v>
      </c>
      <c r="K408" t="b">
        <v>0</v>
      </c>
      <c r="L408" t="b">
        <v>1</v>
      </c>
      <c r="M408" t="b">
        <v>0</v>
      </c>
    </row>
    <row r="409" spans="1:13" x14ac:dyDescent="0.3">
      <c r="A409">
        <v>55</v>
      </c>
      <c r="B409" t="s">
        <v>18</v>
      </c>
      <c r="C409" s="1">
        <v>3</v>
      </c>
      <c r="D409" t="s">
        <v>19</v>
      </c>
      <c r="E409" t="s">
        <v>26</v>
      </c>
      <c r="F409" t="s">
        <v>27</v>
      </c>
      <c r="G409" t="s">
        <v>16</v>
      </c>
      <c r="H409" t="s">
        <v>21</v>
      </c>
      <c r="I409" s="3">
        <v>17271</v>
      </c>
      <c r="J409" s="3" t="str">
        <f>IF(I409&gt;16000, "High", IF(I409&gt;=12000, IF(I409&lt;=15000, "Medium", "High"), "Low"))</f>
        <v>High</v>
      </c>
      <c r="K409" t="b">
        <v>1</v>
      </c>
      <c r="L409" t="b">
        <v>0</v>
      </c>
      <c r="M409" t="b">
        <v>1</v>
      </c>
    </row>
    <row r="410" spans="1:13" hidden="1" x14ac:dyDescent="0.3">
      <c r="A410">
        <v>60</v>
      </c>
      <c r="B410" t="s">
        <v>18</v>
      </c>
      <c r="C410" s="1">
        <v>3</v>
      </c>
      <c r="D410" t="s">
        <v>28</v>
      </c>
      <c r="E410" t="s">
        <v>26</v>
      </c>
      <c r="F410" t="s">
        <v>15</v>
      </c>
      <c r="G410" t="s">
        <v>16</v>
      </c>
      <c r="H410" t="s">
        <v>21</v>
      </c>
      <c r="I410" s="3">
        <v>11392</v>
      </c>
      <c r="J410" s="3" t="str">
        <f>IF(I410&gt;16000, "High", IF(I410&gt;=12000, IF(I410&lt;=15000, "Medium", "High"), "Low"))</f>
        <v>Low</v>
      </c>
      <c r="K410" t="b">
        <v>1</v>
      </c>
      <c r="L410" t="b">
        <v>0</v>
      </c>
      <c r="M410" t="b">
        <v>0</v>
      </c>
    </row>
    <row r="411" spans="1:13" hidden="1" x14ac:dyDescent="0.3">
      <c r="A411">
        <v>54</v>
      </c>
      <c r="B411" t="s">
        <v>25</v>
      </c>
      <c r="C411" s="1">
        <v>2</v>
      </c>
      <c r="D411" t="s">
        <v>28</v>
      </c>
      <c r="E411" t="s">
        <v>14</v>
      </c>
      <c r="F411" t="s">
        <v>22</v>
      </c>
      <c r="G411" t="s">
        <v>29</v>
      </c>
      <c r="H411" t="s">
        <v>21</v>
      </c>
      <c r="I411" s="3">
        <v>16789</v>
      </c>
      <c r="J411" s="3" t="str">
        <f>IF(I411&gt;16000, "High", IF(I411&gt;=12000, IF(I411&lt;=15000, "Medium", "High"), "Low"))</f>
        <v>High</v>
      </c>
      <c r="K411" t="b">
        <v>0</v>
      </c>
      <c r="L411" t="b">
        <v>0</v>
      </c>
      <c r="M411" t="b">
        <v>1</v>
      </c>
    </row>
    <row r="412" spans="1:13" hidden="1" x14ac:dyDescent="0.3">
      <c r="A412">
        <v>50</v>
      </c>
      <c r="B412" t="s">
        <v>25</v>
      </c>
      <c r="C412" s="1">
        <v>9</v>
      </c>
      <c r="D412" t="s">
        <v>28</v>
      </c>
      <c r="E412" t="s">
        <v>26</v>
      </c>
      <c r="F412" t="s">
        <v>15</v>
      </c>
      <c r="G412" t="s">
        <v>16</v>
      </c>
      <c r="H412" t="s">
        <v>21</v>
      </c>
      <c r="I412" s="3">
        <v>10677</v>
      </c>
      <c r="J412" s="3" t="str">
        <f>IF(I412&gt;16000, "High", IF(I412&gt;=12000, IF(I412&lt;=15000, "Medium", "High"), "Low"))</f>
        <v>Low</v>
      </c>
      <c r="K412" t="b">
        <v>1</v>
      </c>
      <c r="L412" t="b">
        <v>1</v>
      </c>
      <c r="M412" t="b">
        <v>0</v>
      </c>
    </row>
    <row r="413" spans="1:13" hidden="1" x14ac:dyDescent="0.3">
      <c r="A413">
        <v>25</v>
      </c>
      <c r="B413" t="s">
        <v>18</v>
      </c>
      <c r="C413" s="1">
        <v>2</v>
      </c>
      <c r="D413" t="s">
        <v>28</v>
      </c>
      <c r="E413" t="s">
        <v>20</v>
      </c>
      <c r="F413" t="s">
        <v>15</v>
      </c>
      <c r="G413" t="s">
        <v>23</v>
      </c>
      <c r="H413" t="s">
        <v>17</v>
      </c>
      <c r="I413" s="3">
        <v>10105</v>
      </c>
      <c r="J413" s="3" t="str">
        <f>IF(I413&gt;16000, "High", IF(I413&gt;=12000, IF(I413&lt;=15000, "Medium", "High"), "Low"))</f>
        <v>Low</v>
      </c>
      <c r="K413" t="b">
        <v>1</v>
      </c>
      <c r="L413" t="b">
        <v>0</v>
      </c>
      <c r="M413" t="b">
        <v>0</v>
      </c>
    </row>
    <row r="414" spans="1:13" hidden="1" x14ac:dyDescent="0.3">
      <c r="A414">
        <v>61</v>
      </c>
      <c r="B414" t="s">
        <v>18</v>
      </c>
      <c r="C414" s="1">
        <v>2</v>
      </c>
      <c r="D414" t="s">
        <v>13</v>
      </c>
      <c r="E414" t="s">
        <v>20</v>
      </c>
      <c r="F414" t="s">
        <v>22</v>
      </c>
      <c r="G414" t="s">
        <v>16</v>
      </c>
      <c r="H414" t="s">
        <v>24</v>
      </c>
      <c r="I414" s="3">
        <v>14753</v>
      </c>
      <c r="J414" s="3" t="str">
        <f>IF(I414&gt;16000, "High", IF(I414&gt;=12000, IF(I414&lt;=15000, "Medium", "High"), "Low"))</f>
        <v>Medium</v>
      </c>
      <c r="K414" t="b">
        <v>1</v>
      </c>
      <c r="L414" t="b">
        <v>1</v>
      </c>
      <c r="M414" t="b">
        <v>0</v>
      </c>
    </row>
    <row r="415" spans="1:13" hidden="1" x14ac:dyDescent="0.3">
      <c r="A415">
        <v>61</v>
      </c>
      <c r="B415" t="s">
        <v>12</v>
      </c>
      <c r="C415" s="1">
        <v>8</v>
      </c>
      <c r="D415" t="s">
        <v>28</v>
      </c>
      <c r="E415" t="s">
        <v>26</v>
      </c>
      <c r="F415" t="s">
        <v>27</v>
      </c>
      <c r="G415" t="s">
        <v>16</v>
      </c>
      <c r="H415" t="s">
        <v>17</v>
      </c>
      <c r="I415" s="3">
        <v>11946</v>
      </c>
      <c r="J415" s="3" t="str">
        <f>IF(I415&gt;16000, "High", IF(I415&gt;=12000, IF(I415&lt;=15000, "Medium", "High"), "Low"))</f>
        <v>Low</v>
      </c>
      <c r="K415" t="b">
        <v>0</v>
      </c>
      <c r="L415" t="b">
        <v>1</v>
      </c>
      <c r="M415" t="b">
        <v>0</v>
      </c>
    </row>
    <row r="416" spans="1:13" hidden="1" x14ac:dyDescent="0.3">
      <c r="A416">
        <v>22</v>
      </c>
      <c r="B416" t="s">
        <v>12</v>
      </c>
      <c r="C416" s="1">
        <v>9</v>
      </c>
      <c r="D416" t="s">
        <v>19</v>
      </c>
      <c r="E416" t="s">
        <v>20</v>
      </c>
      <c r="F416" t="s">
        <v>22</v>
      </c>
      <c r="G416" t="s">
        <v>16</v>
      </c>
      <c r="H416" t="s">
        <v>21</v>
      </c>
      <c r="I416" s="3">
        <v>15544</v>
      </c>
      <c r="J416" s="3" t="str">
        <f>IF(I416&gt;16000, "High", IF(I416&gt;=12000, IF(I416&lt;=15000, "Medium", "High"), "Low"))</f>
        <v>High</v>
      </c>
      <c r="K416" t="b">
        <v>1</v>
      </c>
      <c r="L416" t="b">
        <v>1</v>
      </c>
      <c r="M416" t="b">
        <v>1</v>
      </c>
    </row>
    <row r="417" spans="1:13" hidden="1" x14ac:dyDescent="0.3">
      <c r="A417">
        <v>56</v>
      </c>
      <c r="B417" t="s">
        <v>18</v>
      </c>
      <c r="C417" s="1">
        <v>7</v>
      </c>
      <c r="D417" t="s">
        <v>13</v>
      </c>
      <c r="E417" t="s">
        <v>26</v>
      </c>
      <c r="F417" t="s">
        <v>15</v>
      </c>
      <c r="G417" t="s">
        <v>23</v>
      </c>
      <c r="H417" t="s">
        <v>24</v>
      </c>
      <c r="I417" s="3">
        <v>11095</v>
      </c>
      <c r="J417" s="3" t="str">
        <f>IF(I417&gt;16000, "High", IF(I417&gt;=12000, IF(I417&lt;=15000, "Medium", "High"), "Low"))</f>
        <v>Low</v>
      </c>
      <c r="K417" t="b">
        <v>1</v>
      </c>
      <c r="L417" t="b">
        <v>0</v>
      </c>
      <c r="M417" t="b">
        <v>0</v>
      </c>
    </row>
    <row r="418" spans="1:13" hidden="1" x14ac:dyDescent="0.3">
      <c r="A418">
        <v>21</v>
      </c>
      <c r="B418" t="s">
        <v>25</v>
      </c>
      <c r="C418" s="1">
        <v>3</v>
      </c>
      <c r="D418" t="s">
        <v>28</v>
      </c>
      <c r="E418" t="s">
        <v>20</v>
      </c>
      <c r="F418" t="s">
        <v>27</v>
      </c>
      <c r="G418" t="s">
        <v>16</v>
      </c>
      <c r="H418" t="s">
        <v>17</v>
      </c>
      <c r="I418" s="3">
        <v>16985</v>
      </c>
      <c r="J418" s="3" t="str">
        <f>IF(I418&gt;16000, "High", IF(I418&gt;=12000, IF(I418&lt;=15000, "Medium", "High"), "Low"))</f>
        <v>High</v>
      </c>
      <c r="K418" t="b">
        <v>0</v>
      </c>
      <c r="L418" t="b">
        <v>0</v>
      </c>
      <c r="M418" t="b">
        <v>0</v>
      </c>
    </row>
    <row r="419" spans="1:13" hidden="1" x14ac:dyDescent="0.3">
      <c r="A419">
        <v>23</v>
      </c>
      <c r="B419" t="s">
        <v>25</v>
      </c>
      <c r="C419" s="1">
        <v>9</v>
      </c>
      <c r="D419" t="s">
        <v>13</v>
      </c>
      <c r="E419" t="s">
        <v>14</v>
      </c>
      <c r="F419" t="s">
        <v>22</v>
      </c>
      <c r="G419" t="s">
        <v>23</v>
      </c>
      <c r="H419" t="s">
        <v>17</v>
      </c>
      <c r="I419" s="3">
        <v>11782</v>
      </c>
      <c r="J419" s="3" t="str">
        <f>IF(I419&gt;16000, "High", IF(I419&gt;=12000, IF(I419&lt;=15000, "Medium", "High"), "Low"))</f>
        <v>Low</v>
      </c>
      <c r="K419" t="b">
        <v>1</v>
      </c>
      <c r="L419" t="b">
        <v>1</v>
      </c>
      <c r="M419" t="b">
        <v>0</v>
      </c>
    </row>
    <row r="420" spans="1:13" hidden="1" x14ac:dyDescent="0.3">
      <c r="A420">
        <v>62</v>
      </c>
      <c r="B420" t="s">
        <v>25</v>
      </c>
      <c r="C420" s="1">
        <v>3</v>
      </c>
      <c r="D420" t="s">
        <v>19</v>
      </c>
      <c r="E420" t="s">
        <v>14</v>
      </c>
      <c r="F420" t="s">
        <v>27</v>
      </c>
      <c r="G420" t="s">
        <v>23</v>
      </c>
      <c r="H420" t="s">
        <v>21</v>
      </c>
      <c r="I420" s="3">
        <v>14541</v>
      </c>
      <c r="J420" s="3" t="str">
        <f>IF(I420&gt;16000, "High", IF(I420&gt;=12000, IF(I420&lt;=15000, "Medium", "High"), "Low"))</f>
        <v>Medium</v>
      </c>
      <c r="K420" t="b">
        <v>0</v>
      </c>
      <c r="L420" t="b">
        <v>0</v>
      </c>
      <c r="M420" t="b">
        <v>0</v>
      </c>
    </row>
    <row r="421" spans="1:13" hidden="1" x14ac:dyDescent="0.3">
      <c r="A421">
        <v>49</v>
      </c>
      <c r="B421" t="s">
        <v>25</v>
      </c>
      <c r="C421" s="1">
        <v>5</v>
      </c>
      <c r="D421" t="s">
        <v>28</v>
      </c>
      <c r="E421" t="s">
        <v>20</v>
      </c>
      <c r="F421" t="s">
        <v>27</v>
      </c>
      <c r="G421" t="s">
        <v>16</v>
      </c>
      <c r="H421" t="s">
        <v>17</v>
      </c>
      <c r="I421" s="3">
        <v>13257</v>
      </c>
      <c r="J421" s="3" t="str">
        <f>IF(I421&gt;16000, "High", IF(I421&gt;=12000, IF(I421&lt;=15000, "Medium", "High"), "Low"))</f>
        <v>Medium</v>
      </c>
      <c r="K421" t="b">
        <v>0</v>
      </c>
      <c r="L421" t="b">
        <v>0</v>
      </c>
      <c r="M421" t="b">
        <v>1</v>
      </c>
    </row>
    <row r="422" spans="1:13" hidden="1" x14ac:dyDescent="0.3">
      <c r="A422">
        <v>47</v>
      </c>
      <c r="B422" t="s">
        <v>12</v>
      </c>
      <c r="C422" s="1">
        <v>9</v>
      </c>
      <c r="D422" t="s">
        <v>19</v>
      </c>
      <c r="E422" t="s">
        <v>26</v>
      </c>
      <c r="F422" t="s">
        <v>22</v>
      </c>
      <c r="G422" t="s">
        <v>23</v>
      </c>
      <c r="H422" t="s">
        <v>17</v>
      </c>
      <c r="I422" s="3">
        <v>16213</v>
      </c>
      <c r="J422" s="3" t="str">
        <f>IF(I422&gt;16000, "High", IF(I422&gt;=12000, IF(I422&lt;=15000, "Medium", "High"), "Low"))</f>
        <v>High</v>
      </c>
      <c r="K422" t="b">
        <v>0</v>
      </c>
      <c r="L422" t="b">
        <v>1</v>
      </c>
      <c r="M422" t="b">
        <v>0</v>
      </c>
    </row>
    <row r="423" spans="1:13" hidden="1" x14ac:dyDescent="0.3">
      <c r="A423">
        <v>64</v>
      </c>
      <c r="B423" t="s">
        <v>18</v>
      </c>
      <c r="C423" s="1">
        <v>3</v>
      </c>
      <c r="D423" t="s">
        <v>28</v>
      </c>
      <c r="E423" t="s">
        <v>14</v>
      </c>
      <c r="F423" t="s">
        <v>27</v>
      </c>
      <c r="G423" t="s">
        <v>29</v>
      </c>
      <c r="H423" t="s">
        <v>17</v>
      </c>
      <c r="I423" s="3">
        <v>14869</v>
      </c>
      <c r="J423" s="3" t="str">
        <f>IF(I423&gt;16000, "High", IF(I423&gt;=12000, IF(I423&lt;=15000, "Medium", "High"), "Low"))</f>
        <v>Medium</v>
      </c>
      <c r="K423" t="b">
        <v>1</v>
      </c>
      <c r="L423" t="b">
        <v>1</v>
      </c>
      <c r="M423" t="b">
        <v>0</v>
      </c>
    </row>
    <row r="424" spans="1:13" hidden="1" x14ac:dyDescent="0.3">
      <c r="A424">
        <v>52</v>
      </c>
      <c r="B424" t="s">
        <v>25</v>
      </c>
      <c r="C424" s="1">
        <v>7</v>
      </c>
      <c r="D424" t="s">
        <v>28</v>
      </c>
      <c r="E424" t="s">
        <v>26</v>
      </c>
      <c r="F424" t="s">
        <v>22</v>
      </c>
      <c r="G424" t="s">
        <v>16</v>
      </c>
      <c r="H424" t="s">
        <v>17</v>
      </c>
      <c r="I424" s="3">
        <v>11561</v>
      </c>
      <c r="J424" s="3" t="str">
        <f>IF(I424&gt;16000, "High", IF(I424&gt;=12000, IF(I424&lt;=15000, "Medium", "High"), "Low"))</f>
        <v>Low</v>
      </c>
      <c r="K424" t="b">
        <v>1</v>
      </c>
      <c r="L424" t="b">
        <v>0</v>
      </c>
      <c r="M424" t="b">
        <v>0</v>
      </c>
    </row>
    <row r="425" spans="1:13" hidden="1" x14ac:dyDescent="0.3">
      <c r="A425">
        <v>57</v>
      </c>
      <c r="B425" t="s">
        <v>12</v>
      </c>
      <c r="C425" s="1">
        <v>1</v>
      </c>
      <c r="D425" t="s">
        <v>28</v>
      </c>
      <c r="E425" t="s">
        <v>20</v>
      </c>
      <c r="F425" t="s">
        <v>15</v>
      </c>
      <c r="G425" t="s">
        <v>16</v>
      </c>
      <c r="H425" t="s">
        <v>17</v>
      </c>
      <c r="I425" s="3">
        <v>14006</v>
      </c>
      <c r="J425" s="3" t="str">
        <f>IF(I425&gt;16000, "High", IF(I425&gt;=12000, IF(I425&lt;=15000, "Medium", "High"), "Low"))</f>
        <v>Medium</v>
      </c>
      <c r="K425" t="b">
        <v>0</v>
      </c>
      <c r="L425" t="b">
        <v>1</v>
      </c>
      <c r="M425" t="b">
        <v>0</v>
      </c>
    </row>
    <row r="426" spans="1:13" hidden="1" x14ac:dyDescent="0.3">
      <c r="A426">
        <v>33</v>
      </c>
      <c r="B426" t="s">
        <v>25</v>
      </c>
      <c r="C426" s="1">
        <v>4</v>
      </c>
      <c r="D426" t="s">
        <v>28</v>
      </c>
      <c r="E426" t="s">
        <v>26</v>
      </c>
      <c r="F426" t="s">
        <v>27</v>
      </c>
      <c r="G426" t="s">
        <v>23</v>
      </c>
      <c r="H426" t="s">
        <v>21</v>
      </c>
      <c r="I426" s="3">
        <v>19867</v>
      </c>
      <c r="J426" s="3" t="str">
        <f>IF(I426&gt;16000, "High", IF(I426&gt;=12000, IF(I426&lt;=15000, "Medium", "High"), "Low"))</f>
        <v>High</v>
      </c>
      <c r="K426" t="b">
        <v>0</v>
      </c>
      <c r="L426" t="b">
        <v>1</v>
      </c>
      <c r="M426" t="b">
        <v>0</v>
      </c>
    </row>
    <row r="427" spans="1:13" hidden="1" x14ac:dyDescent="0.3">
      <c r="A427">
        <v>30</v>
      </c>
      <c r="B427" t="s">
        <v>18</v>
      </c>
      <c r="C427" s="1">
        <v>4</v>
      </c>
      <c r="D427" t="s">
        <v>28</v>
      </c>
      <c r="E427" t="s">
        <v>14</v>
      </c>
      <c r="F427" t="s">
        <v>15</v>
      </c>
      <c r="G427" t="s">
        <v>23</v>
      </c>
      <c r="H427" t="s">
        <v>21</v>
      </c>
      <c r="I427" s="3">
        <v>19314</v>
      </c>
      <c r="J427" s="3" t="str">
        <f>IF(I427&gt;16000, "High", IF(I427&gt;=12000, IF(I427&lt;=15000, "Medium", "High"), "Low"))</f>
        <v>High</v>
      </c>
      <c r="K427" t="b">
        <v>0</v>
      </c>
      <c r="L427" t="b">
        <v>0</v>
      </c>
      <c r="M427" t="b">
        <v>0</v>
      </c>
    </row>
    <row r="428" spans="1:13" hidden="1" x14ac:dyDescent="0.3">
      <c r="A428">
        <v>59</v>
      </c>
      <c r="B428" t="s">
        <v>12</v>
      </c>
      <c r="C428" s="1">
        <v>7</v>
      </c>
      <c r="D428" t="s">
        <v>13</v>
      </c>
      <c r="E428" t="s">
        <v>26</v>
      </c>
      <c r="F428" t="s">
        <v>15</v>
      </c>
      <c r="G428" t="s">
        <v>16</v>
      </c>
      <c r="H428" t="s">
        <v>17</v>
      </c>
      <c r="I428" s="3">
        <v>13981</v>
      </c>
      <c r="J428" s="3" t="str">
        <f>IF(I428&gt;16000, "High", IF(I428&gt;=12000, IF(I428&lt;=15000, "Medium", "High"), "Low"))</f>
        <v>Medium</v>
      </c>
      <c r="K428" t="b">
        <v>0</v>
      </c>
      <c r="L428" t="b">
        <v>0</v>
      </c>
      <c r="M428" t="b">
        <v>1</v>
      </c>
    </row>
    <row r="429" spans="1:13" hidden="1" x14ac:dyDescent="0.3">
      <c r="A429">
        <v>47</v>
      </c>
      <c r="B429" t="s">
        <v>18</v>
      </c>
      <c r="C429" s="1">
        <v>8</v>
      </c>
      <c r="D429" t="s">
        <v>28</v>
      </c>
      <c r="E429" t="s">
        <v>26</v>
      </c>
      <c r="F429" t="s">
        <v>27</v>
      </c>
      <c r="G429" t="s">
        <v>29</v>
      </c>
      <c r="H429" t="s">
        <v>21</v>
      </c>
      <c r="I429" s="3">
        <v>19493</v>
      </c>
      <c r="J429" s="3" t="str">
        <f>IF(I429&gt;16000, "High", IF(I429&gt;=12000, IF(I429&lt;=15000, "Medium", "High"), "Low"))</f>
        <v>High</v>
      </c>
      <c r="K429" t="b">
        <v>0</v>
      </c>
      <c r="L429" t="b">
        <v>1</v>
      </c>
      <c r="M429" t="b">
        <v>0</v>
      </c>
    </row>
    <row r="430" spans="1:13" hidden="1" x14ac:dyDescent="0.3">
      <c r="A430">
        <v>36</v>
      </c>
      <c r="B430" t="s">
        <v>18</v>
      </c>
      <c r="C430" s="1">
        <v>1</v>
      </c>
      <c r="D430" t="s">
        <v>28</v>
      </c>
      <c r="E430" t="s">
        <v>20</v>
      </c>
      <c r="F430" t="s">
        <v>22</v>
      </c>
      <c r="G430" t="s">
        <v>23</v>
      </c>
      <c r="H430" t="s">
        <v>21</v>
      </c>
      <c r="I430" s="3">
        <v>15682</v>
      </c>
      <c r="J430" s="3" t="str">
        <f>IF(I430&gt;16000, "High", IF(I430&gt;=12000, IF(I430&lt;=15000, "Medium", "High"), "Low"))</f>
        <v>High</v>
      </c>
      <c r="K430" t="b">
        <v>0</v>
      </c>
      <c r="L430" t="b">
        <v>0</v>
      </c>
      <c r="M430" t="b">
        <v>1</v>
      </c>
    </row>
    <row r="431" spans="1:13" hidden="1" x14ac:dyDescent="0.3">
      <c r="A431">
        <v>34</v>
      </c>
      <c r="B431" t="s">
        <v>12</v>
      </c>
      <c r="C431" s="1">
        <v>5</v>
      </c>
      <c r="D431" t="s">
        <v>13</v>
      </c>
      <c r="E431" t="s">
        <v>20</v>
      </c>
      <c r="F431" t="s">
        <v>27</v>
      </c>
      <c r="G431" t="s">
        <v>23</v>
      </c>
      <c r="H431" t="s">
        <v>24</v>
      </c>
      <c r="I431" s="3">
        <v>15782</v>
      </c>
      <c r="J431" s="3" t="str">
        <f>IF(I431&gt;16000, "High", IF(I431&gt;=12000, IF(I431&lt;=15000, "Medium", "High"), "Low"))</f>
        <v>High</v>
      </c>
      <c r="K431" t="b">
        <v>1</v>
      </c>
      <c r="L431" t="b">
        <v>1</v>
      </c>
      <c r="M431" t="b">
        <v>1</v>
      </c>
    </row>
    <row r="432" spans="1:13" hidden="1" x14ac:dyDescent="0.3">
      <c r="A432">
        <v>36</v>
      </c>
      <c r="B432" t="s">
        <v>12</v>
      </c>
      <c r="C432" s="1">
        <v>7</v>
      </c>
      <c r="D432" t="s">
        <v>13</v>
      </c>
      <c r="E432" t="s">
        <v>20</v>
      </c>
      <c r="F432" t="s">
        <v>15</v>
      </c>
      <c r="G432" t="s">
        <v>29</v>
      </c>
      <c r="H432" t="s">
        <v>17</v>
      </c>
      <c r="I432" s="3">
        <v>10943</v>
      </c>
      <c r="J432" s="3" t="str">
        <f>IF(I432&gt;16000, "High", IF(I432&gt;=12000, IF(I432&lt;=15000, "Medium", "High"), "Low"))</f>
        <v>Low</v>
      </c>
      <c r="K432" t="b">
        <v>0</v>
      </c>
      <c r="L432" t="b">
        <v>1</v>
      </c>
      <c r="M432" t="b">
        <v>0</v>
      </c>
    </row>
    <row r="433" spans="1:13" hidden="1" x14ac:dyDescent="0.3">
      <c r="A433">
        <v>45</v>
      </c>
      <c r="B433" t="s">
        <v>12</v>
      </c>
      <c r="C433" s="1">
        <v>4</v>
      </c>
      <c r="D433" t="s">
        <v>13</v>
      </c>
      <c r="E433" t="s">
        <v>14</v>
      </c>
      <c r="F433" t="s">
        <v>15</v>
      </c>
      <c r="G433" t="s">
        <v>29</v>
      </c>
      <c r="H433" t="s">
        <v>21</v>
      </c>
      <c r="I433" s="3">
        <v>14550</v>
      </c>
      <c r="J433" s="3" t="str">
        <f>IF(I433&gt;16000, "High", IF(I433&gt;=12000, IF(I433&lt;=15000, "Medium", "High"), "Low"))</f>
        <v>Medium</v>
      </c>
      <c r="K433" t="b">
        <v>0</v>
      </c>
      <c r="L433" t="b">
        <v>0</v>
      </c>
      <c r="M433" t="b">
        <v>1</v>
      </c>
    </row>
    <row r="434" spans="1:13" hidden="1" x14ac:dyDescent="0.3">
      <c r="A434">
        <v>43</v>
      </c>
      <c r="B434" t="s">
        <v>12</v>
      </c>
      <c r="C434" s="1">
        <v>4</v>
      </c>
      <c r="D434" t="s">
        <v>13</v>
      </c>
      <c r="E434" t="s">
        <v>14</v>
      </c>
      <c r="F434" t="s">
        <v>22</v>
      </c>
      <c r="G434" t="s">
        <v>16</v>
      </c>
      <c r="H434" t="s">
        <v>21</v>
      </c>
      <c r="I434" s="3">
        <v>19137</v>
      </c>
      <c r="J434" s="3" t="str">
        <f>IF(I434&gt;16000, "High", IF(I434&gt;=12000, IF(I434&lt;=15000, "Medium", "High"), "Low"))</f>
        <v>High</v>
      </c>
      <c r="K434" t="b">
        <v>0</v>
      </c>
      <c r="L434" t="b">
        <v>1</v>
      </c>
      <c r="M434" t="b">
        <v>0</v>
      </c>
    </row>
    <row r="435" spans="1:13" hidden="1" x14ac:dyDescent="0.3">
      <c r="A435">
        <v>54</v>
      </c>
      <c r="B435" t="s">
        <v>12</v>
      </c>
      <c r="C435" s="1">
        <v>4</v>
      </c>
      <c r="D435" t="s">
        <v>13</v>
      </c>
      <c r="E435" t="s">
        <v>20</v>
      </c>
      <c r="F435" t="s">
        <v>27</v>
      </c>
      <c r="G435" t="s">
        <v>29</v>
      </c>
      <c r="H435" t="s">
        <v>17</v>
      </c>
      <c r="I435" s="3">
        <v>10600</v>
      </c>
      <c r="J435" s="3" t="str">
        <f>IF(I435&gt;16000, "High", IF(I435&gt;=12000, IF(I435&lt;=15000, "Medium", "High"), "Low"))</f>
        <v>Low</v>
      </c>
      <c r="K435" t="b">
        <v>1</v>
      </c>
      <c r="L435" t="b">
        <v>1</v>
      </c>
      <c r="M435" t="b">
        <v>1</v>
      </c>
    </row>
    <row r="436" spans="1:13" hidden="1" x14ac:dyDescent="0.3">
      <c r="A436">
        <v>43</v>
      </c>
      <c r="B436" t="s">
        <v>12</v>
      </c>
      <c r="C436" s="1">
        <v>6</v>
      </c>
      <c r="D436" t="s">
        <v>13</v>
      </c>
      <c r="E436" t="s">
        <v>20</v>
      </c>
      <c r="F436" t="s">
        <v>15</v>
      </c>
      <c r="G436" t="s">
        <v>16</v>
      </c>
      <c r="H436" t="s">
        <v>24</v>
      </c>
      <c r="I436" s="3">
        <v>16376</v>
      </c>
      <c r="J436" s="3" t="str">
        <f>IF(I436&gt;16000, "High", IF(I436&gt;=12000, IF(I436&lt;=15000, "Medium", "High"), "Low"))</f>
        <v>High</v>
      </c>
      <c r="K436" t="b">
        <v>1</v>
      </c>
      <c r="L436" t="b">
        <v>1</v>
      </c>
      <c r="M436" t="b">
        <v>0</v>
      </c>
    </row>
    <row r="437" spans="1:13" hidden="1" x14ac:dyDescent="0.3">
      <c r="A437">
        <v>40</v>
      </c>
      <c r="B437" t="s">
        <v>12</v>
      </c>
      <c r="C437" s="1">
        <v>7</v>
      </c>
      <c r="D437" t="s">
        <v>28</v>
      </c>
      <c r="E437" t="s">
        <v>14</v>
      </c>
      <c r="F437" t="s">
        <v>15</v>
      </c>
      <c r="G437" t="s">
        <v>29</v>
      </c>
      <c r="H437" t="s">
        <v>17</v>
      </c>
      <c r="I437" s="3">
        <v>19609</v>
      </c>
      <c r="J437" s="3" t="str">
        <f>IF(I437&gt;16000, "High", IF(I437&gt;=12000, IF(I437&lt;=15000, "Medium", "High"), "Low"))</f>
        <v>High</v>
      </c>
      <c r="K437" t="b">
        <v>1</v>
      </c>
      <c r="L437" t="b">
        <v>0</v>
      </c>
      <c r="M437" t="b">
        <v>1</v>
      </c>
    </row>
    <row r="438" spans="1:13" hidden="1" x14ac:dyDescent="0.3">
      <c r="A438">
        <v>26</v>
      </c>
      <c r="B438" t="s">
        <v>25</v>
      </c>
      <c r="C438" s="1">
        <v>2</v>
      </c>
      <c r="D438" t="s">
        <v>28</v>
      </c>
      <c r="E438" t="s">
        <v>14</v>
      </c>
      <c r="F438" t="s">
        <v>15</v>
      </c>
      <c r="G438" t="s">
        <v>23</v>
      </c>
      <c r="H438" t="s">
        <v>24</v>
      </c>
      <c r="I438" s="3">
        <v>11524</v>
      </c>
      <c r="J438" s="3" t="str">
        <f>IF(I438&gt;16000, "High", IF(I438&gt;=12000, IF(I438&lt;=15000, "Medium", "High"), "Low"))</f>
        <v>Low</v>
      </c>
      <c r="K438" t="b">
        <v>1</v>
      </c>
      <c r="L438" t="b">
        <v>0</v>
      </c>
      <c r="M438" t="b">
        <v>1</v>
      </c>
    </row>
    <row r="439" spans="1:13" x14ac:dyDescent="0.3">
      <c r="A439">
        <v>27</v>
      </c>
      <c r="B439" t="s">
        <v>18</v>
      </c>
      <c r="C439" s="1">
        <v>5</v>
      </c>
      <c r="D439" t="s">
        <v>19</v>
      </c>
      <c r="E439" t="s">
        <v>20</v>
      </c>
      <c r="F439" t="s">
        <v>15</v>
      </c>
      <c r="G439" t="s">
        <v>23</v>
      </c>
      <c r="H439" t="s">
        <v>21</v>
      </c>
      <c r="I439" s="3">
        <v>11823</v>
      </c>
      <c r="J439" s="3" t="str">
        <f>IF(I439&gt;16000, "High", IF(I439&gt;=12000, IF(I439&lt;=15000, "Medium", "High"), "Low"))</f>
        <v>Low</v>
      </c>
      <c r="K439" t="b">
        <v>0</v>
      </c>
      <c r="L439" t="b">
        <v>1</v>
      </c>
      <c r="M439" t="b">
        <v>1</v>
      </c>
    </row>
    <row r="440" spans="1:13" hidden="1" x14ac:dyDescent="0.3">
      <c r="A440">
        <v>18</v>
      </c>
      <c r="B440" t="s">
        <v>12</v>
      </c>
      <c r="C440" s="1">
        <v>4</v>
      </c>
      <c r="D440" t="s">
        <v>28</v>
      </c>
      <c r="E440" t="s">
        <v>14</v>
      </c>
      <c r="F440" t="s">
        <v>15</v>
      </c>
      <c r="G440" t="s">
        <v>16</v>
      </c>
      <c r="H440" t="s">
        <v>17</v>
      </c>
      <c r="I440" s="3">
        <v>10250</v>
      </c>
      <c r="J440" s="3" t="str">
        <f>IF(I440&gt;16000, "High", IF(I440&gt;=12000, IF(I440&lt;=15000, "Medium", "High"), "Low"))</f>
        <v>Low</v>
      </c>
      <c r="K440" t="b">
        <v>1</v>
      </c>
      <c r="L440" t="b">
        <v>1</v>
      </c>
      <c r="M440" t="b">
        <v>1</v>
      </c>
    </row>
    <row r="441" spans="1:13" hidden="1" x14ac:dyDescent="0.3">
      <c r="A441">
        <v>18</v>
      </c>
      <c r="B441" t="s">
        <v>25</v>
      </c>
      <c r="C441" s="1">
        <v>3</v>
      </c>
      <c r="D441" t="s">
        <v>28</v>
      </c>
      <c r="E441" t="s">
        <v>20</v>
      </c>
      <c r="F441" t="s">
        <v>15</v>
      </c>
      <c r="G441" t="s">
        <v>16</v>
      </c>
      <c r="H441" t="s">
        <v>17</v>
      </c>
      <c r="I441" s="3">
        <v>19736</v>
      </c>
      <c r="J441" s="3" t="str">
        <f>IF(I441&gt;16000, "High", IF(I441&gt;=12000, IF(I441&lt;=15000, "Medium", "High"), "Low"))</f>
        <v>High</v>
      </c>
      <c r="K441" t="b">
        <v>0</v>
      </c>
      <c r="L441" t="b">
        <v>1</v>
      </c>
      <c r="M441" t="b">
        <v>1</v>
      </c>
    </row>
    <row r="442" spans="1:13" hidden="1" x14ac:dyDescent="0.3">
      <c r="A442">
        <v>64</v>
      </c>
      <c r="B442" t="s">
        <v>25</v>
      </c>
      <c r="C442" s="1">
        <v>7</v>
      </c>
      <c r="D442" t="s">
        <v>13</v>
      </c>
      <c r="E442" t="s">
        <v>14</v>
      </c>
      <c r="F442" t="s">
        <v>27</v>
      </c>
      <c r="G442" t="s">
        <v>29</v>
      </c>
      <c r="H442" t="s">
        <v>17</v>
      </c>
      <c r="I442" s="3">
        <v>10078</v>
      </c>
      <c r="J442" s="3" t="str">
        <f>IF(I442&gt;16000, "High", IF(I442&gt;=12000, IF(I442&lt;=15000, "Medium", "High"), "Low"))</f>
        <v>Low</v>
      </c>
      <c r="K442" t="b">
        <v>0</v>
      </c>
      <c r="L442" t="b">
        <v>0</v>
      </c>
      <c r="M442" t="b">
        <v>1</v>
      </c>
    </row>
    <row r="443" spans="1:13" hidden="1" x14ac:dyDescent="0.3">
      <c r="A443">
        <v>51</v>
      </c>
      <c r="B443" t="s">
        <v>25</v>
      </c>
      <c r="C443" s="1">
        <v>6</v>
      </c>
      <c r="D443" t="s">
        <v>13</v>
      </c>
      <c r="E443" t="s">
        <v>20</v>
      </c>
      <c r="F443" t="s">
        <v>27</v>
      </c>
      <c r="G443" t="s">
        <v>23</v>
      </c>
      <c r="H443" t="s">
        <v>24</v>
      </c>
      <c r="I443" s="3">
        <v>13123</v>
      </c>
      <c r="J443" s="3" t="str">
        <f>IF(I443&gt;16000, "High", IF(I443&gt;=12000, IF(I443&lt;=15000, "Medium", "High"), "Low"))</f>
        <v>Medium</v>
      </c>
      <c r="K443" t="b">
        <v>0</v>
      </c>
      <c r="L443" t="b">
        <v>0</v>
      </c>
      <c r="M443" t="b">
        <v>1</v>
      </c>
    </row>
    <row r="444" spans="1:13" hidden="1" x14ac:dyDescent="0.3">
      <c r="A444">
        <v>49</v>
      </c>
      <c r="B444" t="s">
        <v>18</v>
      </c>
      <c r="C444" s="1">
        <v>7</v>
      </c>
      <c r="D444" t="s">
        <v>28</v>
      </c>
      <c r="E444" t="s">
        <v>26</v>
      </c>
      <c r="F444" t="s">
        <v>15</v>
      </c>
      <c r="G444" t="s">
        <v>16</v>
      </c>
      <c r="H444" t="s">
        <v>24</v>
      </c>
      <c r="I444" s="3">
        <v>19089</v>
      </c>
      <c r="J444" s="3" t="str">
        <f>IF(I444&gt;16000, "High", IF(I444&gt;=12000, IF(I444&lt;=15000, "Medium", "High"), "Low"))</f>
        <v>High</v>
      </c>
      <c r="K444" t="b">
        <v>0</v>
      </c>
      <c r="L444" t="b">
        <v>0</v>
      </c>
      <c r="M444" t="b">
        <v>1</v>
      </c>
    </row>
    <row r="445" spans="1:13" hidden="1" x14ac:dyDescent="0.3">
      <c r="A445">
        <v>42</v>
      </c>
      <c r="B445" t="s">
        <v>12</v>
      </c>
      <c r="C445" s="1">
        <v>5</v>
      </c>
      <c r="D445" t="s">
        <v>19</v>
      </c>
      <c r="E445" t="s">
        <v>26</v>
      </c>
      <c r="F445" t="s">
        <v>15</v>
      </c>
      <c r="G445" t="s">
        <v>16</v>
      </c>
      <c r="H445" t="s">
        <v>21</v>
      </c>
      <c r="I445" s="3">
        <v>17064</v>
      </c>
      <c r="J445" s="3" t="str">
        <f>IF(I445&gt;16000, "High", IF(I445&gt;=12000, IF(I445&lt;=15000, "Medium", "High"), "Low"))</f>
        <v>High</v>
      </c>
      <c r="K445" t="b">
        <v>0</v>
      </c>
      <c r="L445" t="b">
        <v>1</v>
      </c>
      <c r="M445" t="b">
        <v>0</v>
      </c>
    </row>
    <row r="446" spans="1:13" hidden="1" x14ac:dyDescent="0.3">
      <c r="A446">
        <v>57</v>
      </c>
      <c r="B446" t="s">
        <v>25</v>
      </c>
      <c r="C446" s="1">
        <v>6</v>
      </c>
      <c r="D446" t="s">
        <v>13</v>
      </c>
      <c r="E446" t="s">
        <v>14</v>
      </c>
      <c r="F446" t="s">
        <v>27</v>
      </c>
      <c r="G446" t="s">
        <v>16</v>
      </c>
      <c r="H446" t="s">
        <v>17</v>
      </c>
      <c r="I446" s="3">
        <v>18417</v>
      </c>
      <c r="J446" s="3" t="str">
        <f>IF(I446&gt;16000, "High", IF(I446&gt;=12000, IF(I446&lt;=15000, "Medium", "High"), "Low"))</f>
        <v>High</v>
      </c>
      <c r="K446" t="b">
        <v>0</v>
      </c>
      <c r="L446" t="b">
        <v>0</v>
      </c>
      <c r="M446" t="b">
        <v>1</v>
      </c>
    </row>
    <row r="447" spans="1:13" hidden="1" x14ac:dyDescent="0.3">
      <c r="A447">
        <v>62</v>
      </c>
      <c r="B447" t="s">
        <v>18</v>
      </c>
      <c r="C447" s="1">
        <v>5</v>
      </c>
      <c r="D447" t="s">
        <v>28</v>
      </c>
      <c r="E447" t="s">
        <v>26</v>
      </c>
      <c r="F447" t="s">
        <v>22</v>
      </c>
      <c r="G447" t="s">
        <v>16</v>
      </c>
      <c r="H447" t="s">
        <v>24</v>
      </c>
      <c r="I447" s="3">
        <v>11209</v>
      </c>
      <c r="J447" s="3" t="str">
        <f>IF(I447&gt;16000, "High", IF(I447&gt;=12000, IF(I447&lt;=15000, "Medium", "High"), "Low"))</f>
        <v>Low</v>
      </c>
      <c r="K447" t="b">
        <v>1</v>
      </c>
      <c r="L447" t="b">
        <v>1</v>
      </c>
      <c r="M447" t="b">
        <v>1</v>
      </c>
    </row>
    <row r="448" spans="1:13" hidden="1" x14ac:dyDescent="0.3">
      <c r="A448">
        <v>18</v>
      </c>
      <c r="B448" t="s">
        <v>18</v>
      </c>
      <c r="C448" s="1">
        <v>7</v>
      </c>
      <c r="D448" t="s">
        <v>28</v>
      </c>
      <c r="E448" t="s">
        <v>26</v>
      </c>
      <c r="F448" t="s">
        <v>22</v>
      </c>
      <c r="G448" t="s">
        <v>23</v>
      </c>
      <c r="H448" t="s">
        <v>24</v>
      </c>
      <c r="I448" s="3">
        <v>15153</v>
      </c>
      <c r="J448" s="3" t="str">
        <f>IF(I448&gt;16000, "High", IF(I448&gt;=12000, IF(I448&lt;=15000, "Medium", "High"), "Low"))</f>
        <v>High</v>
      </c>
      <c r="K448" t="b">
        <v>1</v>
      </c>
      <c r="L448" t="b">
        <v>0</v>
      </c>
      <c r="M448" t="b">
        <v>0</v>
      </c>
    </row>
    <row r="449" spans="1:13" x14ac:dyDescent="0.3">
      <c r="A449">
        <v>56</v>
      </c>
      <c r="B449" t="s">
        <v>18</v>
      </c>
      <c r="C449" s="1">
        <v>3</v>
      </c>
      <c r="D449" t="s">
        <v>19</v>
      </c>
      <c r="E449" t="s">
        <v>26</v>
      </c>
      <c r="F449" t="s">
        <v>15</v>
      </c>
      <c r="G449" t="s">
        <v>29</v>
      </c>
      <c r="H449" t="s">
        <v>21</v>
      </c>
      <c r="I449" s="3">
        <v>16852</v>
      </c>
      <c r="J449" s="3" t="str">
        <f>IF(I449&gt;16000, "High", IF(I449&gt;=12000, IF(I449&lt;=15000, "Medium", "High"), "Low"))</f>
        <v>High</v>
      </c>
      <c r="K449" t="b">
        <v>0</v>
      </c>
      <c r="L449" t="b">
        <v>0</v>
      </c>
      <c r="M449" t="b">
        <v>1</v>
      </c>
    </row>
    <row r="450" spans="1:13" hidden="1" x14ac:dyDescent="0.3">
      <c r="A450">
        <v>56</v>
      </c>
      <c r="B450" t="s">
        <v>25</v>
      </c>
      <c r="C450" s="1">
        <v>5</v>
      </c>
      <c r="D450" t="s">
        <v>19</v>
      </c>
      <c r="E450" t="s">
        <v>14</v>
      </c>
      <c r="F450" t="s">
        <v>22</v>
      </c>
      <c r="G450" t="s">
        <v>23</v>
      </c>
      <c r="H450" t="s">
        <v>17</v>
      </c>
      <c r="I450" s="3">
        <v>12178</v>
      </c>
      <c r="J450" s="3" t="str">
        <f>IF(I450&gt;16000, "High", IF(I450&gt;=12000, IF(I450&lt;=15000, "Medium", "High"), "Low"))</f>
        <v>Medium</v>
      </c>
      <c r="K450" t="b">
        <v>1</v>
      </c>
      <c r="L450" t="b">
        <v>1</v>
      </c>
      <c r="M450" t="b">
        <v>0</v>
      </c>
    </row>
    <row r="451" spans="1:13" hidden="1" x14ac:dyDescent="0.3">
      <c r="A451">
        <v>22</v>
      </c>
      <c r="B451" t="s">
        <v>12</v>
      </c>
      <c r="C451" s="1">
        <v>6</v>
      </c>
      <c r="D451" t="s">
        <v>13</v>
      </c>
      <c r="E451" t="s">
        <v>14</v>
      </c>
      <c r="F451" t="s">
        <v>22</v>
      </c>
      <c r="G451" t="s">
        <v>16</v>
      </c>
      <c r="H451" t="s">
        <v>21</v>
      </c>
      <c r="I451" s="3">
        <v>17610</v>
      </c>
      <c r="J451" s="3" t="str">
        <f>IF(I451&gt;16000, "High", IF(I451&gt;=12000, IF(I451&lt;=15000, "Medium", "High"), "Low"))</f>
        <v>High</v>
      </c>
      <c r="K451" t="b">
        <v>1</v>
      </c>
      <c r="L451" t="b">
        <v>0</v>
      </c>
      <c r="M451" t="b">
        <v>1</v>
      </c>
    </row>
    <row r="452" spans="1:13" hidden="1" x14ac:dyDescent="0.3">
      <c r="A452">
        <v>39</v>
      </c>
      <c r="B452" t="s">
        <v>25</v>
      </c>
      <c r="C452" s="1">
        <v>6</v>
      </c>
      <c r="D452" t="s">
        <v>19</v>
      </c>
      <c r="E452" t="s">
        <v>26</v>
      </c>
      <c r="F452" t="s">
        <v>22</v>
      </c>
      <c r="G452" t="s">
        <v>23</v>
      </c>
      <c r="H452" t="s">
        <v>24</v>
      </c>
      <c r="I452" s="3">
        <v>18895</v>
      </c>
      <c r="J452" s="3" t="str">
        <f>IF(I452&gt;16000, "High", IF(I452&gt;=12000, IF(I452&lt;=15000, "Medium", "High"), "Low"))</f>
        <v>High</v>
      </c>
      <c r="K452" t="b">
        <v>0</v>
      </c>
      <c r="L452" t="b">
        <v>1</v>
      </c>
      <c r="M452" t="b">
        <v>1</v>
      </c>
    </row>
    <row r="453" spans="1:13" hidden="1" x14ac:dyDescent="0.3">
      <c r="A453">
        <v>46</v>
      </c>
      <c r="B453" t="s">
        <v>25</v>
      </c>
      <c r="C453" s="1">
        <v>5</v>
      </c>
      <c r="D453" t="s">
        <v>28</v>
      </c>
      <c r="E453" t="s">
        <v>20</v>
      </c>
      <c r="F453" t="s">
        <v>22</v>
      </c>
      <c r="G453" t="s">
        <v>16</v>
      </c>
      <c r="H453" t="s">
        <v>17</v>
      </c>
      <c r="I453" s="3">
        <v>12544</v>
      </c>
      <c r="J453" s="3" t="str">
        <f>IF(I453&gt;16000, "High", IF(I453&gt;=12000, IF(I453&lt;=15000, "Medium", "High"), "Low"))</f>
        <v>Medium</v>
      </c>
      <c r="K453" t="b">
        <v>1</v>
      </c>
      <c r="L453" t="b">
        <v>0</v>
      </c>
      <c r="M453" t="b">
        <v>1</v>
      </c>
    </row>
    <row r="454" spans="1:13" hidden="1" x14ac:dyDescent="0.3">
      <c r="A454">
        <v>20</v>
      </c>
      <c r="B454" t="s">
        <v>12</v>
      </c>
      <c r="C454" s="1">
        <v>7</v>
      </c>
      <c r="D454" t="s">
        <v>28</v>
      </c>
      <c r="E454" t="s">
        <v>26</v>
      </c>
      <c r="F454" t="s">
        <v>22</v>
      </c>
      <c r="G454" t="s">
        <v>29</v>
      </c>
      <c r="H454" t="s">
        <v>24</v>
      </c>
      <c r="I454" s="3">
        <v>15522</v>
      </c>
      <c r="J454" s="3" t="str">
        <f>IF(I454&gt;16000, "High", IF(I454&gt;=12000, IF(I454&lt;=15000, "Medium", "High"), "Low"))</f>
        <v>High</v>
      </c>
      <c r="K454" t="b">
        <v>1</v>
      </c>
      <c r="L454" t="b">
        <v>1</v>
      </c>
      <c r="M454" t="b">
        <v>1</v>
      </c>
    </row>
    <row r="455" spans="1:13" hidden="1" x14ac:dyDescent="0.3">
      <c r="A455">
        <v>29</v>
      </c>
      <c r="B455" t="s">
        <v>12</v>
      </c>
      <c r="C455" s="1">
        <v>8</v>
      </c>
      <c r="D455" t="s">
        <v>19</v>
      </c>
      <c r="E455" t="s">
        <v>14</v>
      </c>
      <c r="F455" t="s">
        <v>27</v>
      </c>
      <c r="G455" t="s">
        <v>29</v>
      </c>
      <c r="H455" t="s">
        <v>24</v>
      </c>
      <c r="I455" s="3">
        <v>12370</v>
      </c>
      <c r="J455" s="3" t="str">
        <f>IF(I455&gt;16000, "High", IF(I455&gt;=12000, IF(I455&lt;=15000, "Medium", "High"), "Low"))</f>
        <v>Medium</v>
      </c>
      <c r="K455" t="b">
        <v>1</v>
      </c>
      <c r="L455" t="b">
        <v>1</v>
      </c>
      <c r="M455" t="b">
        <v>0</v>
      </c>
    </row>
    <row r="456" spans="1:13" hidden="1" x14ac:dyDescent="0.3">
      <c r="A456">
        <v>43</v>
      </c>
      <c r="B456" t="s">
        <v>12</v>
      </c>
      <c r="C456" s="1">
        <v>7</v>
      </c>
      <c r="D456" t="s">
        <v>19</v>
      </c>
      <c r="E456" t="s">
        <v>14</v>
      </c>
      <c r="F456" t="s">
        <v>22</v>
      </c>
      <c r="G456" t="s">
        <v>29</v>
      </c>
      <c r="H456" t="s">
        <v>21</v>
      </c>
      <c r="I456" s="3">
        <v>13281</v>
      </c>
      <c r="J456" s="3" t="str">
        <f>IF(I456&gt;16000, "High", IF(I456&gt;=12000, IF(I456&lt;=15000, "Medium", "High"), "Low"))</f>
        <v>Medium</v>
      </c>
      <c r="K456" t="b">
        <v>0</v>
      </c>
      <c r="L456" t="b">
        <v>0</v>
      </c>
      <c r="M456" t="b">
        <v>0</v>
      </c>
    </row>
    <row r="457" spans="1:13" x14ac:dyDescent="0.3">
      <c r="A457">
        <v>24</v>
      </c>
      <c r="B457" t="s">
        <v>18</v>
      </c>
      <c r="C457" s="1">
        <v>8</v>
      </c>
      <c r="D457" t="s">
        <v>19</v>
      </c>
      <c r="E457" t="s">
        <v>14</v>
      </c>
      <c r="F457" t="s">
        <v>27</v>
      </c>
      <c r="G457" t="s">
        <v>23</v>
      </c>
      <c r="H457" t="s">
        <v>17</v>
      </c>
      <c r="I457" s="3">
        <v>10048</v>
      </c>
      <c r="J457" s="3" t="str">
        <f>IF(I457&gt;16000, "High", IF(I457&gt;=12000, IF(I457&lt;=15000, "Medium", "High"), "Low"))</f>
        <v>Low</v>
      </c>
      <c r="K457" t="b">
        <v>0</v>
      </c>
      <c r="L457" t="b">
        <v>1</v>
      </c>
      <c r="M457" t="b">
        <v>1</v>
      </c>
    </row>
    <row r="458" spans="1:13" hidden="1" x14ac:dyDescent="0.3">
      <c r="A458">
        <v>54</v>
      </c>
      <c r="B458" t="s">
        <v>12</v>
      </c>
      <c r="C458" s="1">
        <v>1</v>
      </c>
      <c r="D458" t="s">
        <v>19</v>
      </c>
      <c r="E458" t="s">
        <v>26</v>
      </c>
      <c r="F458" t="s">
        <v>22</v>
      </c>
      <c r="G458" t="s">
        <v>23</v>
      </c>
      <c r="H458" t="s">
        <v>24</v>
      </c>
      <c r="I458" s="3">
        <v>10328</v>
      </c>
      <c r="J458" s="3" t="str">
        <f>IF(I458&gt;16000, "High", IF(I458&gt;=12000, IF(I458&lt;=15000, "Medium", "High"), "Low"))</f>
        <v>Low</v>
      </c>
      <c r="K458" t="b">
        <v>0</v>
      </c>
      <c r="L458" t="b">
        <v>0</v>
      </c>
      <c r="M458" t="b">
        <v>1</v>
      </c>
    </row>
    <row r="459" spans="1:13" hidden="1" x14ac:dyDescent="0.3">
      <c r="A459">
        <v>39</v>
      </c>
      <c r="B459" t="s">
        <v>25</v>
      </c>
      <c r="C459" s="1">
        <v>5</v>
      </c>
      <c r="D459" t="s">
        <v>13</v>
      </c>
      <c r="E459" t="s">
        <v>20</v>
      </c>
      <c r="F459" t="s">
        <v>15</v>
      </c>
      <c r="G459" t="s">
        <v>29</v>
      </c>
      <c r="H459" t="s">
        <v>17</v>
      </c>
      <c r="I459" s="3">
        <v>15579</v>
      </c>
      <c r="J459" s="3" t="str">
        <f>IF(I459&gt;16000, "High", IF(I459&gt;=12000, IF(I459&lt;=15000, "Medium", "High"), "Low"))</f>
        <v>High</v>
      </c>
      <c r="K459" t="b">
        <v>1</v>
      </c>
      <c r="L459" t="b">
        <v>0</v>
      </c>
      <c r="M459" t="b">
        <v>1</v>
      </c>
    </row>
    <row r="460" spans="1:13" hidden="1" x14ac:dyDescent="0.3">
      <c r="A460">
        <v>46</v>
      </c>
      <c r="B460" t="s">
        <v>12</v>
      </c>
      <c r="C460" s="1">
        <v>2</v>
      </c>
      <c r="D460" t="s">
        <v>19</v>
      </c>
      <c r="E460" t="s">
        <v>14</v>
      </c>
      <c r="F460" t="s">
        <v>27</v>
      </c>
      <c r="G460" t="s">
        <v>16</v>
      </c>
      <c r="H460" t="s">
        <v>17</v>
      </c>
      <c r="I460" s="3">
        <v>14228</v>
      </c>
      <c r="J460" s="3" t="str">
        <f>IF(I460&gt;16000, "High", IF(I460&gt;=12000, IF(I460&lt;=15000, "Medium", "High"), "Low"))</f>
        <v>Medium</v>
      </c>
      <c r="K460" t="b">
        <v>1</v>
      </c>
      <c r="L460" t="b">
        <v>0</v>
      </c>
      <c r="M460" t="b">
        <v>1</v>
      </c>
    </row>
    <row r="461" spans="1:13" hidden="1" x14ac:dyDescent="0.3">
      <c r="A461">
        <v>31</v>
      </c>
      <c r="B461" t="s">
        <v>25</v>
      </c>
      <c r="C461" s="1">
        <v>5</v>
      </c>
      <c r="D461" t="s">
        <v>13</v>
      </c>
      <c r="E461" t="s">
        <v>14</v>
      </c>
      <c r="F461" t="s">
        <v>27</v>
      </c>
      <c r="G461" t="s">
        <v>16</v>
      </c>
      <c r="H461" t="s">
        <v>21</v>
      </c>
      <c r="I461" s="3">
        <v>16794</v>
      </c>
      <c r="J461" s="3" t="str">
        <f>IF(I461&gt;16000, "High", IF(I461&gt;=12000, IF(I461&lt;=15000, "Medium", "High"), "Low"))</f>
        <v>High</v>
      </c>
      <c r="K461" t="b">
        <v>1</v>
      </c>
      <c r="L461" t="b">
        <v>1</v>
      </c>
      <c r="M461" t="b">
        <v>0</v>
      </c>
    </row>
    <row r="462" spans="1:13" hidden="1" x14ac:dyDescent="0.3">
      <c r="A462">
        <v>45</v>
      </c>
      <c r="B462" t="s">
        <v>18</v>
      </c>
      <c r="C462" s="1">
        <v>5</v>
      </c>
      <c r="D462" t="s">
        <v>28</v>
      </c>
      <c r="E462" t="s">
        <v>26</v>
      </c>
      <c r="F462" t="s">
        <v>27</v>
      </c>
      <c r="G462" t="s">
        <v>23</v>
      </c>
      <c r="H462" t="s">
        <v>17</v>
      </c>
      <c r="I462" s="3">
        <v>10120</v>
      </c>
      <c r="J462" s="3" t="str">
        <f>IF(I462&gt;16000, "High", IF(I462&gt;=12000, IF(I462&lt;=15000, "Medium", "High"), "Low"))</f>
        <v>Low</v>
      </c>
      <c r="K462" t="b">
        <v>1</v>
      </c>
      <c r="L462" t="b">
        <v>1</v>
      </c>
      <c r="M462" t="b">
        <v>0</v>
      </c>
    </row>
    <row r="463" spans="1:13" hidden="1" x14ac:dyDescent="0.3">
      <c r="A463">
        <v>22</v>
      </c>
      <c r="B463" t="s">
        <v>25</v>
      </c>
      <c r="C463" s="1">
        <v>2</v>
      </c>
      <c r="D463" t="s">
        <v>19</v>
      </c>
      <c r="E463" t="s">
        <v>20</v>
      </c>
      <c r="F463" t="s">
        <v>22</v>
      </c>
      <c r="G463" t="s">
        <v>29</v>
      </c>
      <c r="H463" t="s">
        <v>17</v>
      </c>
      <c r="I463" s="3">
        <v>16749</v>
      </c>
      <c r="J463" s="3" t="str">
        <f>IF(I463&gt;16000, "High", IF(I463&gt;=12000, IF(I463&lt;=15000, "Medium", "High"), "Low"))</f>
        <v>High</v>
      </c>
      <c r="K463" t="b">
        <v>1</v>
      </c>
      <c r="L463" t="b">
        <v>1</v>
      </c>
      <c r="M463" t="b">
        <v>1</v>
      </c>
    </row>
    <row r="464" spans="1:13" hidden="1" x14ac:dyDescent="0.3">
      <c r="A464">
        <v>64</v>
      </c>
      <c r="B464" t="s">
        <v>25</v>
      </c>
      <c r="C464" s="1">
        <v>5</v>
      </c>
      <c r="D464" t="s">
        <v>13</v>
      </c>
      <c r="E464" t="s">
        <v>26</v>
      </c>
      <c r="F464" t="s">
        <v>22</v>
      </c>
      <c r="G464" t="s">
        <v>16</v>
      </c>
      <c r="H464" t="s">
        <v>21</v>
      </c>
      <c r="I464" s="3">
        <v>10964</v>
      </c>
      <c r="J464" s="3" t="str">
        <f>IF(I464&gt;16000, "High", IF(I464&gt;=12000, IF(I464&lt;=15000, "Medium", "High"), "Low"))</f>
        <v>Low</v>
      </c>
      <c r="K464" t="b">
        <v>0</v>
      </c>
      <c r="L464" t="b">
        <v>0</v>
      </c>
      <c r="M464" t="b">
        <v>0</v>
      </c>
    </row>
    <row r="465" spans="1:13" hidden="1" x14ac:dyDescent="0.3">
      <c r="A465">
        <v>47</v>
      </c>
      <c r="B465" t="s">
        <v>12</v>
      </c>
      <c r="C465" s="1">
        <v>4</v>
      </c>
      <c r="D465" t="s">
        <v>19</v>
      </c>
      <c r="E465" t="s">
        <v>14</v>
      </c>
      <c r="F465" t="s">
        <v>15</v>
      </c>
      <c r="G465" t="s">
        <v>23</v>
      </c>
      <c r="H465" t="s">
        <v>24</v>
      </c>
      <c r="I465" s="3">
        <v>14224</v>
      </c>
      <c r="J465" s="3" t="str">
        <f>IF(I465&gt;16000, "High", IF(I465&gt;=12000, IF(I465&lt;=15000, "Medium", "High"), "Low"))</f>
        <v>Medium</v>
      </c>
      <c r="K465" t="b">
        <v>1</v>
      </c>
      <c r="L465" t="b">
        <v>0</v>
      </c>
      <c r="M465" t="b">
        <v>1</v>
      </c>
    </row>
    <row r="466" spans="1:13" hidden="1" x14ac:dyDescent="0.3">
      <c r="A466">
        <v>63</v>
      </c>
      <c r="B466" t="s">
        <v>12</v>
      </c>
      <c r="C466" s="1">
        <v>1</v>
      </c>
      <c r="D466" t="s">
        <v>28</v>
      </c>
      <c r="E466" t="s">
        <v>20</v>
      </c>
      <c r="F466" t="s">
        <v>27</v>
      </c>
      <c r="G466" t="s">
        <v>29</v>
      </c>
      <c r="H466" t="s">
        <v>21</v>
      </c>
      <c r="I466" s="3">
        <v>13675</v>
      </c>
      <c r="J466" s="3" t="str">
        <f>IF(I466&gt;16000, "High", IF(I466&gt;=12000, IF(I466&lt;=15000, "Medium", "High"), "Low"))</f>
        <v>Medium</v>
      </c>
      <c r="K466" t="b">
        <v>0</v>
      </c>
      <c r="L466" t="b">
        <v>1</v>
      </c>
      <c r="M466" t="b">
        <v>1</v>
      </c>
    </row>
    <row r="467" spans="1:13" hidden="1" x14ac:dyDescent="0.3">
      <c r="A467">
        <v>22</v>
      </c>
      <c r="B467" t="s">
        <v>25</v>
      </c>
      <c r="C467" s="1">
        <v>3</v>
      </c>
      <c r="D467" t="s">
        <v>28</v>
      </c>
      <c r="E467" t="s">
        <v>20</v>
      </c>
      <c r="F467" t="s">
        <v>22</v>
      </c>
      <c r="G467" t="s">
        <v>23</v>
      </c>
      <c r="H467" t="s">
        <v>17</v>
      </c>
      <c r="I467" s="3">
        <v>15694</v>
      </c>
      <c r="J467" s="3" t="str">
        <f>IF(I467&gt;16000, "High", IF(I467&gt;=12000, IF(I467&lt;=15000, "Medium", "High"), "Low"))</f>
        <v>High</v>
      </c>
      <c r="K467" t="b">
        <v>1</v>
      </c>
      <c r="L467" t="b">
        <v>1</v>
      </c>
      <c r="M467" t="b">
        <v>0</v>
      </c>
    </row>
    <row r="468" spans="1:13" hidden="1" x14ac:dyDescent="0.3">
      <c r="A468">
        <v>29</v>
      </c>
      <c r="B468" t="s">
        <v>12</v>
      </c>
      <c r="C468" s="1">
        <v>1</v>
      </c>
      <c r="D468" t="s">
        <v>28</v>
      </c>
      <c r="E468" t="s">
        <v>14</v>
      </c>
      <c r="F468" t="s">
        <v>27</v>
      </c>
      <c r="G468" t="s">
        <v>23</v>
      </c>
      <c r="H468" t="s">
        <v>21</v>
      </c>
      <c r="I468" s="3">
        <v>12076</v>
      </c>
      <c r="J468" s="3" t="str">
        <f>IF(I468&gt;16000, "High", IF(I468&gt;=12000, IF(I468&lt;=15000, "Medium", "High"), "Low"))</f>
        <v>Medium</v>
      </c>
      <c r="K468" t="b">
        <v>0</v>
      </c>
      <c r="L468" t="b">
        <v>0</v>
      </c>
      <c r="M468" t="b">
        <v>1</v>
      </c>
    </row>
    <row r="469" spans="1:13" x14ac:dyDescent="0.3">
      <c r="A469">
        <v>57</v>
      </c>
      <c r="B469" t="s">
        <v>18</v>
      </c>
      <c r="C469" s="1">
        <v>7</v>
      </c>
      <c r="D469" t="s">
        <v>19</v>
      </c>
      <c r="E469" t="s">
        <v>26</v>
      </c>
      <c r="F469" t="s">
        <v>27</v>
      </c>
      <c r="G469" t="s">
        <v>23</v>
      </c>
      <c r="H469" t="s">
        <v>17</v>
      </c>
      <c r="I469" s="3">
        <v>13749</v>
      </c>
      <c r="J469" s="3" t="str">
        <f>IF(I469&gt;16000, "High", IF(I469&gt;=12000, IF(I469&lt;=15000, "Medium", "High"), "Low"))</f>
        <v>Medium</v>
      </c>
      <c r="K469" t="b">
        <v>0</v>
      </c>
      <c r="L469" t="b">
        <v>1</v>
      </c>
      <c r="M469" t="b">
        <v>0</v>
      </c>
    </row>
    <row r="470" spans="1:13" x14ac:dyDescent="0.3">
      <c r="A470">
        <v>35</v>
      </c>
      <c r="B470" t="s">
        <v>18</v>
      </c>
      <c r="C470" s="1">
        <v>6</v>
      </c>
      <c r="D470" t="s">
        <v>19</v>
      </c>
      <c r="E470" t="s">
        <v>14</v>
      </c>
      <c r="F470" t="s">
        <v>27</v>
      </c>
      <c r="G470" t="s">
        <v>23</v>
      </c>
      <c r="H470" t="s">
        <v>17</v>
      </c>
      <c r="I470" s="3">
        <v>14551</v>
      </c>
      <c r="J470" s="3" t="str">
        <f>IF(I470&gt;16000, "High", IF(I470&gt;=12000, IF(I470&lt;=15000, "Medium", "High"), "Low"))</f>
        <v>Medium</v>
      </c>
      <c r="K470" t="b">
        <v>1</v>
      </c>
      <c r="L470" t="b">
        <v>1</v>
      </c>
      <c r="M470" t="b">
        <v>0</v>
      </c>
    </row>
    <row r="471" spans="1:13" hidden="1" x14ac:dyDescent="0.3">
      <c r="A471">
        <v>43</v>
      </c>
      <c r="B471" t="s">
        <v>12</v>
      </c>
      <c r="C471" s="1">
        <v>7</v>
      </c>
      <c r="D471" t="s">
        <v>13</v>
      </c>
      <c r="E471" t="s">
        <v>26</v>
      </c>
      <c r="F471" t="s">
        <v>15</v>
      </c>
      <c r="G471" t="s">
        <v>16</v>
      </c>
      <c r="H471" t="s">
        <v>17</v>
      </c>
      <c r="I471" s="3">
        <v>18524</v>
      </c>
      <c r="J471" s="3" t="str">
        <f>IF(I471&gt;16000, "High", IF(I471&gt;=12000, IF(I471&lt;=15000, "Medium", "High"), "Low"))</f>
        <v>High</v>
      </c>
      <c r="K471" t="b">
        <v>0</v>
      </c>
      <c r="L471" t="b">
        <v>1</v>
      </c>
      <c r="M471" t="b">
        <v>0</v>
      </c>
    </row>
    <row r="472" spans="1:13" hidden="1" x14ac:dyDescent="0.3">
      <c r="A472">
        <v>38</v>
      </c>
      <c r="B472" t="s">
        <v>18</v>
      </c>
      <c r="C472" s="1">
        <v>5</v>
      </c>
      <c r="D472" t="s">
        <v>28</v>
      </c>
      <c r="E472" t="s">
        <v>14</v>
      </c>
      <c r="F472" t="s">
        <v>27</v>
      </c>
      <c r="G472" t="s">
        <v>23</v>
      </c>
      <c r="H472" t="s">
        <v>17</v>
      </c>
      <c r="I472" s="3">
        <v>15249</v>
      </c>
      <c r="J472" s="3" t="str">
        <f>IF(I472&gt;16000, "High", IF(I472&gt;=12000, IF(I472&lt;=15000, "Medium", "High"), "Low"))</f>
        <v>High</v>
      </c>
      <c r="K472" t="b">
        <v>1</v>
      </c>
      <c r="L472" t="b">
        <v>0</v>
      </c>
      <c r="M472" t="b">
        <v>1</v>
      </c>
    </row>
    <row r="473" spans="1:13" hidden="1" x14ac:dyDescent="0.3">
      <c r="A473">
        <v>56</v>
      </c>
      <c r="B473" t="s">
        <v>12</v>
      </c>
      <c r="C473" s="1">
        <v>4</v>
      </c>
      <c r="D473" t="s">
        <v>19</v>
      </c>
      <c r="E473" t="s">
        <v>14</v>
      </c>
      <c r="F473" t="s">
        <v>22</v>
      </c>
      <c r="G473" t="s">
        <v>16</v>
      </c>
      <c r="H473" t="s">
        <v>21</v>
      </c>
      <c r="I473" s="3">
        <v>11316</v>
      </c>
      <c r="J473" s="3" t="str">
        <f>IF(I473&gt;16000, "High", IF(I473&gt;=12000, IF(I473&lt;=15000, "Medium", "High"), "Low"))</f>
        <v>Low</v>
      </c>
      <c r="K473" t="b">
        <v>1</v>
      </c>
      <c r="L473" t="b">
        <v>1</v>
      </c>
      <c r="M473" t="b">
        <v>0</v>
      </c>
    </row>
    <row r="474" spans="1:13" hidden="1" x14ac:dyDescent="0.3">
      <c r="A474">
        <v>53</v>
      </c>
      <c r="B474" t="s">
        <v>25</v>
      </c>
      <c r="C474" s="1">
        <v>2</v>
      </c>
      <c r="D474" t="s">
        <v>28</v>
      </c>
      <c r="E474" t="s">
        <v>14</v>
      </c>
      <c r="F474" t="s">
        <v>22</v>
      </c>
      <c r="G474" t="s">
        <v>23</v>
      </c>
      <c r="H474" t="s">
        <v>24</v>
      </c>
      <c r="I474" s="3">
        <v>11196</v>
      </c>
      <c r="J474" s="3" t="str">
        <f>IF(I474&gt;16000, "High", IF(I474&gt;=12000, IF(I474&lt;=15000, "Medium", "High"), "Low"))</f>
        <v>Low</v>
      </c>
      <c r="K474" t="b">
        <v>1</v>
      </c>
      <c r="L474" t="b">
        <v>1</v>
      </c>
      <c r="M474" t="b">
        <v>1</v>
      </c>
    </row>
    <row r="475" spans="1:13" hidden="1" x14ac:dyDescent="0.3">
      <c r="A475">
        <v>50</v>
      </c>
      <c r="B475" t="s">
        <v>25</v>
      </c>
      <c r="C475" s="1">
        <v>4</v>
      </c>
      <c r="D475" t="s">
        <v>28</v>
      </c>
      <c r="E475" t="s">
        <v>14</v>
      </c>
      <c r="F475" t="s">
        <v>15</v>
      </c>
      <c r="G475" t="s">
        <v>23</v>
      </c>
      <c r="H475" t="s">
        <v>21</v>
      </c>
      <c r="I475" s="3">
        <v>13170</v>
      </c>
      <c r="J475" s="3" t="str">
        <f>IF(I475&gt;16000, "High", IF(I475&gt;=12000, IF(I475&lt;=15000, "Medium", "High"), "Low"))</f>
        <v>Medium</v>
      </c>
      <c r="K475" t="b">
        <v>0</v>
      </c>
      <c r="L475" t="b">
        <v>0</v>
      </c>
      <c r="M475" t="b">
        <v>1</v>
      </c>
    </row>
    <row r="476" spans="1:13" hidden="1" x14ac:dyDescent="0.3">
      <c r="A476">
        <v>47</v>
      </c>
      <c r="B476" t="s">
        <v>18</v>
      </c>
      <c r="C476" s="1">
        <v>2</v>
      </c>
      <c r="D476" t="s">
        <v>13</v>
      </c>
      <c r="E476" t="s">
        <v>14</v>
      </c>
      <c r="F476" t="s">
        <v>22</v>
      </c>
      <c r="G476" t="s">
        <v>16</v>
      </c>
      <c r="H476" t="s">
        <v>24</v>
      </c>
      <c r="I476" s="3">
        <v>19621</v>
      </c>
      <c r="J476" s="3" t="str">
        <f>IF(I476&gt;16000, "High", IF(I476&gt;=12000, IF(I476&lt;=15000, "Medium", "High"), "Low"))</f>
        <v>High</v>
      </c>
      <c r="K476" t="b">
        <v>1</v>
      </c>
      <c r="L476" t="b">
        <v>0</v>
      </c>
      <c r="M476" t="b">
        <v>0</v>
      </c>
    </row>
    <row r="477" spans="1:13" hidden="1" x14ac:dyDescent="0.3">
      <c r="A477">
        <v>54</v>
      </c>
      <c r="B477" t="s">
        <v>12</v>
      </c>
      <c r="C477" s="1">
        <v>8</v>
      </c>
      <c r="D477" t="s">
        <v>13</v>
      </c>
      <c r="E477" t="s">
        <v>20</v>
      </c>
      <c r="F477" t="s">
        <v>15</v>
      </c>
      <c r="G477" t="s">
        <v>29</v>
      </c>
      <c r="H477" t="s">
        <v>24</v>
      </c>
      <c r="I477" s="3">
        <v>10355</v>
      </c>
      <c r="J477" s="3" t="str">
        <f>IF(I477&gt;16000, "High", IF(I477&gt;=12000, IF(I477&lt;=15000, "Medium", "High"), "Low"))</f>
        <v>Low</v>
      </c>
      <c r="K477" t="b">
        <v>1</v>
      </c>
      <c r="L477" t="b">
        <v>0</v>
      </c>
      <c r="M477" t="b">
        <v>1</v>
      </c>
    </row>
    <row r="478" spans="1:13" hidden="1" x14ac:dyDescent="0.3">
      <c r="A478">
        <v>40</v>
      </c>
      <c r="B478" t="s">
        <v>12</v>
      </c>
      <c r="C478" s="1">
        <v>3</v>
      </c>
      <c r="D478" t="s">
        <v>13</v>
      </c>
      <c r="E478" t="s">
        <v>26</v>
      </c>
      <c r="F478" t="s">
        <v>27</v>
      </c>
      <c r="G478" t="s">
        <v>29</v>
      </c>
      <c r="H478" t="s">
        <v>21</v>
      </c>
      <c r="I478" s="3">
        <v>19718</v>
      </c>
      <c r="J478" s="3" t="str">
        <f>IF(I478&gt;16000, "High", IF(I478&gt;=12000, IF(I478&lt;=15000, "Medium", "High"), "Low"))</f>
        <v>High</v>
      </c>
      <c r="K478" t="b">
        <v>1</v>
      </c>
      <c r="L478" t="b">
        <v>1</v>
      </c>
      <c r="M478" t="b">
        <v>0</v>
      </c>
    </row>
    <row r="479" spans="1:13" hidden="1" x14ac:dyDescent="0.3">
      <c r="A479">
        <v>27</v>
      </c>
      <c r="B479" t="s">
        <v>18</v>
      </c>
      <c r="C479" s="1">
        <v>9</v>
      </c>
      <c r="D479" t="s">
        <v>13</v>
      </c>
      <c r="E479" t="s">
        <v>14</v>
      </c>
      <c r="F479" t="s">
        <v>15</v>
      </c>
      <c r="G479" t="s">
        <v>29</v>
      </c>
      <c r="H479" t="s">
        <v>24</v>
      </c>
      <c r="I479" s="3">
        <v>10028</v>
      </c>
      <c r="J479" s="3" t="str">
        <f>IF(I479&gt;16000, "High", IF(I479&gt;=12000, IF(I479&lt;=15000, "Medium", "High"), "Low"))</f>
        <v>Low</v>
      </c>
      <c r="K479" t="b">
        <v>1</v>
      </c>
      <c r="L479" t="b">
        <v>0</v>
      </c>
      <c r="M479" t="b">
        <v>0</v>
      </c>
    </row>
    <row r="480" spans="1:13" hidden="1" x14ac:dyDescent="0.3">
      <c r="A480">
        <v>22</v>
      </c>
      <c r="B480" t="s">
        <v>25</v>
      </c>
      <c r="C480" s="1">
        <v>4</v>
      </c>
      <c r="D480" t="s">
        <v>28</v>
      </c>
      <c r="E480" t="s">
        <v>26</v>
      </c>
      <c r="F480" t="s">
        <v>27</v>
      </c>
      <c r="G480" t="s">
        <v>23</v>
      </c>
      <c r="H480" t="s">
        <v>17</v>
      </c>
      <c r="I480" s="3">
        <v>11013</v>
      </c>
      <c r="J480" s="3" t="str">
        <f>IF(I480&gt;16000, "High", IF(I480&gt;=12000, IF(I480&lt;=15000, "Medium", "High"), "Low"))</f>
        <v>Low</v>
      </c>
      <c r="K480" t="b">
        <v>0</v>
      </c>
      <c r="L480" t="b">
        <v>0</v>
      </c>
      <c r="M480" t="b">
        <v>1</v>
      </c>
    </row>
    <row r="481" spans="1:13" hidden="1" x14ac:dyDescent="0.3">
      <c r="A481">
        <v>53</v>
      </c>
      <c r="B481" t="s">
        <v>18</v>
      </c>
      <c r="C481" s="1">
        <v>6</v>
      </c>
      <c r="D481" t="s">
        <v>13</v>
      </c>
      <c r="E481" t="s">
        <v>26</v>
      </c>
      <c r="F481" t="s">
        <v>15</v>
      </c>
      <c r="G481" t="s">
        <v>23</v>
      </c>
      <c r="H481" t="s">
        <v>21</v>
      </c>
      <c r="I481" s="3">
        <v>19019</v>
      </c>
      <c r="J481" s="3" t="str">
        <f>IF(I481&gt;16000, "High", IF(I481&gt;=12000, IF(I481&lt;=15000, "Medium", "High"), "Low"))</f>
        <v>High</v>
      </c>
      <c r="K481" t="b">
        <v>0</v>
      </c>
      <c r="L481" t="b">
        <v>1</v>
      </c>
      <c r="M481" t="b">
        <v>1</v>
      </c>
    </row>
    <row r="482" spans="1:13" hidden="1" x14ac:dyDescent="0.3">
      <c r="A482">
        <v>51</v>
      </c>
      <c r="B482" t="s">
        <v>25</v>
      </c>
      <c r="C482" s="1">
        <v>5</v>
      </c>
      <c r="D482" t="s">
        <v>13</v>
      </c>
      <c r="E482" t="s">
        <v>20</v>
      </c>
      <c r="F482" t="s">
        <v>22</v>
      </c>
      <c r="G482" t="s">
        <v>23</v>
      </c>
      <c r="H482" t="s">
        <v>24</v>
      </c>
      <c r="I482" s="3">
        <v>12024</v>
      </c>
      <c r="J482" s="3" t="str">
        <f>IF(I482&gt;16000, "High", IF(I482&gt;=12000, IF(I482&lt;=15000, "Medium", "High"), "Low"))</f>
        <v>Medium</v>
      </c>
      <c r="K482" t="b">
        <v>1</v>
      </c>
      <c r="L482" t="b">
        <v>0</v>
      </c>
      <c r="M482" t="b">
        <v>1</v>
      </c>
    </row>
    <row r="483" spans="1:13" hidden="1" x14ac:dyDescent="0.3">
      <c r="A483">
        <v>48</v>
      </c>
      <c r="B483" t="s">
        <v>12</v>
      </c>
      <c r="C483" s="1">
        <v>1</v>
      </c>
      <c r="D483" t="s">
        <v>13</v>
      </c>
      <c r="E483" t="s">
        <v>14</v>
      </c>
      <c r="F483" t="s">
        <v>22</v>
      </c>
      <c r="G483" t="s">
        <v>16</v>
      </c>
      <c r="H483" t="s">
        <v>17</v>
      </c>
      <c r="I483" s="3">
        <v>18490</v>
      </c>
      <c r="J483" s="3" t="str">
        <f>IF(I483&gt;16000, "High", IF(I483&gt;=12000, IF(I483&lt;=15000, "Medium", "High"), "Low"))</f>
        <v>High</v>
      </c>
      <c r="K483" t="b">
        <v>1</v>
      </c>
      <c r="L483" t="b">
        <v>0</v>
      </c>
      <c r="M483" t="b">
        <v>1</v>
      </c>
    </row>
    <row r="484" spans="1:13" hidden="1" x14ac:dyDescent="0.3">
      <c r="A484">
        <v>27</v>
      </c>
      <c r="B484" t="s">
        <v>25</v>
      </c>
      <c r="C484" s="1">
        <v>9</v>
      </c>
      <c r="D484" t="s">
        <v>13</v>
      </c>
      <c r="E484" t="s">
        <v>20</v>
      </c>
      <c r="F484" t="s">
        <v>15</v>
      </c>
      <c r="G484" t="s">
        <v>23</v>
      </c>
      <c r="H484" t="s">
        <v>21</v>
      </c>
      <c r="I484" s="3">
        <v>15839</v>
      </c>
      <c r="J484" s="3" t="str">
        <f>IF(I484&gt;16000, "High", IF(I484&gt;=12000, IF(I484&lt;=15000, "Medium", "High"), "Low"))</f>
        <v>High</v>
      </c>
      <c r="K484" t="b">
        <v>1</v>
      </c>
      <c r="L484" t="b">
        <v>0</v>
      </c>
      <c r="M484" t="b">
        <v>0</v>
      </c>
    </row>
    <row r="485" spans="1:13" hidden="1" x14ac:dyDescent="0.3">
      <c r="A485">
        <v>36</v>
      </c>
      <c r="B485" t="s">
        <v>18</v>
      </c>
      <c r="C485" s="1">
        <v>1</v>
      </c>
      <c r="D485" t="s">
        <v>28</v>
      </c>
      <c r="E485" t="s">
        <v>14</v>
      </c>
      <c r="F485" t="s">
        <v>22</v>
      </c>
      <c r="G485" t="s">
        <v>16</v>
      </c>
      <c r="H485" t="s">
        <v>17</v>
      </c>
      <c r="I485" s="3">
        <v>15791</v>
      </c>
      <c r="J485" s="3" t="str">
        <f>IF(I485&gt;16000, "High", IF(I485&gt;=12000, IF(I485&lt;=15000, "Medium", "High"), "Low"))</f>
        <v>High</v>
      </c>
      <c r="K485" t="b">
        <v>0</v>
      </c>
      <c r="L485" t="b">
        <v>1</v>
      </c>
      <c r="M485" t="b">
        <v>1</v>
      </c>
    </row>
    <row r="486" spans="1:13" hidden="1" x14ac:dyDescent="0.3">
      <c r="A486">
        <v>49</v>
      </c>
      <c r="B486" t="s">
        <v>12</v>
      </c>
      <c r="C486" s="1">
        <v>8</v>
      </c>
      <c r="D486" t="s">
        <v>13</v>
      </c>
      <c r="E486" t="s">
        <v>20</v>
      </c>
      <c r="F486" t="s">
        <v>22</v>
      </c>
      <c r="G486" t="s">
        <v>16</v>
      </c>
      <c r="H486" t="s">
        <v>17</v>
      </c>
      <c r="I486" s="3">
        <v>10754</v>
      </c>
      <c r="J486" s="3" t="str">
        <f>IF(I486&gt;16000, "High", IF(I486&gt;=12000, IF(I486&lt;=15000, "Medium", "High"), "Low"))</f>
        <v>Low</v>
      </c>
      <c r="K486" t="b">
        <v>0</v>
      </c>
      <c r="L486" t="b">
        <v>1</v>
      </c>
      <c r="M486" t="b">
        <v>1</v>
      </c>
    </row>
    <row r="487" spans="1:13" hidden="1" x14ac:dyDescent="0.3">
      <c r="A487">
        <v>18</v>
      </c>
      <c r="B487" t="s">
        <v>18</v>
      </c>
      <c r="C487" s="1">
        <v>9</v>
      </c>
      <c r="D487" t="s">
        <v>28</v>
      </c>
      <c r="E487" t="s">
        <v>26</v>
      </c>
      <c r="F487" t="s">
        <v>22</v>
      </c>
      <c r="G487" t="s">
        <v>29</v>
      </c>
      <c r="H487" t="s">
        <v>17</v>
      </c>
      <c r="I487" s="3">
        <v>18961</v>
      </c>
      <c r="J487" s="3" t="str">
        <f>IF(I487&gt;16000, "High", IF(I487&gt;=12000, IF(I487&lt;=15000, "Medium", "High"), "Low"))</f>
        <v>High</v>
      </c>
      <c r="K487" t="b">
        <v>0</v>
      </c>
      <c r="L487" t="b">
        <v>1</v>
      </c>
      <c r="M487" t="b">
        <v>1</v>
      </c>
    </row>
    <row r="488" spans="1:13" x14ac:dyDescent="0.3">
      <c r="A488">
        <v>41</v>
      </c>
      <c r="B488" t="s">
        <v>18</v>
      </c>
      <c r="C488" s="1">
        <v>6</v>
      </c>
      <c r="D488" t="s">
        <v>19</v>
      </c>
      <c r="E488" t="s">
        <v>20</v>
      </c>
      <c r="F488" t="s">
        <v>27</v>
      </c>
      <c r="G488" t="s">
        <v>29</v>
      </c>
      <c r="H488" t="s">
        <v>17</v>
      </c>
      <c r="I488" s="3">
        <v>19609</v>
      </c>
      <c r="J488" s="3" t="str">
        <f>IF(I488&gt;16000, "High", IF(I488&gt;=12000, IF(I488&lt;=15000, "Medium", "High"), "Low"))</f>
        <v>High</v>
      </c>
      <c r="K488" t="b">
        <v>0</v>
      </c>
      <c r="L488" t="b">
        <v>1</v>
      </c>
      <c r="M488" t="b">
        <v>0</v>
      </c>
    </row>
    <row r="489" spans="1:13" hidden="1" x14ac:dyDescent="0.3">
      <c r="A489">
        <v>62</v>
      </c>
      <c r="B489" t="s">
        <v>25</v>
      </c>
      <c r="C489" s="1">
        <v>1</v>
      </c>
      <c r="D489" t="s">
        <v>28</v>
      </c>
      <c r="E489" t="s">
        <v>26</v>
      </c>
      <c r="F489" t="s">
        <v>22</v>
      </c>
      <c r="G489" t="s">
        <v>29</v>
      </c>
      <c r="H489" t="s">
        <v>21</v>
      </c>
      <c r="I489" s="3">
        <v>11238</v>
      </c>
      <c r="J489" s="3" t="str">
        <f>IF(I489&gt;16000, "High", IF(I489&gt;=12000, IF(I489&lt;=15000, "Medium", "High"), "Low"))</f>
        <v>Low</v>
      </c>
      <c r="K489" t="b">
        <v>0</v>
      </c>
      <c r="L489" t="b">
        <v>1</v>
      </c>
      <c r="M489" t="b">
        <v>1</v>
      </c>
    </row>
    <row r="490" spans="1:13" hidden="1" x14ac:dyDescent="0.3">
      <c r="A490">
        <v>21</v>
      </c>
      <c r="B490" t="s">
        <v>18</v>
      </c>
      <c r="C490" s="1">
        <v>2</v>
      </c>
      <c r="D490" t="s">
        <v>28</v>
      </c>
      <c r="E490" t="s">
        <v>26</v>
      </c>
      <c r="F490" t="s">
        <v>27</v>
      </c>
      <c r="G490" t="s">
        <v>16</v>
      </c>
      <c r="H490" t="s">
        <v>21</v>
      </c>
      <c r="I490" s="3">
        <v>11906</v>
      </c>
      <c r="J490" s="3" t="str">
        <f>IF(I490&gt;16000, "High", IF(I490&gt;=12000, IF(I490&lt;=15000, "Medium", "High"), "Low"))</f>
        <v>Low</v>
      </c>
      <c r="K490" t="b">
        <v>0</v>
      </c>
      <c r="L490" t="b">
        <v>0</v>
      </c>
      <c r="M490" t="b">
        <v>0</v>
      </c>
    </row>
    <row r="491" spans="1:13" hidden="1" x14ac:dyDescent="0.3">
      <c r="A491">
        <v>33</v>
      </c>
      <c r="B491" t="s">
        <v>25</v>
      </c>
      <c r="C491" s="1">
        <v>1</v>
      </c>
      <c r="D491" t="s">
        <v>13</v>
      </c>
      <c r="E491" t="s">
        <v>20</v>
      </c>
      <c r="F491" t="s">
        <v>15</v>
      </c>
      <c r="G491" t="s">
        <v>16</v>
      </c>
      <c r="H491" t="s">
        <v>24</v>
      </c>
      <c r="I491" s="3">
        <v>17399</v>
      </c>
      <c r="J491" s="3" t="str">
        <f>IF(I491&gt;16000, "High", IF(I491&gt;=12000, IF(I491&lt;=15000, "Medium", "High"), "Low"))</f>
        <v>High</v>
      </c>
      <c r="K491" t="b">
        <v>0</v>
      </c>
      <c r="L491" t="b">
        <v>0</v>
      </c>
      <c r="M491" t="b">
        <v>1</v>
      </c>
    </row>
    <row r="492" spans="1:13" hidden="1" x14ac:dyDescent="0.3">
      <c r="A492">
        <v>41</v>
      </c>
      <c r="B492" t="s">
        <v>12</v>
      </c>
      <c r="C492" s="1">
        <v>2</v>
      </c>
      <c r="D492" t="s">
        <v>19</v>
      </c>
      <c r="E492" t="s">
        <v>14</v>
      </c>
      <c r="F492" t="s">
        <v>22</v>
      </c>
      <c r="G492" t="s">
        <v>16</v>
      </c>
      <c r="H492" t="s">
        <v>21</v>
      </c>
      <c r="I492" s="3">
        <v>17961</v>
      </c>
      <c r="J492" s="3" t="str">
        <f>IF(I492&gt;16000, "High", IF(I492&gt;=12000, IF(I492&lt;=15000, "Medium", "High"), "Low"))</f>
        <v>High</v>
      </c>
      <c r="K492" t="b">
        <v>0</v>
      </c>
      <c r="L492" t="b">
        <v>0</v>
      </c>
      <c r="M492" t="b">
        <v>0</v>
      </c>
    </row>
    <row r="493" spans="1:13" hidden="1" x14ac:dyDescent="0.3">
      <c r="A493">
        <v>33</v>
      </c>
      <c r="B493" t="s">
        <v>25</v>
      </c>
      <c r="C493" s="1">
        <v>8</v>
      </c>
      <c r="D493" t="s">
        <v>19</v>
      </c>
      <c r="E493" t="s">
        <v>26</v>
      </c>
      <c r="F493" t="s">
        <v>22</v>
      </c>
      <c r="G493" t="s">
        <v>23</v>
      </c>
      <c r="H493" t="s">
        <v>17</v>
      </c>
      <c r="I493" s="3">
        <v>19756</v>
      </c>
      <c r="J493" s="3" t="str">
        <f>IF(I493&gt;16000, "High", IF(I493&gt;=12000, IF(I493&lt;=15000, "Medium", "High"), "Low"))</f>
        <v>High</v>
      </c>
      <c r="K493" t="b">
        <v>0</v>
      </c>
      <c r="L493" t="b">
        <v>1</v>
      </c>
      <c r="M493" t="b">
        <v>1</v>
      </c>
    </row>
    <row r="494" spans="1:13" hidden="1" x14ac:dyDescent="0.3">
      <c r="A494">
        <v>19</v>
      </c>
      <c r="B494" t="s">
        <v>12</v>
      </c>
      <c r="C494" s="1">
        <v>5</v>
      </c>
      <c r="D494" t="s">
        <v>19</v>
      </c>
      <c r="E494" t="s">
        <v>20</v>
      </c>
      <c r="F494" t="s">
        <v>22</v>
      </c>
      <c r="G494" t="s">
        <v>16</v>
      </c>
      <c r="H494" t="s">
        <v>21</v>
      </c>
      <c r="I494" s="3">
        <v>19410</v>
      </c>
      <c r="J494" s="3" t="str">
        <f>IF(I494&gt;16000, "High", IF(I494&gt;=12000, IF(I494&lt;=15000, "Medium", "High"), "Low"))</f>
        <v>High</v>
      </c>
      <c r="K494" t="b">
        <v>1</v>
      </c>
      <c r="L494" t="b">
        <v>1</v>
      </c>
      <c r="M494" t="b">
        <v>1</v>
      </c>
    </row>
    <row r="495" spans="1:13" hidden="1" x14ac:dyDescent="0.3">
      <c r="A495">
        <v>45</v>
      </c>
      <c r="B495" t="s">
        <v>25</v>
      </c>
      <c r="C495" s="1">
        <v>7</v>
      </c>
      <c r="D495" t="s">
        <v>19</v>
      </c>
      <c r="E495" t="s">
        <v>14</v>
      </c>
      <c r="F495" t="s">
        <v>15</v>
      </c>
      <c r="G495" t="s">
        <v>29</v>
      </c>
      <c r="H495" t="s">
        <v>24</v>
      </c>
      <c r="I495" s="3">
        <v>14601</v>
      </c>
      <c r="J495" s="3" t="str">
        <f>IF(I495&gt;16000, "High", IF(I495&gt;=12000, IF(I495&lt;=15000, "Medium", "High"), "Low"))</f>
        <v>Medium</v>
      </c>
      <c r="K495" t="b">
        <v>1</v>
      </c>
      <c r="L495" t="b">
        <v>0</v>
      </c>
      <c r="M495" t="b">
        <v>0</v>
      </c>
    </row>
    <row r="496" spans="1:13" hidden="1" x14ac:dyDescent="0.3">
      <c r="A496">
        <v>49</v>
      </c>
      <c r="B496" t="s">
        <v>18</v>
      </c>
      <c r="C496" s="1">
        <v>2</v>
      </c>
      <c r="D496" t="s">
        <v>28</v>
      </c>
      <c r="E496" t="s">
        <v>14</v>
      </c>
      <c r="F496" t="s">
        <v>27</v>
      </c>
      <c r="G496" t="s">
        <v>29</v>
      </c>
      <c r="H496" t="s">
        <v>17</v>
      </c>
      <c r="I496" s="3">
        <v>19549</v>
      </c>
      <c r="J496" s="3" t="str">
        <f>IF(I496&gt;16000, "High", IF(I496&gt;=12000, IF(I496&lt;=15000, "Medium", "High"), "Low"))</f>
        <v>High</v>
      </c>
      <c r="K496" t="b">
        <v>1</v>
      </c>
      <c r="L496" t="b">
        <v>0</v>
      </c>
      <c r="M496" t="b">
        <v>1</v>
      </c>
    </row>
    <row r="497" spans="1:13" hidden="1" x14ac:dyDescent="0.3">
      <c r="A497">
        <v>44</v>
      </c>
      <c r="B497" t="s">
        <v>25</v>
      </c>
      <c r="C497" s="1">
        <v>8</v>
      </c>
      <c r="D497" t="s">
        <v>19</v>
      </c>
      <c r="E497" t="s">
        <v>26</v>
      </c>
      <c r="F497" t="s">
        <v>27</v>
      </c>
      <c r="G497" t="s">
        <v>16</v>
      </c>
      <c r="H497" t="s">
        <v>24</v>
      </c>
      <c r="I497" s="3">
        <v>11460</v>
      </c>
      <c r="J497" s="3" t="str">
        <f>IF(I497&gt;16000, "High", IF(I497&gt;=12000, IF(I497&lt;=15000, "Medium", "High"), "Low"))</f>
        <v>Low</v>
      </c>
      <c r="K497" t="b">
        <v>1</v>
      </c>
      <c r="L497" t="b">
        <v>1</v>
      </c>
      <c r="M497" t="b">
        <v>1</v>
      </c>
    </row>
    <row r="498" spans="1:13" hidden="1" x14ac:dyDescent="0.3">
      <c r="A498">
        <v>37</v>
      </c>
      <c r="B498" t="s">
        <v>25</v>
      </c>
      <c r="C498" s="1">
        <v>6</v>
      </c>
      <c r="D498" t="s">
        <v>28</v>
      </c>
      <c r="E498" t="s">
        <v>14</v>
      </c>
      <c r="F498" t="s">
        <v>22</v>
      </c>
      <c r="G498" t="s">
        <v>16</v>
      </c>
      <c r="H498" t="s">
        <v>17</v>
      </c>
      <c r="I498" s="3">
        <v>17669</v>
      </c>
      <c r="J498" s="3" t="str">
        <f>IF(I498&gt;16000, "High", IF(I498&gt;=12000, IF(I498&lt;=15000, "Medium", "High"), "Low"))</f>
        <v>High</v>
      </c>
      <c r="K498" t="b">
        <v>0</v>
      </c>
      <c r="L498" t="b">
        <v>1</v>
      </c>
      <c r="M498" t="b">
        <v>1</v>
      </c>
    </row>
    <row r="499" spans="1:13" hidden="1" x14ac:dyDescent="0.3">
      <c r="A499">
        <v>41</v>
      </c>
      <c r="B499" t="s">
        <v>12</v>
      </c>
      <c r="C499" s="1">
        <v>8</v>
      </c>
      <c r="D499" t="s">
        <v>28</v>
      </c>
      <c r="E499" t="s">
        <v>26</v>
      </c>
      <c r="F499" t="s">
        <v>15</v>
      </c>
      <c r="G499" t="s">
        <v>29</v>
      </c>
      <c r="H499" t="s">
        <v>17</v>
      </c>
      <c r="I499" s="3">
        <v>11416</v>
      </c>
      <c r="J499" s="3" t="str">
        <f>IF(I499&gt;16000, "High", IF(I499&gt;=12000, IF(I499&lt;=15000, "Medium", "High"), "Low"))</f>
        <v>Low</v>
      </c>
      <c r="K499" t="b">
        <v>1</v>
      </c>
      <c r="L499" t="b">
        <v>1</v>
      </c>
      <c r="M499" t="b">
        <v>0</v>
      </c>
    </row>
    <row r="500" spans="1:13" hidden="1" x14ac:dyDescent="0.3">
      <c r="A500">
        <v>29</v>
      </c>
      <c r="B500" t="s">
        <v>18</v>
      </c>
      <c r="C500" s="1">
        <v>1</v>
      </c>
      <c r="D500" t="s">
        <v>28</v>
      </c>
      <c r="E500" t="s">
        <v>14</v>
      </c>
      <c r="F500" t="s">
        <v>15</v>
      </c>
      <c r="G500" t="s">
        <v>16</v>
      </c>
      <c r="H500" t="s">
        <v>21</v>
      </c>
      <c r="I500" s="3">
        <v>17766</v>
      </c>
      <c r="J500" s="3" t="str">
        <f>IF(I500&gt;16000, "High", IF(I500&gt;=12000, IF(I500&lt;=15000, "Medium", "High"), "Low"))</f>
        <v>High</v>
      </c>
      <c r="K500" t="b">
        <v>1</v>
      </c>
      <c r="L500" t="b">
        <v>0</v>
      </c>
      <c r="M500" t="b">
        <v>1</v>
      </c>
    </row>
    <row r="501" spans="1:13" hidden="1" x14ac:dyDescent="0.3">
      <c r="A501">
        <v>52</v>
      </c>
      <c r="B501" t="s">
        <v>25</v>
      </c>
      <c r="C501" s="1">
        <v>1</v>
      </c>
      <c r="D501" t="s">
        <v>19</v>
      </c>
      <c r="E501" t="s">
        <v>20</v>
      </c>
      <c r="F501" t="s">
        <v>15</v>
      </c>
      <c r="G501" t="s">
        <v>29</v>
      </c>
      <c r="H501" t="s">
        <v>17</v>
      </c>
      <c r="I501" s="3">
        <v>11428</v>
      </c>
      <c r="J501" s="3" t="str">
        <f>IF(I501&gt;16000, "High", IF(I501&gt;=12000, IF(I501&lt;=15000, "Medium", "High"), "Low"))</f>
        <v>Low</v>
      </c>
      <c r="K501" t="b">
        <v>1</v>
      </c>
      <c r="L501" t="b">
        <v>1</v>
      </c>
      <c r="M501" t="b">
        <v>0</v>
      </c>
    </row>
    <row r="502" spans="1:13" hidden="1" x14ac:dyDescent="0.3">
      <c r="A502">
        <v>50</v>
      </c>
      <c r="B502" t="s">
        <v>18</v>
      </c>
      <c r="C502" s="1">
        <v>7</v>
      </c>
      <c r="D502" t="s">
        <v>13</v>
      </c>
      <c r="E502" t="s">
        <v>26</v>
      </c>
      <c r="F502" t="s">
        <v>15</v>
      </c>
      <c r="G502" t="s">
        <v>23</v>
      </c>
      <c r="H502" t="s">
        <v>24</v>
      </c>
      <c r="I502" s="3">
        <v>14378</v>
      </c>
      <c r="J502" s="3" t="str">
        <f>IF(I502&gt;16000, "High", IF(I502&gt;=12000, IF(I502&lt;=15000, "Medium", "High"), "Low"))</f>
        <v>Medium</v>
      </c>
      <c r="K502" t="b">
        <v>0</v>
      </c>
      <c r="L502" t="b">
        <v>1</v>
      </c>
      <c r="M502" t="b">
        <v>0</v>
      </c>
    </row>
    <row r="503" spans="1:13" hidden="1" x14ac:dyDescent="0.3">
      <c r="A503">
        <v>50</v>
      </c>
      <c r="B503" t="s">
        <v>25</v>
      </c>
      <c r="C503" s="1">
        <v>8</v>
      </c>
      <c r="D503" t="s">
        <v>13</v>
      </c>
      <c r="E503" t="s">
        <v>26</v>
      </c>
      <c r="F503" t="s">
        <v>15</v>
      </c>
      <c r="G503" t="s">
        <v>29</v>
      </c>
      <c r="H503" t="s">
        <v>21</v>
      </c>
      <c r="I503" s="3">
        <v>17529</v>
      </c>
      <c r="J503" s="3" t="str">
        <f>IF(I503&gt;16000, "High", IF(I503&gt;=12000, IF(I503&lt;=15000, "Medium", "High"), "Low"))</f>
        <v>High</v>
      </c>
      <c r="K503" t="b">
        <v>1</v>
      </c>
      <c r="L503" t="b">
        <v>1</v>
      </c>
      <c r="M503" t="b">
        <v>0</v>
      </c>
    </row>
    <row r="504" spans="1:13" hidden="1" x14ac:dyDescent="0.3">
      <c r="A504">
        <v>60</v>
      </c>
      <c r="B504" t="s">
        <v>25</v>
      </c>
      <c r="C504" s="1">
        <v>3</v>
      </c>
      <c r="D504" t="s">
        <v>19</v>
      </c>
      <c r="E504" t="s">
        <v>14</v>
      </c>
      <c r="F504" t="s">
        <v>27</v>
      </c>
      <c r="G504" t="s">
        <v>23</v>
      </c>
      <c r="H504" t="s">
        <v>24</v>
      </c>
      <c r="I504" s="3">
        <v>14474</v>
      </c>
      <c r="J504" s="3" t="str">
        <f>IF(I504&gt;16000, "High", IF(I504&gt;=12000, IF(I504&lt;=15000, "Medium", "High"), "Low"))</f>
        <v>Medium</v>
      </c>
      <c r="K504" t="b">
        <v>0</v>
      </c>
      <c r="L504" t="b">
        <v>0</v>
      </c>
      <c r="M504" t="b">
        <v>1</v>
      </c>
    </row>
    <row r="505" spans="1:13" hidden="1" x14ac:dyDescent="0.3">
      <c r="A505">
        <v>54</v>
      </c>
      <c r="B505" t="s">
        <v>18</v>
      </c>
      <c r="C505" s="1">
        <v>5</v>
      </c>
      <c r="D505" t="s">
        <v>13</v>
      </c>
      <c r="E505" t="s">
        <v>14</v>
      </c>
      <c r="F505" t="s">
        <v>27</v>
      </c>
      <c r="G505" t="s">
        <v>16</v>
      </c>
      <c r="H505" t="s">
        <v>17</v>
      </c>
      <c r="I505" s="3">
        <v>13071</v>
      </c>
      <c r="J505" s="3" t="str">
        <f>IF(I505&gt;16000, "High", IF(I505&gt;=12000, IF(I505&lt;=15000, "Medium", "High"), "Low"))</f>
        <v>Medium</v>
      </c>
      <c r="K505" t="b">
        <v>0</v>
      </c>
      <c r="L505" t="b">
        <v>1</v>
      </c>
      <c r="M505" t="b">
        <v>0</v>
      </c>
    </row>
    <row r="506" spans="1:13" hidden="1" x14ac:dyDescent="0.3">
      <c r="A506">
        <v>29</v>
      </c>
      <c r="B506" t="s">
        <v>25</v>
      </c>
      <c r="C506" s="1">
        <v>1</v>
      </c>
      <c r="D506" t="s">
        <v>13</v>
      </c>
      <c r="E506" t="s">
        <v>26</v>
      </c>
      <c r="F506" t="s">
        <v>27</v>
      </c>
      <c r="G506" t="s">
        <v>16</v>
      </c>
      <c r="H506" t="s">
        <v>24</v>
      </c>
      <c r="I506" s="3">
        <v>10555</v>
      </c>
      <c r="J506" s="3" t="str">
        <f>IF(I506&gt;16000, "High", IF(I506&gt;=12000, IF(I506&lt;=15000, "Medium", "High"), "Low"))</f>
        <v>Low</v>
      </c>
      <c r="K506" t="b">
        <v>0</v>
      </c>
      <c r="L506" t="b">
        <v>0</v>
      </c>
      <c r="M506" t="b">
        <v>0</v>
      </c>
    </row>
    <row r="507" spans="1:13" hidden="1" x14ac:dyDescent="0.3">
      <c r="A507">
        <v>20</v>
      </c>
      <c r="B507" t="s">
        <v>18</v>
      </c>
      <c r="C507" s="1">
        <v>7</v>
      </c>
      <c r="D507" t="s">
        <v>28</v>
      </c>
      <c r="E507" t="s">
        <v>14</v>
      </c>
      <c r="F507" t="s">
        <v>22</v>
      </c>
      <c r="G507" t="s">
        <v>23</v>
      </c>
      <c r="H507" t="s">
        <v>24</v>
      </c>
      <c r="I507" s="3">
        <v>18547</v>
      </c>
      <c r="J507" s="3" t="str">
        <f>IF(I507&gt;16000, "High", IF(I507&gt;=12000, IF(I507&lt;=15000, "Medium", "High"), "Low"))</f>
        <v>High</v>
      </c>
      <c r="K507" t="b">
        <v>1</v>
      </c>
      <c r="L507" t="b">
        <v>0</v>
      </c>
      <c r="M507" t="b">
        <v>1</v>
      </c>
    </row>
    <row r="508" spans="1:13" hidden="1" x14ac:dyDescent="0.3">
      <c r="A508">
        <v>18</v>
      </c>
      <c r="B508" t="s">
        <v>25</v>
      </c>
      <c r="C508" s="1">
        <v>5</v>
      </c>
      <c r="D508" t="s">
        <v>28</v>
      </c>
      <c r="E508" t="s">
        <v>20</v>
      </c>
      <c r="F508" t="s">
        <v>15</v>
      </c>
      <c r="G508" t="s">
        <v>16</v>
      </c>
      <c r="H508" t="s">
        <v>17</v>
      </c>
      <c r="I508" s="3">
        <v>11563</v>
      </c>
      <c r="J508" s="3" t="str">
        <f>IF(I508&gt;16000, "High", IF(I508&gt;=12000, IF(I508&lt;=15000, "Medium", "High"), "Low"))</f>
        <v>Low</v>
      </c>
      <c r="K508" t="b">
        <v>0</v>
      </c>
      <c r="L508" t="b">
        <v>0</v>
      </c>
      <c r="M508" t="b">
        <v>0</v>
      </c>
    </row>
    <row r="509" spans="1:13" hidden="1" x14ac:dyDescent="0.3">
      <c r="A509">
        <v>50</v>
      </c>
      <c r="B509" t="s">
        <v>12</v>
      </c>
      <c r="C509" s="1">
        <v>8</v>
      </c>
      <c r="D509" t="s">
        <v>19</v>
      </c>
      <c r="E509" t="s">
        <v>14</v>
      </c>
      <c r="F509" t="s">
        <v>22</v>
      </c>
      <c r="G509" t="s">
        <v>23</v>
      </c>
      <c r="H509" t="s">
        <v>21</v>
      </c>
      <c r="I509" s="3">
        <v>11040</v>
      </c>
      <c r="J509" s="3" t="str">
        <f>IF(I509&gt;16000, "High", IF(I509&gt;=12000, IF(I509&lt;=15000, "Medium", "High"), "Low"))</f>
        <v>Low</v>
      </c>
      <c r="K509" t="b">
        <v>1</v>
      </c>
      <c r="L509" t="b">
        <v>1</v>
      </c>
      <c r="M509" t="b">
        <v>0</v>
      </c>
    </row>
    <row r="510" spans="1:13" x14ac:dyDescent="0.3">
      <c r="A510">
        <v>59</v>
      </c>
      <c r="B510" t="s">
        <v>18</v>
      </c>
      <c r="C510" s="1">
        <v>9</v>
      </c>
      <c r="D510" t="s">
        <v>19</v>
      </c>
      <c r="E510" t="s">
        <v>26</v>
      </c>
      <c r="F510" t="s">
        <v>15</v>
      </c>
      <c r="G510" t="s">
        <v>23</v>
      </c>
      <c r="H510" t="s">
        <v>17</v>
      </c>
      <c r="I510" s="3">
        <v>13642</v>
      </c>
      <c r="J510" s="3" t="str">
        <f>IF(I510&gt;16000, "High", IF(I510&gt;=12000, IF(I510&lt;=15000, "Medium", "High"), "Low"))</f>
        <v>Medium</v>
      </c>
      <c r="K510" t="b">
        <v>1</v>
      </c>
      <c r="L510" t="b">
        <v>0</v>
      </c>
      <c r="M510" t="b">
        <v>1</v>
      </c>
    </row>
    <row r="511" spans="1:13" hidden="1" x14ac:dyDescent="0.3">
      <c r="A511">
        <v>27</v>
      </c>
      <c r="B511" t="s">
        <v>25</v>
      </c>
      <c r="C511" s="1">
        <v>9</v>
      </c>
      <c r="D511" t="s">
        <v>13</v>
      </c>
      <c r="E511" t="s">
        <v>20</v>
      </c>
      <c r="F511" t="s">
        <v>27</v>
      </c>
      <c r="G511" t="s">
        <v>29</v>
      </c>
      <c r="H511" t="s">
        <v>17</v>
      </c>
      <c r="I511" s="3">
        <v>12553</v>
      </c>
      <c r="J511" s="3" t="str">
        <f>IF(I511&gt;16000, "High", IF(I511&gt;=12000, IF(I511&lt;=15000, "Medium", "High"), "Low"))</f>
        <v>Medium</v>
      </c>
      <c r="K511" t="b">
        <v>1</v>
      </c>
      <c r="L511" t="b">
        <v>1</v>
      </c>
      <c r="M511" t="b">
        <v>1</v>
      </c>
    </row>
    <row r="512" spans="1:13" hidden="1" x14ac:dyDescent="0.3">
      <c r="A512">
        <v>60</v>
      </c>
      <c r="B512" t="s">
        <v>25</v>
      </c>
      <c r="C512" s="1">
        <v>7</v>
      </c>
      <c r="D512" t="s">
        <v>28</v>
      </c>
      <c r="E512" t="s">
        <v>20</v>
      </c>
      <c r="F512" t="s">
        <v>22</v>
      </c>
      <c r="G512" t="s">
        <v>16</v>
      </c>
      <c r="H512" t="s">
        <v>21</v>
      </c>
      <c r="I512" s="3">
        <v>11779</v>
      </c>
      <c r="J512" s="3" t="str">
        <f>IF(I512&gt;16000, "High", IF(I512&gt;=12000, IF(I512&lt;=15000, "Medium", "High"), "Low"))</f>
        <v>Low</v>
      </c>
      <c r="K512" t="b">
        <v>0</v>
      </c>
      <c r="L512" t="b">
        <v>0</v>
      </c>
      <c r="M512" t="b">
        <v>0</v>
      </c>
    </row>
    <row r="513" spans="1:13" hidden="1" x14ac:dyDescent="0.3">
      <c r="A513">
        <v>61</v>
      </c>
      <c r="B513" t="s">
        <v>12</v>
      </c>
      <c r="C513" s="1">
        <v>1</v>
      </c>
      <c r="D513" t="s">
        <v>19</v>
      </c>
      <c r="E513" t="s">
        <v>20</v>
      </c>
      <c r="F513" t="s">
        <v>27</v>
      </c>
      <c r="G513" t="s">
        <v>29</v>
      </c>
      <c r="H513" t="s">
        <v>21</v>
      </c>
      <c r="I513" s="3">
        <v>10075</v>
      </c>
      <c r="J513" s="3" t="str">
        <f>IF(I513&gt;16000, "High", IF(I513&gt;=12000, IF(I513&lt;=15000, "Medium", "High"), "Low"))</f>
        <v>Low</v>
      </c>
      <c r="K513" t="b">
        <v>0</v>
      </c>
      <c r="L513" t="b">
        <v>1</v>
      </c>
      <c r="M513" t="b">
        <v>1</v>
      </c>
    </row>
    <row r="514" spans="1:13" x14ac:dyDescent="0.3">
      <c r="A514">
        <v>23</v>
      </c>
      <c r="B514" t="s">
        <v>18</v>
      </c>
      <c r="C514" s="1">
        <v>4</v>
      </c>
      <c r="D514" t="s">
        <v>19</v>
      </c>
      <c r="E514" t="s">
        <v>20</v>
      </c>
      <c r="F514" t="s">
        <v>22</v>
      </c>
      <c r="G514" t="s">
        <v>29</v>
      </c>
      <c r="H514" t="s">
        <v>17</v>
      </c>
      <c r="I514" s="3">
        <v>17169</v>
      </c>
      <c r="J514" s="3" t="str">
        <f>IF(I514&gt;16000, "High", IF(I514&gt;=12000, IF(I514&lt;=15000, "Medium", "High"), "Low"))</f>
        <v>High</v>
      </c>
      <c r="K514" t="b">
        <v>1</v>
      </c>
      <c r="L514" t="b">
        <v>0</v>
      </c>
      <c r="M514" t="b">
        <v>0</v>
      </c>
    </row>
    <row r="515" spans="1:13" hidden="1" x14ac:dyDescent="0.3">
      <c r="A515">
        <v>30</v>
      </c>
      <c r="B515" t="s">
        <v>25</v>
      </c>
      <c r="C515" s="1">
        <v>8</v>
      </c>
      <c r="D515" t="s">
        <v>19</v>
      </c>
      <c r="E515" t="s">
        <v>14</v>
      </c>
      <c r="F515" t="s">
        <v>15</v>
      </c>
      <c r="G515" t="s">
        <v>23</v>
      </c>
      <c r="H515" t="s">
        <v>24</v>
      </c>
      <c r="I515" s="3">
        <v>15835</v>
      </c>
      <c r="J515" s="3" t="str">
        <f>IF(I515&gt;16000, "High", IF(I515&gt;=12000, IF(I515&lt;=15000, "Medium", "High"), "Low"))</f>
        <v>High</v>
      </c>
      <c r="K515" t="b">
        <v>0</v>
      </c>
      <c r="L515" t="b">
        <v>1</v>
      </c>
      <c r="M515" t="b">
        <v>1</v>
      </c>
    </row>
    <row r="516" spans="1:13" hidden="1" x14ac:dyDescent="0.3">
      <c r="A516">
        <v>29</v>
      </c>
      <c r="B516" t="s">
        <v>12</v>
      </c>
      <c r="C516" s="1">
        <v>3</v>
      </c>
      <c r="D516" t="s">
        <v>19</v>
      </c>
      <c r="E516" t="s">
        <v>20</v>
      </c>
      <c r="F516" t="s">
        <v>15</v>
      </c>
      <c r="G516" t="s">
        <v>16</v>
      </c>
      <c r="H516" t="s">
        <v>24</v>
      </c>
      <c r="I516" s="3">
        <v>15057</v>
      </c>
      <c r="J516" s="3" t="str">
        <f>IF(I516&gt;16000, "High", IF(I516&gt;=12000, IF(I516&lt;=15000, "Medium", "High"), "Low"))</f>
        <v>High</v>
      </c>
      <c r="K516" t="b">
        <v>0</v>
      </c>
      <c r="L516" t="b">
        <v>1</v>
      </c>
      <c r="M516" t="b">
        <v>0</v>
      </c>
    </row>
    <row r="517" spans="1:13" hidden="1" x14ac:dyDescent="0.3">
      <c r="A517">
        <v>48</v>
      </c>
      <c r="B517" t="s">
        <v>25</v>
      </c>
      <c r="C517" s="1">
        <v>8</v>
      </c>
      <c r="D517" t="s">
        <v>19</v>
      </c>
      <c r="E517" t="s">
        <v>14</v>
      </c>
      <c r="F517" t="s">
        <v>27</v>
      </c>
      <c r="G517" t="s">
        <v>23</v>
      </c>
      <c r="H517" t="s">
        <v>24</v>
      </c>
      <c r="I517" s="3">
        <v>12349</v>
      </c>
      <c r="J517" s="3" t="str">
        <f>IF(I517&gt;16000, "High", IF(I517&gt;=12000, IF(I517&lt;=15000, "Medium", "High"), "Low"))</f>
        <v>Medium</v>
      </c>
      <c r="K517" t="b">
        <v>0</v>
      </c>
      <c r="L517" t="b">
        <v>1</v>
      </c>
      <c r="M517" t="b">
        <v>0</v>
      </c>
    </row>
    <row r="518" spans="1:13" x14ac:dyDescent="0.3">
      <c r="A518">
        <v>29</v>
      </c>
      <c r="B518" t="s">
        <v>18</v>
      </c>
      <c r="C518" s="1">
        <v>8</v>
      </c>
      <c r="D518" t="s">
        <v>19</v>
      </c>
      <c r="E518" t="s">
        <v>14</v>
      </c>
      <c r="F518" t="s">
        <v>22</v>
      </c>
      <c r="G518" t="s">
        <v>23</v>
      </c>
      <c r="H518" t="s">
        <v>17</v>
      </c>
      <c r="I518" s="3">
        <v>12040</v>
      </c>
      <c r="J518" s="3" t="str">
        <f>IF(I518&gt;16000, "High", IF(I518&gt;=12000, IF(I518&lt;=15000, "Medium", "High"), "Low"))</f>
        <v>Medium</v>
      </c>
      <c r="K518" t="b">
        <v>0</v>
      </c>
      <c r="L518" t="b">
        <v>1</v>
      </c>
      <c r="M518" t="b">
        <v>0</v>
      </c>
    </row>
    <row r="519" spans="1:13" hidden="1" x14ac:dyDescent="0.3">
      <c r="A519">
        <v>19</v>
      </c>
      <c r="B519" t="s">
        <v>25</v>
      </c>
      <c r="C519" s="1">
        <v>5</v>
      </c>
      <c r="D519" t="s">
        <v>13</v>
      </c>
      <c r="E519" t="s">
        <v>26</v>
      </c>
      <c r="F519" t="s">
        <v>27</v>
      </c>
      <c r="G519" t="s">
        <v>29</v>
      </c>
      <c r="H519" t="s">
        <v>24</v>
      </c>
      <c r="I519" s="3">
        <v>12262</v>
      </c>
      <c r="J519" s="3" t="str">
        <f>IF(I519&gt;16000, "High", IF(I519&gt;=12000, IF(I519&lt;=15000, "Medium", "High"), "Low"))</f>
        <v>Medium</v>
      </c>
      <c r="K519" t="b">
        <v>0</v>
      </c>
      <c r="L519" t="b">
        <v>0</v>
      </c>
      <c r="M519" t="b">
        <v>0</v>
      </c>
    </row>
    <row r="520" spans="1:13" hidden="1" x14ac:dyDescent="0.3">
      <c r="A520">
        <v>52</v>
      </c>
      <c r="B520" t="s">
        <v>25</v>
      </c>
      <c r="C520" s="1">
        <v>4</v>
      </c>
      <c r="D520" t="s">
        <v>28</v>
      </c>
      <c r="E520" t="s">
        <v>20</v>
      </c>
      <c r="F520" t="s">
        <v>22</v>
      </c>
      <c r="G520" t="s">
        <v>29</v>
      </c>
      <c r="H520" t="s">
        <v>17</v>
      </c>
      <c r="I520" s="3">
        <v>13229</v>
      </c>
      <c r="J520" s="3" t="str">
        <f>IF(I520&gt;16000, "High", IF(I520&gt;=12000, IF(I520&lt;=15000, "Medium", "High"), "Low"))</f>
        <v>Medium</v>
      </c>
      <c r="K520" t="b">
        <v>0</v>
      </c>
      <c r="L520" t="b">
        <v>0</v>
      </c>
      <c r="M520" t="b">
        <v>1</v>
      </c>
    </row>
    <row r="521" spans="1:13" hidden="1" x14ac:dyDescent="0.3">
      <c r="A521">
        <v>40</v>
      </c>
      <c r="B521" t="s">
        <v>25</v>
      </c>
      <c r="C521" s="1">
        <v>5</v>
      </c>
      <c r="D521" t="s">
        <v>28</v>
      </c>
      <c r="E521" t="s">
        <v>26</v>
      </c>
      <c r="F521" t="s">
        <v>15</v>
      </c>
      <c r="G521" t="s">
        <v>16</v>
      </c>
      <c r="H521" t="s">
        <v>24</v>
      </c>
      <c r="I521" s="3">
        <v>10392</v>
      </c>
      <c r="J521" s="3" t="str">
        <f>IF(I521&gt;16000, "High", IF(I521&gt;=12000, IF(I521&lt;=15000, "Medium", "High"), "Low"))</f>
        <v>Low</v>
      </c>
      <c r="K521" t="b">
        <v>1</v>
      </c>
      <c r="L521" t="b">
        <v>0</v>
      </c>
      <c r="M521" t="b">
        <v>1</v>
      </c>
    </row>
    <row r="522" spans="1:13" hidden="1" x14ac:dyDescent="0.3">
      <c r="A522">
        <v>34</v>
      </c>
      <c r="B522" t="s">
        <v>25</v>
      </c>
      <c r="C522" s="1">
        <v>8</v>
      </c>
      <c r="D522" t="s">
        <v>19</v>
      </c>
      <c r="E522" t="s">
        <v>20</v>
      </c>
      <c r="F522" t="s">
        <v>15</v>
      </c>
      <c r="G522" t="s">
        <v>16</v>
      </c>
      <c r="H522" t="s">
        <v>24</v>
      </c>
      <c r="I522" s="3">
        <v>11108</v>
      </c>
      <c r="J522" s="3" t="str">
        <f>IF(I522&gt;16000, "High", IF(I522&gt;=12000, IF(I522&lt;=15000, "Medium", "High"), "Low"))</f>
        <v>Low</v>
      </c>
      <c r="K522" t="b">
        <v>0</v>
      </c>
      <c r="L522" t="b">
        <v>0</v>
      </c>
      <c r="M522" t="b">
        <v>1</v>
      </c>
    </row>
    <row r="523" spans="1:13" hidden="1" x14ac:dyDescent="0.3">
      <c r="A523">
        <v>43</v>
      </c>
      <c r="B523" t="s">
        <v>12</v>
      </c>
      <c r="C523" s="1">
        <v>4</v>
      </c>
      <c r="D523" t="s">
        <v>28</v>
      </c>
      <c r="E523" t="s">
        <v>20</v>
      </c>
      <c r="F523" t="s">
        <v>15</v>
      </c>
      <c r="G523" t="s">
        <v>23</v>
      </c>
      <c r="H523" t="s">
        <v>21</v>
      </c>
      <c r="I523" s="3">
        <v>14362</v>
      </c>
      <c r="J523" s="3" t="str">
        <f>IF(I523&gt;16000, "High", IF(I523&gt;=12000, IF(I523&lt;=15000, "Medium", "High"), "Low"))</f>
        <v>Medium</v>
      </c>
      <c r="K523" t="b">
        <v>1</v>
      </c>
      <c r="L523" t="b">
        <v>1</v>
      </c>
      <c r="M523" t="b">
        <v>1</v>
      </c>
    </row>
    <row r="524" spans="1:13" hidden="1" x14ac:dyDescent="0.3">
      <c r="A524">
        <v>25</v>
      </c>
      <c r="B524" t="s">
        <v>12</v>
      </c>
      <c r="C524" s="1">
        <v>4</v>
      </c>
      <c r="D524" t="s">
        <v>28</v>
      </c>
      <c r="E524" t="s">
        <v>20</v>
      </c>
      <c r="F524" t="s">
        <v>22</v>
      </c>
      <c r="G524" t="s">
        <v>16</v>
      </c>
      <c r="H524" t="s">
        <v>24</v>
      </c>
      <c r="I524" s="3">
        <v>15188</v>
      </c>
      <c r="J524" s="3" t="str">
        <f>IF(I524&gt;16000, "High", IF(I524&gt;=12000, IF(I524&lt;=15000, "Medium", "High"), "Low"))</f>
        <v>High</v>
      </c>
      <c r="K524" t="b">
        <v>0</v>
      </c>
      <c r="L524" t="b">
        <v>0</v>
      </c>
      <c r="M524" t="b">
        <v>1</v>
      </c>
    </row>
    <row r="525" spans="1:13" hidden="1" x14ac:dyDescent="0.3">
      <c r="A525">
        <v>46</v>
      </c>
      <c r="B525" t="s">
        <v>18</v>
      </c>
      <c r="C525" s="1">
        <v>3</v>
      </c>
      <c r="D525" t="s">
        <v>28</v>
      </c>
      <c r="E525" t="s">
        <v>26</v>
      </c>
      <c r="F525" t="s">
        <v>15</v>
      </c>
      <c r="G525" t="s">
        <v>16</v>
      </c>
      <c r="H525" t="s">
        <v>17</v>
      </c>
      <c r="I525" s="3">
        <v>18802</v>
      </c>
      <c r="J525" s="3" t="str">
        <f>IF(I525&gt;16000, "High", IF(I525&gt;=12000, IF(I525&lt;=15000, "Medium", "High"), "Low"))</f>
        <v>High</v>
      </c>
      <c r="K525" t="b">
        <v>0</v>
      </c>
      <c r="L525" t="b">
        <v>0</v>
      </c>
      <c r="M525" t="b">
        <v>0</v>
      </c>
    </row>
    <row r="526" spans="1:13" hidden="1" x14ac:dyDescent="0.3">
      <c r="A526">
        <v>43</v>
      </c>
      <c r="B526" t="s">
        <v>12</v>
      </c>
      <c r="C526" s="1">
        <v>7</v>
      </c>
      <c r="D526" t="s">
        <v>19</v>
      </c>
      <c r="E526" t="s">
        <v>26</v>
      </c>
      <c r="F526" t="s">
        <v>27</v>
      </c>
      <c r="G526" t="s">
        <v>16</v>
      </c>
      <c r="H526" t="s">
        <v>21</v>
      </c>
      <c r="I526" s="3">
        <v>15057</v>
      </c>
      <c r="J526" s="3" t="str">
        <f>IF(I526&gt;16000, "High", IF(I526&gt;=12000, IF(I526&lt;=15000, "Medium", "High"), "Low"))</f>
        <v>High</v>
      </c>
      <c r="K526" t="b">
        <v>0</v>
      </c>
      <c r="L526" t="b">
        <v>0</v>
      </c>
      <c r="M526" t="b">
        <v>0</v>
      </c>
    </row>
    <row r="527" spans="1:13" hidden="1" x14ac:dyDescent="0.3">
      <c r="A527">
        <v>27</v>
      </c>
      <c r="B527" t="s">
        <v>12</v>
      </c>
      <c r="C527" s="1">
        <v>3</v>
      </c>
      <c r="D527" t="s">
        <v>19</v>
      </c>
      <c r="E527" t="s">
        <v>20</v>
      </c>
      <c r="F527" t="s">
        <v>27</v>
      </c>
      <c r="G527" t="s">
        <v>23</v>
      </c>
      <c r="H527" t="s">
        <v>17</v>
      </c>
      <c r="I527" s="3">
        <v>13998</v>
      </c>
      <c r="J527" s="3" t="str">
        <f>IF(I527&gt;16000, "High", IF(I527&gt;=12000, IF(I527&lt;=15000, "Medium", "High"), "Low"))</f>
        <v>Medium</v>
      </c>
      <c r="K527" t="b">
        <v>0</v>
      </c>
      <c r="L527" t="b">
        <v>1</v>
      </c>
      <c r="M527" t="b">
        <v>0</v>
      </c>
    </row>
    <row r="528" spans="1:13" hidden="1" x14ac:dyDescent="0.3">
      <c r="A528">
        <v>43</v>
      </c>
      <c r="B528" t="s">
        <v>18</v>
      </c>
      <c r="C528" s="1">
        <v>3</v>
      </c>
      <c r="D528" t="s">
        <v>28</v>
      </c>
      <c r="E528" t="s">
        <v>14</v>
      </c>
      <c r="F528" t="s">
        <v>15</v>
      </c>
      <c r="G528" t="s">
        <v>16</v>
      </c>
      <c r="H528" t="s">
        <v>21</v>
      </c>
      <c r="I528" s="3">
        <v>18864</v>
      </c>
      <c r="J528" s="3" t="str">
        <f>IF(I528&gt;16000, "High", IF(I528&gt;=12000, IF(I528&lt;=15000, "Medium", "High"), "Low"))</f>
        <v>High</v>
      </c>
      <c r="K528" t="b">
        <v>0</v>
      </c>
      <c r="L528" t="b">
        <v>0</v>
      </c>
      <c r="M528" t="b">
        <v>0</v>
      </c>
    </row>
    <row r="529" spans="1:13" hidden="1" x14ac:dyDescent="0.3">
      <c r="A529">
        <v>51</v>
      </c>
      <c r="B529" t="s">
        <v>12</v>
      </c>
      <c r="C529" s="1">
        <v>5</v>
      </c>
      <c r="D529" t="s">
        <v>28</v>
      </c>
      <c r="E529" t="s">
        <v>20</v>
      </c>
      <c r="F529" t="s">
        <v>15</v>
      </c>
      <c r="G529" t="s">
        <v>29</v>
      </c>
      <c r="H529" t="s">
        <v>21</v>
      </c>
      <c r="I529" s="3">
        <v>16566</v>
      </c>
      <c r="J529" s="3" t="str">
        <f>IF(I529&gt;16000, "High", IF(I529&gt;=12000, IF(I529&lt;=15000, "Medium", "High"), "Low"))</f>
        <v>High</v>
      </c>
      <c r="K529" t="b">
        <v>0</v>
      </c>
      <c r="L529" t="b">
        <v>0</v>
      </c>
      <c r="M529" t="b">
        <v>1</v>
      </c>
    </row>
    <row r="530" spans="1:13" hidden="1" x14ac:dyDescent="0.3">
      <c r="A530">
        <v>58</v>
      </c>
      <c r="B530" t="s">
        <v>12</v>
      </c>
      <c r="C530" s="1">
        <v>5</v>
      </c>
      <c r="D530" t="s">
        <v>19</v>
      </c>
      <c r="E530" t="s">
        <v>26</v>
      </c>
      <c r="F530" t="s">
        <v>22</v>
      </c>
      <c r="G530" t="s">
        <v>23</v>
      </c>
      <c r="H530" t="s">
        <v>24</v>
      </c>
      <c r="I530" s="3">
        <v>13677</v>
      </c>
      <c r="J530" s="3" t="str">
        <f>IF(I530&gt;16000, "High", IF(I530&gt;=12000, IF(I530&lt;=15000, "Medium", "High"), "Low"))</f>
        <v>Medium</v>
      </c>
      <c r="K530" t="b">
        <v>1</v>
      </c>
      <c r="L530" t="b">
        <v>1</v>
      </c>
      <c r="M530" t="b">
        <v>1</v>
      </c>
    </row>
    <row r="531" spans="1:13" hidden="1" x14ac:dyDescent="0.3">
      <c r="A531">
        <v>24</v>
      </c>
      <c r="B531" t="s">
        <v>18</v>
      </c>
      <c r="C531" s="1">
        <v>6</v>
      </c>
      <c r="D531" t="s">
        <v>13</v>
      </c>
      <c r="E531" t="s">
        <v>20</v>
      </c>
      <c r="F531" t="s">
        <v>22</v>
      </c>
      <c r="G531" t="s">
        <v>23</v>
      </c>
      <c r="H531" t="s">
        <v>17</v>
      </c>
      <c r="I531" s="3">
        <v>15796</v>
      </c>
      <c r="J531" s="3" t="str">
        <f>IF(I531&gt;16000, "High", IF(I531&gt;=12000, IF(I531&lt;=15000, "Medium", "High"), "Low"))</f>
        <v>High</v>
      </c>
      <c r="K531" t="b">
        <v>0</v>
      </c>
      <c r="L531" t="b">
        <v>1</v>
      </c>
      <c r="M531" t="b">
        <v>0</v>
      </c>
    </row>
    <row r="532" spans="1:13" hidden="1" x14ac:dyDescent="0.3">
      <c r="A532">
        <v>21</v>
      </c>
      <c r="B532" t="s">
        <v>18</v>
      </c>
      <c r="C532" s="1">
        <v>8</v>
      </c>
      <c r="D532" t="s">
        <v>28</v>
      </c>
      <c r="E532" t="s">
        <v>26</v>
      </c>
      <c r="F532" t="s">
        <v>22</v>
      </c>
      <c r="G532" t="s">
        <v>29</v>
      </c>
      <c r="H532" t="s">
        <v>21</v>
      </c>
      <c r="I532" s="3">
        <v>16363</v>
      </c>
      <c r="J532" s="3" t="str">
        <f>IF(I532&gt;16000, "High", IF(I532&gt;=12000, IF(I532&lt;=15000, "Medium", "High"), "Low"))</f>
        <v>High</v>
      </c>
      <c r="K532" t="b">
        <v>0</v>
      </c>
      <c r="L532" t="b">
        <v>0</v>
      </c>
      <c r="M532" t="b">
        <v>0</v>
      </c>
    </row>
    <row r="533" spans="1:13" hidden="1" x14ac:dyDescent="0.3">
      <c r="A533">
        <v>62</v>
      </c>
      <c r="B533" t="s">
        <v>18</v>
      </c>
      <c r="C533" s="1">
        <v>6</v>
      </c>
      <c r="D533" t="s">
        <v>13</v>
      </c>
      <c r="E533" t="s">
        <v>26</v>
      </c>
      <c r="F533" t="s">
        <v>15</v>
      </c>
      <c r="G533" t="s">
        <v>29</v>
      </c>
      <c r="H533" t="s">
        <v>24</v>
      </c>
      <c r="I533" s="3">
        <v>18123</v>
      </c>
      <c r="J533" s="3" t="str">
        <f>IF(I533&gt;16000, "High", IF(I533&gt;=12000, IF(I533&lt;=15000, "Medium", "High"), "Low"))</f>
        <v>High</v>
      </c>
      <c r="K533" t="b">
        <v>0</v>
      </c>
      <c r="L533" t="b">
        <v>0</v>
      </c>
      <c r="M533" t="b">
        <v>1</v>
      </c>
    </row>
    <row r="534" spans="1:13" hidden="1" x14ac:dyDescent="0.3">
      <c r="A534">
        <v>28</v>
      </c>
      <c r="B534" t="s">
        <v>25</v>
      </c>
      <c r="C534" s="1">
        <v>1</v>
      </c>
      <c r="D534" t="s">
        <v>28</v>
      </c>
      <c r="E534" t="s">
        <v>26</v>
      </c>
      <c r="F534" t="s">
        <v>22</v>
      </c>
      <c r="G534" t="s">
        <v>29</v>
      </c>
      <c r="H534" t="s">
        <v>21</v>
      </c>
      <c r="I534" s="3">
        <v>18222</v>
      </c>
      <c r="J534" s="3" t="str">
        <f>IF(I534&gt;16000, "High", IF(I534&gt;=12000, IF(I534&lt;=15000, "Medium", "High"), "Low"))</f>
        <v>High</v>
      </c>
      <c r="K534" t="b">
        <v>1</v>
      </c>
      <c r="L534" t="b">
        <v>1</v>
      </c>
      <c r="M534" t="b">
        <v>1</v>
      </c>
    </row>
    <row r="535" spans="1:13" hidden="1" x14ac:dyDescent="0.3">
      <c r="A535">
        <v>46</v>
      </c>
      <c r="B535" t="s">
        <v>25</v>
      </c>
      <c r="C535" s="1">
        <v>8</v>
      </c>
      <c r="D535" t="s">
        <v>13</v>
      </c>
      <c r="E535" t="s">
        <v>20</v>
      </c>
      <c r="F535" t="s">
        <v>22</v>
      </c>
      <c r="G535" t="s">
        <v>16</v>
      </c>
      <c r="H535" t="s">
        <v>21</v>
      </c>
      <c r="I535" s="3">
        <v>17690</v>
      </c>
      <c r="J535" s="3" t="str">
        <f>IF(I535&gt;16000, "High", IF(I535&gt;=12000, IF(I535&lt;=15000, "Medium", "High"), "Low"))</f>
        <v>High</v>
      </c>
      <c r="K535" t="b">
        <v>1</v>
      </c>
      <c r="L535" t="b">
        <v>0</v>
      </c>
      <c r="M535" t="b">
        <v>1</v>
      </c>
    </row>
    <row r="536" spans="1:13" hidden="1" x14ac:dyDescent="0.3">
      <c r="A536">
        <v>53</v>
      </c>
      <c r="B536" t="s">
        <v>18</v>
      </c>
      <c r="C536" s="1">
        <v>8</v>
      </c>
      <c r="D536" t="s">
        <v>13</v>
      </c>
      <c r="E536" t="s">
        <v>26</v>
      </c>
      <c r="F536" t="s">
        <v>27</v>
      </c>
      <c r="G536" t="s">
        <v>29</v>
      </c>
      <c r="H536" t="s">
        <v>21</v>
      </c>
      <c r="I536" s="3">
        <v>11400</v>
      </c>
      <c r="J536" s="3" t="str">
        <f>IF(I536&gt;16000, "High", IF(I536&gt;=12000, IF(I536&lt;=15000, "Medium", "High"), "Low"))</f>
        <v>Low</v>
      </c>
      <c r="K536" t="b">
        <v>1</v>
      </c>
      <c r="L536" t="b">
        <v>1</v>
      </c>
      <c r="M536" t="b">
        <v>0</v>
      </c>
    </row>
    <row r="537" spans="1:13" hidden="1" x14ac:dyDescent="0.3">
      <c r="A537">
        <v>42</v>
      </c>
      <c r="B537" t="s">
        <v>18</v>
      </c>
      <c r="C537" s="1">
        <v>9</v>
      </c>
      <c r="D537" t="s">
        <v>13</v>
      </c>
      <c r="E537" t="s">
        <v>26</v>
      </c>
      <c r="F537" t="s">
        <v>22</v>
      </c>
      <c r="G537" t="s">
        <v>16</v>
      </c>
      <c r="H537" t="s">
        <v>21</v>
      </c>
      <c r="I537" s="3">
        <v>14071</v>
      </c>
      <c r="J537" s="3" t="str">
        <f>IF(I537&gt;16000, "High", IF(I537&gt;=12000, IF(I537&lt;=15000, "Medium", "High"), "Low"))</f>
        <v>Medium</v>
      </c>
      <c r="K537" t="b">
        <v>0</v>
      </c>
      <c r="L537" t="b">
        <v>0</v>
      </c>
      <c r="M537" t="b">
        <v>1</v>
      </c>
    </row>
    <row r="538" spans="1:13" x14ac:dyDescent="0.3">
      <c r="A538">
        <v>45</v>
      </c>
      <c r="B538" t="s">
        <v>18</v>
      </c>
      <c r="C538" s="1">
        <v>6</v>
      </c>
      <c r="D538" t="s">
        <v>19</v>
      </c>
      <c r="E538" t="s">
        <v>20</v>
      </c>
      <c r="F538" t="s">
        <v>15</v>
      </c>
      <c r="G538" t="s">
        <v>29</v>
      </c>
      <c r="H538" t="s">
        <v>17</v>
      </c>
      <c r="I538" s="3">
        <v>13799</v>
      </c>
      <c r="J538" s="3" t="str">
        <f>IF(I538&gt;16000, "High", IF(I538&gt;=12000, IF(I538&lt;=15000, "Medium", "High"), "Low"))</f>
        <v>Medium</v>
      </c>
      <c r="K538" t="b">
        <v>1</v>
      </c>
      <c r="L538" t="b">
        <v>1</v>
      </c>
      <c r="M538" t="b">
        <v>1</v>
      </c>
    </row>
    <row r="539" spans="1:13" hidden="1" x14ac:dyDescent="0.3">
      <c r="A539">
        <v>53</v>
      </c>
      <c r="B539" t="s">
        <v>25</v>
      </c>
      <c r="C539" s="1">
        <v>2</v>
      </c>
      <c r="D539" t="s">
        <v>13</v>
      </c>
      <c r="E539" t="s">
        <v>26</v>
      </c>
      <c r="F539" t="s">
        <v>27</v>
      </c>
      <c r="G539" t="s">
        <v>23</v>
      </c>
      <c r="H539" t="s">
        <v>21</v>
      </c>
      <c r="I539" s="3">
        <v>12786</v>
      </c>
      <c r="J539" s="3" t="str">
        <f>IF(I539&gt;16000, "High", IF(I539&gt;=12000, IF(I539&lt;=15000, "Medium", "High"), "Low"))</f>
        <v>Medium</v>
      </c>
      <c r="K539" t="b">
        <v>1</v>
      </c>
      <c r="L539" t="b">
        <v>0</v>
      </c>
      <c r="M539" t="b">
        <v>0</v>
      </c>
    </row>
    <row r="540" spans="1:13" hidden="1" x14ac:dyDescent="0.3">
      <c r="A540">
        <v>27</v>
      </c>
      <c r="B540" t="s">
        <v>25</v>
      </c>
      <c r="C540" s="1">
        <v>2</v>
      </c>
      <c r="D540" t="s">
        <v>13</v>
      </c>
      <c r="E540" t="s">
        <v>20</v>
      </c>
      <c r="F540" t="s">
        <v>22</v>
      </c>
      <c r="G540" t="s">
        <v>29</v>
      </c>
      <c r="H540" t="s">
        <v>24</v>
      </c>
      <c r="I540" s="3">
        <v>17169</v>
      </c>
      <c r="J540" s="3" t="str">
        <f>IF(I540&gt;16000, "High", IF(I540&gt;=12000, IF(I540&lt;=15000, "Medium", "High"), "Low"))</f>
        <v>High</v>
      </c>
      <c r="K540" t="b">
        <v>1</v>
      </c>
      <c r="L540" t="b">
        <v>0</v>
      </c>
      <c r="M540" t="b">
        <v>0</v>
      </c>
    </row>
    <row r="541" spans="1:13" hidden="1" x14ac:dyDescent="0.3">
      <c r="A541">
        <v>54</v>
      </c>
      <c r="B541" t="s">
        <v>12</v>
      </c>
      <c r="C541" s="1">
        <v>3</v>
      </c>
      <c r="D541" t="s">
        <v>13</v>
      </c>
      <c r="E541" t="s">
        <v>26</v>
      </c>
      <c r="F541" t="s">
        <v>27</v>
      </c>
      <c r="G541" t="s">
        <v>16</v>
      </c>
      <c r="H541" t="s">
        <v>21</v>
      </c>
      <c r="I541" s="3">
        <v>10870</v>
      </c>
      <c r="J541" s="3" t="str">
        <f>IF(I541&gt;16000, "High", IF(I541&gt;=12000, IF(I541&lt;=15000, "Medium", "High"), "Low"))</f>
        <v>Low</v>
      </c>
      <c r="K541" t="b">
        <v>1</v>
      </c>
      <c r="L541" t="b">
        <v>0</v>
      </c>
      <c r="M541" t="b">
        <v>0</v>
      </c>
    </row>
    <row r="542" spans="1:13" hidden="1" x14ac:dyDescent="0.3">
      <c r="A542">
        <v>26</v>
      </c>
      <c r="B542" t="s">
        <v>12</v>
      </c>
      <c r="C542" s="1">
        <v>1</v>
      </c>
      <c r="D542" t="s">
        <v>28</v>
      </c>
      <c r="E542" t="s">
        <v>14</v>
      </c>
      <c r="F542" t="s">
        <v>15</v>
      </c>
      <c r="G542" t="s">
        <v>29</v>
      </c>
      <c r="H542" t="s">
        <v>17</v>
      </c>
      <c r="I542" s="3">
        <v>14196</v>
      </c>
      <c r="J542" s="3" t="str">
        <f>IF(I542&gt;16000, "High", IF(I542&gt;=12000, IF(I542&lt;=15000, "Medium", "High"), "Low"))</f>
        <v>Medium</v>
      </c>
      <c r="K542" t="b">
        <v>0</v>
      </c>
      <c r="L542" t="b">
        <v>1</v>
      </c>
      <c r="M542" t="b">
        <v>1</v>
      </c>
    </row>
    <row r="543" spans="1:13" hidden="1" x14ac:dyDescent="0.3">
      <c r="A543">
        <v>41</v>
      </c>
      <c r="B543" t="s">
        <v>18</v>
      </c>
      <c r="C543" s="1">
        <v>4</v>
      </c>
      <c r="D543" t="s">
        <v>13</v>
      </c>
      <c r="E543" t="s">
        <v>14</v>
      </c>
      <c r="F543" t="s">
        <v>15</v>
      </c>
      <c r="G543" t="s">
        <v>29</v>
      </c>
      <c r="H543" t="s">
        <v>24</v>
      </c>
      <c r="I543" s="3">
        <v>19604</v>
      </c>
      <c r="J543" s="3" t="str">
        <f>IF(I543&gt;16000, "High", IF(I543&gt;=12000, IF(I543&lt;=15000, "Medium", "High"), "Low"))</f>
        <v>High</v>
      </c>
      <c r="K543" t="b">
        <v>1</v>
      </c>
      <c r="L543" t="b">
        <v>1</v>
      </c>
      <c r="M543" t="b">
        <v>1</v>
      </c>
    </row>
    <row r="544" spans="1:13" hidden="1" x14ac:dyDescent="0.3">
      <c r="A544">
        <v>52</v>
      </c>
      <c r="B544" t="s">
        <v>25</v>
      </c>
      <c r="C544" s="1">
        <v>4</v>
      </c>
      <c r="D544" t="s">
        <v>28</v>
      </c>
      <c r="E544" t="s">
        <v>26</v>
      </c>
      <c r="F544" t="s">
        <v>22</v>
      </c>
      <c r="G544" t="s">
        <v>16</v>
      </c>
      <c r="H544" t="s">
        <v>17</v>
      </c>
      <c r="I544" s="3">
        <v>12739</v>
      </c>
      <c r="J544" s="3" t="str">
        <f>IF(I544&gt;16000, "High", IF(I544&gt;=12000, IF(I544&lt;=15000, "Medium", "High"), "Low"))</f>
        <v>Medium</v>
      </c>
      <c r="K544" t="b">
        <v>0</v>
      </c>
      <c r="L544" t="b">
        <v>0</v>
      </c>
      <c r="M544" t="b">
        <v>0</v>
      </c>
    </row>
    <row r="545" spans="1:13" hidden="1" x14ac:dyDescent="0.3">
      <c r="A545">
        <v>52</v>
      </c>
      <c r="B545" t="s">
        <v>25</v>
      </c>
      <c r="C545" s="1">
        <v>9</v>
      </c>
      <c r="D545" t="s">
        <v>13</v>
      </c>
      <c r="E545" t="s">
        <v>14</v>
      </c>
      <c r="F545" t="s">
        <v>15</v>
      </c>
      <c r="G545" t="s">
        <v>29</v>
      </c>
      <c r="H545" t="s">
        <v>21</v>
      </c>
      <c r="I545" s="3">
        <v>10940</v>
      </c>
      <c r="J545" s="3" t="str">
        <f>IF(I545&gt;16000, "High", IF(I545&gt;=12000, IF(I545&lt;=15000, "Medium", "High"), "Low"))</f>
        <v>Low</v>
      </c>
      <c r="K545" t="b">
        <v>0</v>
      </c>
      <c r="L545" t="b">
        <v>0</v>
      </c>
      <c r="M545" t="b">
        <v>1</v>
      </c>
    </row>
    <row r="546" spans="1:13" hidden="1" x14ac:dyDescent="0.3">
      <c r="A546">
        <v>53</v>
      </c>
      <c r="B546" t="s">
        <v>25</v>
      </c>
      <c r="C546" s="1">
        <v>9</v>
      </c>
      <c r="D546" t="s">
        <v>13</v>
      </c>
      <c r="E546" t="s">
        <v>20</v>
      </c>
      <c r="F546" t="s">
        <v>27</v>
      </c>
      <c r="G546" t="s">
        <v>23</v>
      </c>
      <c r="H546" t="s">
        <v>17</v>
      </c>
      <c r="I546" s="3">
        <v>10340</v>
      </c>
      <c r="J546" s="3" t="str">
        <f>IF(I546&gt;16000, "High", IF(I546&gt;=12000, IF(I546&lt;=15000, "Medium", "High"), "Low"))</f>
        <v>Low</v>
      </c>
      <c r="K546" t="b">
        <v>0</v>
      </c>
      <c r="L546" t="b">
        <v>0</v>
      </c>
      <c r="M546" t="b">
        <v>1</v>
      </c>
    </row>
    <row r="547" spans="1:13" x14ac:dyDescent="0.3">
      <c r="A547">
        <v>43</v>
      </c>
      <c r="B547" t="s">
        <v>18</v>
      </c>
      <c r="C547" s="1">
        <v>3</v>
      </c>
      <c r="D547" t="s">
        <v>19</v>
      </c>
      <c r="E547" t="s">
        <v>26</v>
      </c>
      <c r="F547" t="s">
        <v>22</v>
      </c>
      <c r="G547" t="s">
        <v>23</v>
      </c>
      <c r="H547" t="s">
        <v>17</v>
      </c>
      <c r="I547" s="3">
        <v>19873</v>
      </c>
      <c r="J547" s="3" t="str">
        <f>IF(I547&gt;16000, "High", IF(I547&gt;=12000, IF(I547&lt;=15000, "Medium", "High"), "Low"))</f>
        <v>High</v>
      </c>
      <c r="K547" t="b">
        <v>1</v>
      </c>
      <c r="L547" t="b">
        <v>0</v>
      </c>
      <c r="M547" t="b">
        <v>0</v>
      </c>
    </row>
    <row r="548" spans="1:13" hidden="1" x14ac:dyDescent="0.3">
      <c r="A548">
        <v>56</v>
      </c>
      <c r="B548" t="s">
        <v>12</v>
      </c>
      <c r="C548" s="1">
        <v>7</v>
      </c>
      <c r="D548" t="s">
        <v>28</v>
      </c>
      <c r="E548" t="s">
        <v>26</v>
      </c>
      <c r="F548" t="s">
        <v>22</v>
      </c>
      <c r="G548" t="s">
        <v>16</v>
      </c>
      <c r="H548" t="s">
        <v>21</v>
      </c>
      <c r="I548" s="3">
        <v>14133</v>
      </c>
      <c r="J548" s="3" t="str">
        <f>IF(I548&gt;16000, "High", IF(I548&gt;=12000, IF(I548&lt;=15000, "Medium", "High"), "Low"))</f>
        <v>Medium</v>
      </c>
      <c r="K548" t="b">
        <v>0</v>
      </c>
      <c r="L548" t="b">
        <v>1</v>
      </c>
      <c r="M548" t="b">
        <v>0</v>
      </c>
    </row>
    <row r="549" spans="1:13" hidden="1" x14ac:dyDescent="0.3">
      <c r="A549">
        <v>49</v>
      </c>
      <c r="B549" t="s">
        <v>18</v>
      </c>
      <c r="C549" s="1">
        <v>2</v>
      </c>
      <c r="D549" t="s">
        <v>13</v>
      </c>
      <c r="E549" t="s">
        <v>26</v>
      </c>
      <c r="F549" t="s">
        <v>22</v>
      </c>
      <c r="G549" t="s">
        <v>16</v>
      </c>
      <c r="H549" t="s">
        <v>24</v>
      </c>
      <c r="I549" s="3">
        <v>10659</v>
      </c>
      <c r="J549" s="3" t="str">
        <f>IF(I549&gt;16000, "High", IF(I549&gt;=12000, IF(I549&lt;=15000, "Medium", "High"), "Low"))</f>
        <v>Low</v>
      </c>
      <c r="K549" t="b">
        <v>1</v>
      </c>
      <c r="L549" t="b">
        <v>1</v>
      </c>
      <c r="M549" t="b">
        <v>0</v>
      </c>
    </row>
    <row r="550" spans="1:13" hidden="1" x14ac:dyDescent="0.3">
      <c r="A550">
        <v>41</v>
      </c>
      <c r="B550" t="s">
        <v>12</v>
      </c>
      <c r="C550" s="1">
        <v>5</v>
      </c>
      <c r="D550" t="s">
        <v>28</v>
      </c>
      <c r="E550" t="s">
        <v>20</v>
      </c>
      <c r="F550" t="s">
        <v>27</v>
      </c>
      <c r="G550" t="s">
        <v>23</v>
      </c>
      <c r="H550" t="s">
        <v>24</v>
      </c>
      <c r="I550" s="3">
        <v>19752</v>
      </c>
      <c r="J550" s="3" t="str">
        <f>IF(I550&gt;16000, "High", IF(I550&gt;=12000, IF(I550&lt;=15000, "Medium", "High"), "Low"))</f>
        <v>High</v>
      </c>
      <c r="K550" t="b">
        <v>1</v>
      </c>
      <c r="L550" t="b">
        <v>1</v>
      </c>
      <c r="M550" t="b">
        <v>1</v>
      </c>
    </row>
    <row r="551" spans="1:13" hidden="1" x14ac:dyDescent="0.3">
      <c r="A551">
        <v>40</v>
      </c>
      <c r="B551" t="s">
        <v>12</v>
      </c>
      <c r="C551" s="1">
        <v>4</v>
      </c>
      <c r="D551" t="s">
        <v>28</v>
      </c>
      <c r="E551" t="s">
        <v>26</v>
      </c>
      <c r="F551" t="s">
        <v>22</v>
      </c>
      <c r="G551" t="s">
        <v>16</v>
      </c>
      <c r="H551" t="s">
        <v>21</v>
      </c>
      <c r="I551" s="3">
        <v>13457</v>
      </c>
      <c r="J551" s="3" t="str">
        <f>IF(I551&gt;16000, "High", IF(I551&gt;=12000, IF(I551&lt;=15000, "Medium", "High"), "Low"))</f>
        <v>Medium</v>
      </c>
      <c r="K551" t="b">
        <v>1</v>
      </c>
      <c r="L551" t="b">
        <v>1</v>
      </c>
      <c r="M551" t="b">
        <v>1</v>
      </c>
    </row>
    <row r="552" spans="1:13" x14ac:dyDescent="0.3">
      <c r="A552">
        <v>57</v>
      </c>
      <c r="B552" t="s">
        <v>18</v>
      </c>
      <c r="C552" s="1">
        <v>8</v>
      </c>
      <c r="D552" t="s">
        <v>19</v>
      </c>
      <c r="E552" t="s">
        <v>26</v>
      </c>
      <c r="F552" t="s">
        <v>15</v>
      </c>
      <c r="G552" t="s">
        <v>29</v>
      </c>
      <c r="H552" t="s">
        <v>17</v>
      </c>
      <c r="I552" s="3">
        <v>14207</v>
      </c>
      <c r="J552" s="3" t="str">
        <f>IF(I552&gt;16000, "High", IF(I552&gt;=12000, IF(I552&lt;=15000, "Medium", "High"), "Low"))</f>
        <v>Medium</v>
      </c>
      <c r="K552" t="b">
        <v>0</v>
      </c>
      <c r="L552" t="b">
        <v>1</v>
      </c>
      <c r="M552" t="b">
        <v>1</v>
      </c>
    </row>
    <row r="553" spans="1:13" hidden="1" x14ac:dyDescent="0.3">
      <c r="A553">
        <v>54</v>
      </c>
      <c r="B553" t="s">
        <v>12</v>
      </c>
      <c r="C553" s="1">
        <v>2</v>
      </c>
      <c r="D553" t="s">
        <v>19</v>
      </c>
      <c r="E553" t="s">
        <v>14</v>
      </c>
      <c r="F553" t="s">
        <v>22</v>
      </c>
      <c r="G553" t="s">
        <v>23</v>
      </c>
      <c r="H553" t="s">
        <v>17</v>
      </c>
      <c r="I553" s="3">
        <v>12975</v>
      </c>
      <c r="J553" s="3" t="str">
        <f>IF(I553&gt;16000, "High", IF(I553&gt;=12000, IF(I553&lt;=15000, "Medium", "High"), "Low"))</f>
        <v>Medium</v>
      </c>
      <c r="K553" t="b">
        <v>0</v>
      </c>
      <c r="L553" t="b">
        <v>1</v>
      </c>
      <c r="M553" t="b">
        <v>1</v>
      </c>
    </row>
    <row r="554" spans="1:13" hidden="1" x14ac:dyDescent="0.3">
      <c r="A554">
        <v>29</v>
      </c>
      <c r="B554" t="s">
        <v>12</v>
      </c>
      <c r="C554" s="1">
        <v>6</v>
      </c>
      <c r="D554" t="s">
        <v>19</v>
      </c>
      <c r="E554" t="s">
        <v>14</v>
      </c>
      <c r="F554" t="s">
        <v>27</v>
      </c>
      <c r="G554" t="s">
        <v>29</v>
      </c>
      <c r="H554" t="s">
        <v>24</v>
      </c>
      <c r="I554" s="3">
        <v>19241</v>
      </c>
      <c r="J554" s="3" t="str">
        <f>IF(I554&gt;16000, "High", IF(I554&gt;=12000, IF(I554&lt;=15000, "Medium", "High"), "Low"))</f>
        <v>High</v>
      </c>
      <c r="K554" t="b">
        <v>0</v>
      </c>
      <c r="L554" t="b">
        <v>1</v>
      </c>
      <c r="M554" t="b">
        <v>0</v>
      </c>
    </row>
    <row r="555" spans="1:13" hidden="1" x14ac:dyDescent="0.3">
      <c r="A555">
        <v>30</v>
      </c>
      <c r="B555" t="s">
        <v>25</v>
      </c>
      <c r="C555" s="1">
        <v>5</v>
      </c>
      <c r="D555" t="s">
        <v>19</v>
      </c>
      <c r="E555" t="s">
        <v>20</v>
      </c>
      <c r="F555" t="s">
        <v>22</v>
      </c>
      <c r="G555" t="s">
        <v>23</v>
      </c>
      <c r="H555" t="s">
        <v>24</v>
      </c>
      <c r="I555" s="3">
        <v>10453</v>
      </c>
      <c r="J555" s="3" t="str">
        <f>IF(I555&gt;16000, "High", IF(I555&gt;=12000, IF(I555&lt;=15000, "Medium", "High"), "Low"))</f>
        <v>Low</v>
      </c>
      <c r="K555" t="b">
        <v>0</v>
      </c>
      <c r="L555" t="b">
        <v>0</v>
      </c>
      <c r="M555" t="b">
        <v>0</v>
      </c>
    </row>
    <row r="556" spans="1:13" hidden="1" x14ac:dyDescent="0.3">
      <c r="A556">
        <v>40</v>
      </c>
      <c r="B556" t="s">
        <v>12</v>
      </c>
      <c r="C556" s="1">
        <v>2</v>
      </c>
      <c r="D556" t="s">
        <v>19</v>
      </c>
      <c r="E556" t="s">
        <v>20</v>
      </c>
      <c r="F556" t="s">
        <v>15</v>
      </c>
      <c r="G556" t="s">
        <v>29</v>
      </c>
      <c r="H556" t="s">
        <v>17</v>
      </c>
      <c r="I556" s="3">
        <v>19896</v>
      </c>
      <c r="J556" s="3" t="str">
        <f>IF(I556&gt;16000, "High", IF(I556&gt;=12000, IF(I556&lt;=15000, "Medium", "High"), "Low"))</f>
        <v>High</v>
      </c>
      <c r="K556" t="b">
        <v>0</v>
      </c>
      <c r="L556" t="b">
        <v>1</v>
      </c>
      <c r="M556" t="b">
        <v>1</v>
      </c>
    </row>
    <row r="557" spans="1:13" x14ac:dyDescent="0.3">
      <c r="A557">
        <v>37</v>
      </c>
      <c r="B557" t="s">
        <v>18</v>
      </c>
      <c r="C557" s="1">
        <v>4</v>
      </c>
      <c r="D557" t="s">
        <v>19</v>
      </c>
      <c r="E557" t="s">
        <v>14</v>
      </c>
      <c r="F557" t="s">
        <v>27</v>
      </c>
      <c r="G557" t="s">
        <v>23</v>
      </c>
      <c r="H557" t="s">
        <v>17</v>
      </c>
      <c r="I557" s="3">
        <v>19244</v>
      </c>
      <c r="J557" s="3" t="str">
        <f>IF(I557&gt;16000, "High", IF(I557&gt;=12000, IF(I557&lt;=15000, "Medium", "High"), "Low"))</f>
        <v>High</v>
      </c>
      <c r="K557" t="b">
        <v>0</v>
      </c>
      <c r="L557" t="b">
        <v>0</v>
      </c>
      <c r="M557" t="b">
        <v>1</v>
      </c>
    </row>
    <row r="558" spans="1:13" x14ac:dyDescent="0.3">
      <c r="A558">
        <v>50</v>
      </c>
      <c r="B558" t="s">
        <v>18</v>
      </c>
      <c r="C558" s="1">
        <v>5</v>
      </c>
      <c r="D558" t="s">
        <v>19</v>
      </c>
      <c r="E558" t="s">
        <v>26</v>
      </c>
      <c r="F558" t="s">
        <v>22</v>
      </c>
      <c r="G558" t="s">
        <v>23</v>
      </c>
      <c r="H558" t="s">
        <v>17</v>
      </c>
      <c r="I558" s="3">
        <v>11129</v>
      </c>
      <c r="J558" s="3" t="str">
        <f>IF(I558&gt;16000, "High", IF(I558&gt;=12000, IF(I558&lt;=15000, "Medium", "High"), "Low"))</f>
        <v>Low</v>
      </c>
      <c r="K558" t="b">
        <v>1</v>
      </c>
      <c r="L558" t="b">
        <v>1</v>
      </c>
      <c r="M558" t="b">
        <v>0</v>
      </c>
    </row>
    <row r="559" spans="1:13" hidden="1" x14ac:dyDescent="0.3">
      <c r="A559">
        <v>58</v>
      </c>
      <c r="B559" t="s">
        <v>12</v>
      </c>
      <c r="C559" s="1">
        <v>2</v>
      </c>
      <c r="D559" t="s">
        <v>19</v>
      </c>
      <c r="E559" t="s">
        <v>20</v>
      </c>
      <c r="F559" t="s">
        <v>27</v>
      </c>
      <c r="G559" t="s">
        <v>23</v>
      </c>
      <c r="H559" t="s">
        <v>17</v>
      </c>
      <c r="I559" s="3">
        <v>10818</v>
      </c>
      <c r="J559" s="3" t="str">
        <f>IF(I559&gt;16000, "High", IF(I559&gt;=12000, IF(I559&lt;=15000, "Medium", "High"), "Low"))</f>
        <v>Low</v>
      </c>
      <c r="K559" t="b">
        <v>1</v>
      </c>
      <c r="L559" t="b">
        <v>1</v>
      </c>
      <c r="M559" t="b">
        <v>1</v>
      </c>
    </row>
    <row r="560" spans="1:13" hidden="1" x14ac:dyDescent="0.3">
      <c r="A560">
        <v>47</v>
      </c>
      <c r="B560" t="s">
        <v>25</v>
      </c>
      <c r="C560" s="1">
        <v>7</v>
      </c>
      <c r="D560" t="s">
        <v>13</v>
      </c>
      <c r="E560" t="s">
        <v>14</v>
      </c>
      <c r="F560" t="s">
        <v>22</v>
      </c>
      <c r="G560" t="s">
        <v>29</v>
      </c>
      <c r="H560" t="s">
        <v>21</v>
      </c>
      <c r="I560" s="3">
        <v>14868</v>
      </c>
      <c r="J560" s="3" t="str">
        <f>IF(I560&gt;16000, "High", IF(I560&gt;=12000, IF(I560&lt;=15000, "Medium", "High"), "Low"))</f>
        <v>Medium</v>
      </c>
      <c r="K560" t="b">
        <v>1</v>
      </c>
      <c r="L560" t="b">
        <v>0</v>
      </c>
      <c r="M560" t="b">
        <v>0</v>
      </c>
    </row>
    <row r="561" spans="1:13" hidden="1" x14ac:dyDescent="0.3">
      <c r="A561">
        <v>34</v>
      </c>
      <c r="B561" t="s">
        <v>25</v>
      </c>
      <c r="C561" s="1">
        <v>9</v>
      </c>
      <c r="D561" t="s">
        <v>28</v>
      </c>
      <c r="E561" t="s">
        <v>20</v>
      </c>
      <c r="F561" t="s">
        <v>27</v>
      </c>
      <c r="G561" t="s">
        <v>23</v>
      </c>
      <c r="H561" t="s">
        <v>17</v>
      </c>
      <c r="I561" s="3">
        <v>10012</v>
      </c>
      <c r="J561" s="3" t="str">
        <f>IF(I561&gt;16000, "High", IF(I561&gt;=12000, IF(I561&lt;=15000, "Medium", "High"), "Low"))</f>
        <v>Low</v>
      </c>
      <c r="K561" t="b">
        <v>0</v>
      </c>
      <c r="L561" t="b">
        <v>1</v>
      </c>
      <c r="M561" t="b">
        <v>1</v>
      </c>
    </row>
    <row r="562" spans="1:13" hidden="1" x14ac:dyDescent="0.3">
      <c r="A562">
        <v>37</v>
      </c>
      <c r="B562" t="s">
        <v>12</v>
      </c>
      <c r="C562" s="1">
        <v>9</v>
      </c>
      <c r="D562" t="s">
        <v>19</v>
      </c>
      <c r="E562" t="s">
        <v>14</v>
      </c>
      <c r="F562" t="s">
        <v>27</v>
      </c>
      <c r="G562" t="s">
        <v>29</v>
      </c>
      <c r="H562" t="s">
        <v>21</v>
      </c>
      <c r="I562" s="3">
        <v>17727</v>
      </c>
      <c r="J562" s="3" t="str">
        <f>IF(I562&gt;16000, "High", IF(I562&gt;=12000, IF(I562&lt;=15000, "Medium", "High"), "Low"))</f>
        <v>High</v>
      </c>
      <c r="K562" t="b">
        <v>1</v>
      </c>
      <c r="L562" t="b">
        <v>0</v>
      </c>
      <c r="M562" t="b">
        <v>0</v>
      </c>
    </row>
    <row r="563" spans="1:13" hidden="1" x14ac:dyDescent="0.3">
      <c r="A563">
        <v>42</v>
      </c>
      <c r="B563" t="s">
        <v>12</v>
      </c>
      <c r="C563" s="1">
        <v>8</v>
      </c>
      <c r="D563" t="s">
        <v>19</v>
      </c>
      <c r="E563" t="s">
        <v>26</v>
      </c>
      <c r="F563" t="s">
        <v>22</v>
      </c>
      <c r="G563" t="s">
        <v>23</v>
      </c>
      <c r="H563" t="s">
        <v>21</v>
      </c>
      <c r="I563" s="3">
        <v>10920</v>
      </c>
      <c r="J563" s="3" t="str">
        <f>IF(I563&gt;16000, "High", IF(I563&gt;=12000, IF(I563&lt;=15000, "Medium", "High"), "Low"))</f>
        <v>Low</v>
      </c>
      <c r="K563" t="b">
        <v>0</v>
      </c>
      <c r="L563" t="b">
        <v>0</v>
      </c>
      <c r="M563" t="b">
        <v>1</v>
      </c>
    </row>
    <row r="564" spans="1:13" hidden="1" x14ac:dyDescent="0.3">
      <c r="A564">
        <v>39</v>
      </c>
      <c r="B564" t="s">
        <v>18</v>
      </c>
      <c r="C564" s="1">
        <v>9</v>
      </c>
      <c r="D564" t="s">
        <v>28</v>
      </c>
      <c r="E564" t="s">
        <v>14</v>
      </c>
      <c r="F564" t="s">
        <v>15</v>
      </c>
      <c r="G564" t="s">
        <v>16</v>
      </c>
      <c r="H564" t="s">
        <v>24</v>
      </c>
      <c r="I564" s="3">
        <v>14920</v>
      </c>
      <c r="J564" s="3" t="str">
        <f>IF(I564&gt;16000, "High", IF(I564&gt;=12000, IF(I564&lt;=15000, "Medium", "High"), "Low"))</f>
        <v>Medium</v>
      </c>
      <c r="K564" t="b">
        <v>1</v>
      </c>
      <c r="L564" t="b">
        <v>0</v>
      </c>
      <c r="M564" t="b">
        <v>1</v>
      </c>
    </row>
    <row r="565" spans="1:13" hidden="1" x14ac:dyDescent="0.3">
      <c r="A565">
        <v>30</v>
      </c>
      <c r="B565" t="s">
        <v>12</v>
      </c>
      <c r="C565" s="1">
        <v>2</v>
      </c>
      <c r="D565" t="s">
        <v>13</v>
      </c>
      <c r="E565" t="s">
        <v>14</v>
      </c>
      <c r="F565" t="s">
        <v>22</v>
      </c>
      <c r="G565" t="s">
        <v>29</v>
      </c>
      <c r="H565" t="s">
        <v>21</v>
      </c>
      <c r="I565" s="3">
        <v>12418</v>
      </c>
      <c r="J565" s="3" t="str">
        <f>IF(I565&gt;16000, "High", IF(I565&gt;=12000, IF(I565&lt;=15000, "Medium", "High"), "Low"))</f>
        <v>Medium</v>
      </c>
      <c r="K565" t="b">
        <v>1</v>
      </c>
      <c r="L565" t="b">
        <v>1</v>
      </c>
      <c r="M565" t="b">
        <v>0</v>
      </c>
    </row>
    <row r="566" spans="1:13" hidden="1" x14ac:dyDescent="0.3">
      <c r="A566">
        <v>36</v>
      </c>
      <c r="B566" t="s">
        <v>25</v>
      </c>
      <c r="C566" s="1">
        <v>6</v>
      </c>
      <c r="D566" t="s">
        <v>28</v>
      </c>
      <c r="E566" t="s">
        <v>14</v>
      </c>
      <c r="F566" t="s">
        <v>27</v>
      </c>
      <c r="G566" t="s">
        <v>23</v>
      </c>
      <c r="H566" t="s">
        <v>24</v>
      </c>
      <c r="I566" s="3">
        <v>19506</v>
      </c>
      <c r="J566" s="3" t="str">
        <f>IF(I566&gt;16000, "High", IF(I566&gt;=12000, IF(I566&lt;=15000, "Medium", "High"), "Low"))</f>
        <v>High</v>
      </c>
      <c r="K566" t="b">
        <v>1</v>
      </c>
      <c r="L566" t="b">
        <v>1</v>
      </c>
      <c r="M566" t="b">
        <v>0</v>
      </c>
    </row>
    <row r="567" spans="1:13" hidden="1" x14ac:dyDescent="0.3">
      <c r="A567">
        <v>53</v>
      </c>
      <c r="B567" t="s">
        <v>12</v>
      </c>
      <c r="C567" s="1">
        <v>4</v>
      </c>
      <c r="D567" t="s">
        <v>28</v>
      </c>
      <c r="E567" t="s">
        <v>14</v>
      </c>
      <c r="F567" t="s">
        <v>22</v>
      </c>
      <c r="G567" t="s">
        <v>29</v>
      </c>
      <c r="H567" t="s">
        <v>17</v>
      </c>
      <c r="I567" s="3">
        <v>16475</v>
      </c>
      <c r="J567" s="3" t="str">
        <f>IF(I567&gt;16000, "High", IF(I567&gt;=12000, IF(I567&lt;=15000, "Medium", "High"), "Low"))</f>
        <v>High</v>
      </c>
      <c r="K567" t="b">
        <v>1</v>
      </c>
      <c r="L567" t="b">
        <v>1</v>
      </c>
      <c r="M567" t="b">
        <v>1</v>
      </c>
    </row>
    <row r="568" spans="1:13" x14ac:dyDescent="0.3">
      <c r="A568">
        <v>29</v>
      </c>
      <c r="B568" t="s">
        <v>18</v>
      </c>
      <c r="C568" s="1">
        <v>5</v>
      </c>
      <c r="D568" t="s">
        <v>19</v>
      </c>
      <c r="E568" t="s">
        <v>14</v>
      </c>
      <c r="F568" t="s">
        <v>22</v>
      </c>
      <c r="G568" t="s">
        <v>16</v>
      </c>
      <c r="H568" t="s">
        <v>17</v>
      </c>
      <c r="I568" s="3">
        <v>13766</v>
      </c>
      <c r="J568" s="3" t="str">
        <f>IF(I568&gt;16000, "High", IF(I568&gt;=12000, IF(I568&lt;=15000, "Medium", "High"), "Low"))</f>
        <v>Medium</v>
      </c>
      <c r="K568" t="b">
        <v>0</v>
      </c>
      <c r="L568" t="b">
        <v>0</v>
      </c>
      <c r="M568" t="b">
        <v>0</v>
      </c>
    </row>
    <row r="569" spans="1:13" hidden="1" x14ac:dyDescent="0.3">
      <c r="A569">
        <v>58</v>
      </c>
      <c r="B569" t="s">
        <v>18</v>
      </c>
      <c r="C569" s="1">
        <v>5</v>
      </c>
      <c r="D569" t="s">
        <v>28</v>
      </c>
      <c r="E569" t="s">
        <v>26</v>
      </c>
      <c r="F569" t="s">
        <v>22</v>
      </c>
      <c r="G569" t="s">
        <v>23</v>
      </c>
      <c r="H569" t="s">
        <v>21</v>
      </c>
      <c r="I569" s="3">
        <v>17957</v>
      </c>
      <c r="J569" s="3" t="str">
        <f>IF(I569&gt;16000, "High", IF(I569&gt;=12000, IF(I569&lt;=15000, "Medium", "High"), "Low"))</f>
        <v>High</v>
      </c>
      <c r="K569" t="b">
        <v>0</v>
      </c>
      <c r="L569" t="b">
        <v>0</v>
      </c>
      <c r="M569" t="b">
        <v>0</v>
      </c>
    </row>
    <row r="570" spans="1:13" hidden="1" x14ac:dyDescent="0.3">
      <c r="A570">
        <v>36</v>
      </c>
      <c r="B570" t="s">
        <v>18</v>
      </c>
      <c r="C570" s="1">
        <v>3</v>
      </c>
      <c r="D570" t="s">
        <v>28</v>
      </c>
      <c r="E570" t="s">
        <v>20</v>
      </c>
      <c r="F570" t="s">
        <v>22</v>
      </c>
      <c r="G570" t="s">
        <v>29</v>
      </c>
      <c r="H570" t="s">
        <v>17</v>
      </c>
      <c r="I570" s="3">
        <v>19420</v>
      </c>
      <c r="J570" s="3" t="str">
        <f>IF(I570&gt;16000, "High", IF(I570&gt;=12000, IF(I570&lt;=15000, "Medium", "High"), "Low"))</f>
        <v>High</v>
      </c>
      <c r="K570" t="b">
        <v>0</v>
      </c>
      <c r="L570" t="b">
        <v>0</v>
      </c>
      <c r="M570" t="b">
        <v>0</v>
      </c>
    </row>
    <row r="571" spans="1:13" x14ac:dyDescent="0.3">
      <c r="A571">
        <v>29</v>
      </c>
      <c r="B571" t="s">
        <v>18</v>
      </c>
      <c r="C571" s="1">
        <v>1</v>
      </c>
      <c r="D571" t="s">
        <v>19</v>
      </c>
      <c r="E571" t="s">
        <v>14</v>
      </c>
      <c r="F571" t="s">
        <v>15</v>
      </c>
      <c r="G571" t="s">
        <v>23</v>
      </c>
      <c r="H571" t="s">
        <v>17</v>
      </c>
      <c r="I571" s="3">
        <v>14792</v>
      </c>
      <c r="J571" s="3" t="str">
        <f>IF(I571&gt;16000, "High", IF(I571&gt;=12000, IF(I571&lt;=15000, "Medium", "High"), "Low"))</f>
        <v>Medium</v>
      </c>
      <c r="K571" t="b">
        <v>0</v>
      </c>
      <c r="L571" t="b">
        <v>0</v>
      </c>
      <c r="M571" t="b">
        <v>1</v>
      </c>
    </row>
    <row r="572" spans="1:13" x14ac:dyDescent="0.3">
      <c r="A572">
        <v>33</v>
      </c>
      <c r="B572" t="s">
        <v>18</v>
      </c>
      <c r="C572" s="1">
        <v>5</v>
      </c>
      <c r="D572" t="s">
        <v>19</v>
      </c>
      <c r="E572" t="s">
        <v>14</v>
      </c>
      <c r="F572" t="s">
        <v>22</v>
      </c>
      <c r="G572" t="s">
        <v>16</v>
      </c>
      <c r="H572" t="s">
        <v>17</v>
      </c>
      <c r="I572" s="3">
        <v>16085</v>
      </c>
      <c r="J572" s="3" t="str">
        <f>IF(I572&gt;16000, "High", IF(I572&gt;=12000, IF(I572&lt;=15000, "Medium", "High"), "Low"))</f>
        <v>High</v>
      </c>
      <c r="K572" t="b">
        <v>0</v>
      </c>
      <c r="L572" t="b">
        <v>1</v>
      </c>
      <c r="M572" t="b">
        <v>1</v>
      </c>
    </row>
    <row r="573" spans="1:13" hidden="1" x14ac:dyDescent="0.3">
      <c r="A573">
        <v>24</v>
      </c>
      <c r="B573" t="s">
        <v>12</v>
      </c>
      <c r="C573" s="1">
        <v>5</v>
      </c>
      <c r="D573" t="s">
        <v>19</v>
      </c>
      <c r="E573" t="s">
        <v>14</v>
      </c>
      <c r="F573" t="s">
        <v>15</v>
      </c>
      <c r="G573" t="s">
        <v>29</v>
      </c>
      <c r="H573" t="s">
        <v>17</v>
      </c>
      <c r="I573" s="3">
        <v>12434</v>
      </c>
      <c r="J573" s="3" t="str">
        <f>IF(I573&gt;16000, "High", IF(I573&gt;=12000, IF(I573&lt;=15000, "Medium", "High"), "Low"))</f>
        <v>Medium</v>
      </c>
      <c r="K573" t="b">
        <v>1</v>
      </c>
      <c r="L573" t="b">
        <v>1</v>
      </c>
      <c r="M573" t="b">
        <v>0</v>
      </c>
    </row>
    <row r="574" spans="1:13" hidden="1" x14ac:dyDescent="0.3">
      <c r="A574">
        <v>45</v>
      </c>
      <c r="B574" t="s">
        <v>12</v>
      </c>
      <c r="C574" s="1">
        <v>3</v>
      </c>
      <c r="D574" t="s">
        <v>19</v>
      </c>
      <c r="E574" t="s">
        <v>14</v>
      </c>
      <c r="F574" t="s">
        <v>27</v>
      </c>
      <c r="G574" t="s">
        <v>16</v>
      </c>
      <c r="H574" t="s">
        <v>24</v>
      </c>
      <c r="I574" s="3">
        <v>12868</v>
      </c>
      <c r="J574" s="3" t="str">
        <f>IF(I574&gt;16000, "High", IF(I574&gt;=12000, IF(I574&lt;=15000, "Medium", "High"), "Low"))</f>
        <v>Medium</v>
      </c>
      <c r="K574" t="b">
        <v>0</v>
      </c>
      <c r="L574" t="b">
        <v>1</v>
      </c>
      <c r="M574" t="b">
        <v>0</v>
      </c>
    </row>
    <row r="575" spans="1:13" hidden="1" x14ac:dyDescent="0.3">
      <c r="A575">
        <v>31</v>
      </c>
      <c r="B575" t="s">
        <v>12</v>
      </c>
      <c r="C575" s="1">
        <v>7</v>
      </c>
      <c r="D575" t="s">
        <v>28</v>
      </c>
      <c r="E575" t="s">
        <v>20</v>
      </c>
      <c r="F575" t="s">
        <v>22</v>
      </c>
      <c r="G575" t="s">
        <v>29</v>
      </c>
      <c r="H575" t="s">
        <v>17</v>
      </c>
      <c r="I575" s="3">
        <v>11438</v>
      </c>
      <c r="J575" s="3" t="str">
        <f>IF(I575&gt;16000, "High", IF(I575&gt;=12000, IF(I575&lt;=15000, "Medium", "High"), "Low"))</f>
        <v>Low</v>
      </c>
      <c r="K575" t="b">
        <v>0</v>
      </c>
      <c r="L575" t="b">
        <v>0</v>
      </c>
      <c r="M575" t="b">
        <v>0</v>
      </c>
    </row>
    <row r="576" spans="1:13" hidden="1" x14ac:dyDescent="0.3">
      <c r="A576">
        <v>48</v>
      </c>
      <c r="B576" t="s">
        <v>12</v>
      </c>
      <c r="C576" s="1">
        <v>7</v>
      </c>
      <c r="D576" t="s">
        <v>28</v>
      </c>
      <c r="E576" t="s">
        <v>14</v>
      </c>
      <c r="F576" t="s">
        <v>27</v>
      </c>
      <c r="G576" t="s">
        <v>29</v>
      </c>
      <c r="H576" t="s">
        <v>17</v>
      </c>
      <c r="I576" s="3">
        <v>13543</v>
      </c>
      <c r="J576" s="3" t="str">
        <f>IF(I576&gt;16000, "High", IF(I576&gt;=12000, IF(I576&lt;=15000, "Medium", "High"), "Low"))</f>
        <v>Medium</v>
      </c>
      <c r="K576" t="b">
        <v>1</v>
      </c>
      <c r="L576" t="b">
        <v>0</v>
      </c>
      <c r="M576" t="b">
        <v>0</v>
      </c>
    </row>
    <row r="577" spans="1:13" hidden="1" x14ac:dyDescent="0.3">
      <c r="A577">
        <v>36</v>
      </c>
      <c r="B577" t="s">
        <v>18</v>
      </c>
      <c r="C577" s="1">
        <v>1</v>
      </c>
      <c r="D577" t="s">
        <v>13</v>
      </c>
      <c r="E577" t="s">
        <v>26</v>
      </c>
      <c r="F577" t="s">
        <v>15</v>
      </c>
      <c r="G577" t="s">
        <v>29</v>
      </c>
      <c r="H577" t="s">
        <v>21</v>
      </c>
      <c r="I577" s="3">
        <v>11781</v>
      </c>
      <c r="J577" s="3" t="str">
        <f>IF(I577&gt;16000, "High", IF(I577&gt;=12000, IF(I577&lt;=15000, "Medium", "High"), "Low"))</f>
        <v>Low</v>
      </c>
      <c r="K577" t="b">
        <v>1</v>
      </c>
      <c r="L577" t="b">
        <v>1</v>
      </c>
      <c r="M577" t="b">
        <v>0</v>
      </c>
    </row>
    <row r="578" spans="1:13" hidden="1" x14ac:dyDescent="0.3">
      <c r="A578">
        <v>64</v>
      </c>
      <c r="B578" t="s">
        <v>25</v>
      </c>
      <c r="C578" s="1">
        <v>9</v>
      </c>
      <c r="D578" t="s">
        <v>13</v>
      </c>
      <c r="E578" t="s">
        <v>26</v>
      </c>
      <c r="F578" t="s">
        <v>15</v>
      </c>
      <c r="G578" t="s">
        <v>23</v>
      </c>
      <c r="H578" t="s">
        <v>24</v>
      </c>
      <c r="I578" s="3">
        <v>16343</v>
      </c>
      <c r="J578" s="3" t="str">
        <f>IF(I578&gt;16000, "High", IF(I578&gt;=12000, IF(I578&lt;=15000, "Medium", "High"), "Low"))</f>
        <v>High</v>
      </c>
      <c r="K578" t="b">
        <v>0</v>
      </c>
      <c r="L578" t="b">
        <v>1</v>
      </c>
      <c r="M578" t="b">
        <v>1</v>
      </c>
    </row>
    <row r="579" spans="1:13" hidden="1" x14ac:dyDescent="0.3">
      <c r="A579">
        <v>33</v>
      </c>
      <c r="B579" t="s">
        <v>12</v>
      </c>
      <c r="C579" s="1">
        <v>2</v>
      </c>
      <c r="D579" t="s">
        <v>28</v>
      </c>
      <c r="E579" t="s">
        <v>20</v>
      </c>
      <c r="F579" t="s">
        <v>15</v>
      </c>
      <c r="G579" t="s">
        <v>16</v>
      </c>
      <c r="H579" t="s">
        <v>17</v>
      </c>
      <c r="I579" s="3">
        <v>12263</v>
      </c>
      <c r="J579" s="3" t="str">
        <f>IF(I579&gt;16000, "High", IF(I579&gt;=12000, IF(I579&lt;=15000, "Medium", "High"), "Low"))</f>
        <v>Medium</v>
      </c>
      <c r="K579" t="b">
        <v>0</v>
      </c>
      <c r="L579" t="b">
        <v>0</v>
      </c>
      <c r="M579" t="b">
        <v>1</v>
      </c>
    </row>
    <row r="580" spans="1:13" hidden="1" x14ac:dyDescent="0.3">
      <c r="A580">
        <v>22</v>
      </c>
      <c r="B580" t="s">
        <v>25</v>
      </c>
      <c r="C580" s="1">
        <v>5</v>
      </c>
      <c r="D580" t="s">
        <v>13</v>
      </c>
      <c r="E580" t="s">
        <v>14</v>
      </c>
      <c r="F580" t="s">
        <v>27</v>
      </c>
      <c r="G580" t="s">
        <v>29</v>
      </c>
      <c r="H580" t="s">
        <v>24</v>
      </c>
      <c r="I580" s="3">
        <v>10211</v>
      </c>
      <c r="J580" s="3" t="str">
        <f>IF(I580&gt;16000, "High", IF(I580&gt;=12000, IF(I580&lt;=15000, "Medium", "High"), "Low"))</f>
        <v>Low</v>
      </c>
      <c r="K580" t="b">
        <v>0</v>
      </c>
      <c r="L580" t="b">
        <v>1</v>
      </c>
      <c r="M580" t="b">
        <v>0</v>
      </c>
    </row>
    <row r="581" spans="1:13" hidden="1" x14ac:dyDescent="0.3">
      <c r="A581">
        <v>52</v>
      </c>
      <c r="B581" t="s">
        <v>12</v>
      </c>
      <c r="C581" s="1">
        <v>5</v>
      </c>
      <c r="D581" t="s">
        <v>28</v>
      </c>
      <c r="E581" t="s">
        <v>26</v>
      </c>
      <c r="F581" t="s">
        <v>15</v>
      </c>
      <c r="G581" t="s">
        <v>23</v>
      </c>
      <c r="H581" t="s">
        <v>24</v>
      </c>
      <c r="I581" s="3">
        <v>18699</v>
      </c>
      <c r="J581" s="3" t="str">
        <f>IF(I581&gt;16000, "High", IF(I581&gt;=12000, IF(I581&lt;=15000, "Medium", "High"), "Low"))</f>
        <v>High</v>
      </c>
      <c r="K581" t="b">
        <v>1</v>
      </c>
      <c r="L581" t="b">
        <v>1</v>
      </c>
      <c r="M581" t="b">
        <v>1</v>
      </c>
    </row>
    <row r="582" spans="1:13" hidden="1" x14ac:dyDescent="0.3">
      <c r="A582">
        <v>29</v>
      </c>
      <c r="B582" t="s">
        <v>12</v>
      </c>
      <c r="C582" s="1">
        <v>8</v>
      </c>
      <c r="D582" t="s">
        <v>13</v>
      </c>
      <c r="E582" t="s">
        <v>14</v>
      </c>
      <c r="F582" t="s">
        <v>15</v>
      </c>
      <c r="G582" t="s">
        <v>29</v>
      </c>
      <c r="H582" t="s">
        <v>24</v>
      </c>
      <c r="I582" s="3">
        <v>16159</v>
      </c>
      <c r="J582" s="3" t="str">
        <f>IF(I582&gt;16000, "High", IF(I582&gt;=12000, IF(I582&lt;=15000, "Medium", "High"), "Low"))</f>
        <v>High</v>
      </c>
      <c r="K582" t="b">
        <v>0</v>
      </c>
      <c r="L582" t="b">
        <v>0</v>
      </c>
      <c r="M582" t="b">
        <v>1</v>
      </c>
    </row>
    <row r="583" spans="1:13" hidden="1" x14ac:dyDescent="0.3">
      <c r="A583">
        <v>42</v>
      </c>
      <c r="B583" t="s">
        <v>25</v>
      </c>
      <c r="C583" s="1">
        <v>8</v>
      </c>
      <c r="D583" t="s">
        <v>19</v>
      </c>
      <c r="E583" t="s">
        <v>14</v>
      </c>
      <c r="F583" t="s">
        <v>15</v>
      </c>
      <c r="G583" t="s">
        <v>23</v>
      </c>
      <c r="H583" t="s">
        <v>21</v>
      </c>
      <c r="I583" s="3">
        <v>17027</v>
      </c>
      <c r="J583" s="3" t="str">
        <f>IF(I583&gt;16000, "High", IF(I583&gt;=12000, IF(I583&lt;=15000, "Medium", "High"), "Low"))</f>
        <v>High</v>
      </c>
      <c r="K583" t="b">
        <v>0</v>
      </c>
      <c r="L583" t="b">
        <v>0</v>
      </c>
      <c r="M583" t="b">
        <v>0</v>
      </c>
    </row>
    <row r="584" spans="1:13" hidden="1" x14ac:dyDescent="0.3">
      <c r="A584">
        <v>38</v>
      </c>
      <c r="B584" t="s">
        <v>18</v>
      </c>
      <c r="C584" s="1">
        <v>7</v>
      </c>
      <c r="D584" t="s">
        <v>13</v>
      </c>
      <c r="E584" t="s">
        <v>14</v>
      </c>
      <c r="F584" t="s">
        <v>22</v>
      </c>
      <c r="G584" t="s">
        <v>29</v>
      </c>
      <c r="H584" t="s">
        <v>17</v>
      </c>
      <c r="I584" s="3">
        <v>10331</v>
      </c>
      <c r="J584" s="3" t="str">
        <f>IF(I584&gt;16000, "High", IF(I584&gt;=12000, IF(I584&lt;=15000, "Medium", "High"), "Low"))</f>
        <v>Low</v>
      </c>
      <c r="K584" t="b">
        <v>0</v>
      </c>
      <c r="L584" t="b">
        <v>0</v>
      </c>
      <c r="M584" t="b">
        <v>1</v>
      </c>
    </row>
    <row r="585" spans="1:13" hidden="1" x14ac:dyDescent="0.3">
      <c r="A585">
        <v>53</v>
      </c>
      <c r="B585" t="s">
        <v>12</v>
      </c>
      <c r="C585" s="1">
        <v>7</v>
      </c>
      <c r="D585" t="s">
        <v>19</v>
      </c>
      <c r="E585" t="s">
        <v>20</v>
      </c>
      <c r="F585" t="s">
        <v>22</v>
      </c>
      <c r="G585" t="s">
        <v>16</v>
      </c>
      <c r="H585" t="s">
        <v>21</v>
      </c>
      <c r="I585" s="3">
        <v>16860</v>
      </c>
      <c r="J585" s="3" t="str">
        <f>IF(I585&gt;16000, "High", IF(I585&gt;=12000, IF(I585&lt;=15000, "Medium", "High"), "Low"))</f>
        <v>High</v>
      </c>
      <c r="K585" t="b">
        <v>0</v>
      </c>
      <c r="L585" t="b">
        <v>1</v>
      </c>
      <c r="M585" t="b">
        <v>1</v>
      </c>
    </row>
    <row r="586" spans="1:13" hidden="1" x14ac:dyDescent="0.3">
      <c r="A586">
        <v>40</v>
      </c>
      <c r="B586" t="s">
        <v>12</v>
      </c>
      <c r="C586" s="1">
        <v>6</v>
      </c>
      <c r="D586" t="s">
        <v>19</v>
      </c>
      <c r="E586" t="s">
        <v>14</v>
      </c>
      <c r="F586" t="s">
        <v>27</v>
      </c>
      <c r="G586" t="s">
        <v>16</v>
      </c>
      <c r="H586" t="s">
        <v>17</v>
      </c>
      <c r="I586" s="3">
        <v>18044</v>
      </c>
      <c r="J586" s="3" t="str">
        <f>IF(I586&gt;16000, "High", IF(I586&gt;=12000, IF(I586&lt;=15000, "Medium", "High"), "Low"))</f>
        <v>High</v>
      </c>
      <c r="K586" t="b">
        <v>0</v>
      </c>
      <c r="L586" t="b">
        <v>0</v>
      </c>
      <c r="M586" t="b">
        <v>1</v>
      </c>
    </row>
    <row r="587" spans="1:13" hidden="1" x14ac:dyDescent="0.3">
      <c r="A587">
        <v>33</v>
      </c>
      <c r="B587" t="s">
        <v>12</v>
      </c>
      <c r="C587" s="1">
        <v>6</v>
      </c>
      <c r="D587" t="s">
        <v>19</v>
      </c>
      <c r="E587" t="s">
        <v>26</v>
      </c>
      <c r="F587" t="s">
        <v>27</v>
      </c>
      <c r="G587" t="s">
        <v>29</v>
      </c>
      <c r="H587" t="s">
        <v>17</v>
      </c>
      <c r="I587" s="3">
        <v>18169</v>
      </c>
      <c r="J587" s="3" t="str">
        <f>IF(I587&gt;16000, "High", IF(I587&gt;=12000, IF(I587&lt;=15000, "Medium", "High"), "Low"))</f>
        <v>High</v>
      </c>
      <c r="K587" t="b">
        <v>1</v>
      </c>
      <c r="L587" t="b">
        <v>1</v>
      </c>
      <c r="M587" t="b">
        <v>0</v>
      </c>
    </row>
    <row r="588" spans="1:13" hidden="1" x14ac:dyDescent="0.3">
      <c r="A588">
        <v>56</v>
      </c>
      <c r="B588" t="s">
        <v>25</v>
      </c>
      <c r="C588" s="1">
        <v>9</v>
      </c>
      <c r="D588" t="s">
        <v>19</v>
      </c>
      <c r="E588" t="s">
        <v>14</v>
      </c>
      <c r="F588" t="s">
        <v>15</v>
      </c>
      <c r="G588" t="s">
        <v>23</v>
      </c>
      <c r="H588" t="s">
        <v>21</v>
      </c>
      <c r="I588" s="3">
        <v>18742</v>
      </c>
      <c r="J588" s="3" t="str">
        <f>IF(I588&gt;16000, "High", IF(I588&gt;=12000, IF(I588&lt;=15000, "Medium", "High"), "Low"))</f>
        <v>High</v>
      </c>
      <c r="K588" t="b">
        <v>0</v>
      </c>
      <c r="L588" t="b">
        <v>1</v>
      </c>
      <c r="M588" t="b">
        <v>0</v>
      </c>
    </row>
    <row r="589" spans="1:13" hidden="1" x14ac:dyDescent="0.3">
      <c r="A589">
        <v>62</v>
      </c>
      <c r="B589" t="s">
        <v>18</v>
      </c>
      <c r="C589" s="1">
        <v>6</v>
      </c>
      <c r="D589" t="s">
        <v>13</v>
      </c>
      <c r="E589" t="s">
        <v>26</v>
      </c>
      <c r="F589" t="s">
        <v>22</v>
      </c>
      <c r="G589" t="s">
        <v>29</v>
      </c>
      <c r="H589" t="s">
        <v>24</v>
      </c>
      <c r="I589" s="3">
        <v>15720</v>
      </c>
      <c r="J589" s="3" t="str">
        <f>IF(I589&gt;16000, "High", IF(I589&gt;=12000, IF(I589&lt;=15000, "Medium", "High"), "Low"))</f>
        <v>High</v>
      </c>
      <c r="K589" t="b">
        <v>1</v>
      </c>
      <c r="L589" t="b">
        <v>0</v>
      </c>
      <c r="M589" t="b">
        <v>1</v>
      </c>
    </row>
    <row r="590" spans="1:13" hidden="1" x14ac:dyDescent="0.3">
      <c r="A590">
        <v>59</v>
      </c>
      <c r="B590" t="s">
        <v>25</v>
      </c>
      <c r="C590" s="1">
        <v>2</v>
      </c>
      <c r="D590" t="s">
        <v>28</v>
      </c>
      <c r="E590" t="s">
        <v>14</v>
      </c>
      <c r="F590" t="s">
        <v>15</v>
      </c>
      <c r="G590" t="s">
        <v>23</v>
      </c>
      <c r="H590" t="s">
        <v>24</v>
      </c>
      <c r="I590" s="3">
        <v>19133</v>
      </c>
      <c r="J590" s="3" t="str">
        <f>IF(I590&gt;16000, "High", IF(I590&gt;=12000, IF(I590&lt;=15000, "Medium", "High"), "Low"))</f>
        <v>High</v>
      </c>
      <c r="K590" t="b">
        <v>0</v>
      </c>
      <c r="L590" t="b">
        <v>1</v>
      </c>
      <c r="M590" t="b">
        <v>1</v>
      </c>
    </row>
    <row r="591" spans="1:13" hidden="1" x14ac:dyDescent="0.3">
      <c r="A591">
        <v>56</v>
      </c>
      <c r="B591" t="s">
        <v>25</v>
      </c>
      <c r="C591" s="1">
        <v>2</v>
      </c>
      <c r="D591" t="s">
        <v>19</v>
      </c>
      <c r="E591" t="s">
        <v>26</v>
      </c>
      <c r="F591" t="s">
        <v>15</v>
      </c>
      <c r="G591" t="s">
        <v>29</v>
      </c>
      <c r="H591" t="s">
        <v>17</v>
      </c>
      <c r="I591" s="3">
        <v>10727</v>
      </c>
      <c r="J591" s="3" t="str">
        <f>IF(I591&gt;16000, "High", IF(I591&gt;=12000, IF(I591&lt;=15000, "Medium", "High"), "Low"))</f>
        <v>Low</v>
      </c>
      <c r="K591" t="b">
        <v>0</v>
      </c>
      <c r="L591" t="b">
        <v>0</v>
      </c>
      <c r="M591" t="b">
        <v>1</v>
      </c>
    </row>
    <row r="592" spans="1:13" hidden="1" x14ac:dyDescent="0.3">
      <c r="A592">
        <v>31</v>
      </c>
      <c r="B592" t="s">
        <v>18</v>
      </c>
      <c r="C592" s="1">
        <v>5</v>
      </c>
      <c r="D592" t="s">
        <v>13</v>
      </c>
      <c r="E592" t="s">
        <v>26</v>
      </c>
      <c r="F592" t="s">
        <v>22</v>
      </c>
      <c r="G592" t="s">
        <v>23</v>
      </c>
      <c r="H592" t="s">
        <v>21</v>
      </c>
      <c r="I592" s="3">
        <v>14975</v>
      </c>
      <c r="J592" s="3" t="str">
        <f>IF(I592&gt;16000, "High", IF(I592&gt;=12000, IF(I592&lt;=15000, "Medium", "High"), "Low"))</f>
        <v>Medium</v>
      </c>
      <c r="K592" t="b">
        <v>0</v>
      </c>
      <c r="L592" t="b">
        <v>0</v>
      </c>
      <c r="M592" t="b">
        <v>1</v>
      </c>
    </row>
    <row r="593" spans="1:13" hidden="1" x14ac:dyDescent="0.3">
      <c r="A593">
        <v>48</v>
      </c>
      <c r="B593" t="s">
        <v>25</v>
      </c>
      <c r="C593" s="1">
        <v>4</v>
      </c>
      <c r="D593" t="s">
        <v>19</v>
      </c>
      <c r="E593" t="s">
        <v>14</v>
      </c>
      <c r="F593" t="s">
        <v>22</v>
      </c>
      <c r="G593" t="s">
        <v>16</v>
      </c>
      <c r="H593" t="s">
        <v>24</v>
      </c>
      <c r="I593" s="3">
        <v>13243</v>
      </c>
      <c r="J593" s="3" t="str">
        <f>IF(I593&gt;16000, "High", IF(I593&gt;=12000, IF(I593&lt;=15000, "Medium", "High"), "Low"))</f>
        <v>Medium</v>
      </c>
      <c r="K593" t="b">
        <v>1</v>
      </c>
      <c r="L593" t="b">
        <v>1</v>
      </c>
      <c r="M593" t="b">
        <v>1</v>
      </c>
    </row>
    <row r="594" spans="1:13" hidden="1" x14ac:dyDescent="0.3">
      <c r="A594">
        <v>22</v>
      </c>
      <c r="B594" t="s">
        <v>18</v>
      </c>
      <c r="C594" s="1">
        <v>2</v>
      </c>
      <c r="D594" t="s">
        <v>13</v>
      </c>
      <c r="E594" t="s">
        <v>14</v>
      </c>
      <c r="F594" t="s">
        <v>22</v>
      </c>
      <c r="G594" t="s">
        <v>29</v>
      </c>
      <c r="H594" t="s">
        <v>24</v>
      </c>
      <c r="I594" s="3">
        <v>10648</v>
      </c>
      <c r="J594" s="3" t="str">
        <f>IF(I594&gt;16000, "High", IF(I594&gt;=12000, IF(I594&lt;=15000, "Medium", "High"), "Low"))</f>
        <v>Low</v>
      </c>
      <c r="K594" t="b">
        <v>1</v>
      </c>
      <c r="L594" t="b">
        <v>1</v>
      </c>
      <c r="M594" t="b">
        <v>1</v>
      </c>
    </row>
    <row r="595" spans="1:13" hidden="1" x14ac:dyDescent="0.3">
      <c r="A595">
        <v>52</v>
      </c>
      <c r="B595" t="s">
        <v>12</v>
      </c>
      <c r="C595" s="1">
        <v>3</v>
      </c>
      <c r="D595" t="s">
        <v>13</v>
      </c>
      <c r="E595" t="s">
        <v>26</v>
      </c>
      <c r="F595" t="s">
        <v>27</v>
      </c>
      <c r="G595" t="s">
        <v>16</v>
      </c>
      <c r="H595" t="s">
        <v>17</v>
      </c>
      <c r="I595" s="3">
        <v>15095</v>
      </c>
      <c r="J595" s="3" t="str">
        <f>IF(I595&gt;16000, "High", IF(I595&gt;=12000, IF(I595&lt;=15000, "Medium", "High"), "Low"))</f>
        <v>High</v>
      </c>
      <c r="K595" t="b">
        <v>1</v>
      </c>
      <c r="L595" t="b">
        <v>0</v>
      </c>
      <c r="M595" t="b">
        <v>0</v>
      </c>
    </row>
    <row r="596" spans="1:13" hidden="1" x14ac:dyDescent="0.3">
      <c r="A596">
        <v>40</v>
      </c>
      <c r="B596" t="s">
        <v>18</v>
      </c>
      <c r="C596" s="1">
        <v>7</v>
      </c>
      <c r="D596" t="s">
        <v>13</v>
      </c>
      <c r="E596" t="s">
        <v>20</v>
      </c>
      <c r="F596" t="s">
        <v>27</v>
      </c>
      <c r="G596" t="s">
        <v>16</v>
      </c>
      <c r="H596" t="s">
        <v>17</v>
      </c>
      <c r="I596" s="3">
        <v>16614</v>
      </c>
      <c r="J596" s="3" t="str">
        <f>IF(I596&gt;16000, "High", IF(I596&gt;=12000, IF(I596&lt;=15000, "Medium", "High"), "Low"))</f>
        <v>High</v>
      </c>
      <c r="K596" t="b">
        <v>0</v>
      </c>
      <c r="L596" t="b">
        <v>0</v>
      </c>
      <c r="M596" t="b">
        <v>1</v>
      </c>
    </row>
    <row r="597" spans="1:13" hidden="1" x14ac:dyDescent="0.3">
      <c r="A597">
        <v>46</v>
      </c>
      <c r="B597" t="s">
        <v>12</v>
      </c>
      <c r="C597" s="1">
        <v>8</v>
      </c>
      <c r="D597" t="s">
        <v>28</v>
      </c>
      <c r="E597" t="s">
        <v>14</v>
      </c>
      <c r="F597" t="s">
        <v>15</v>
      </c>
      <c r="G597" t="s">
        <v>29</v>
      </c>
      <c r="H597" t="s">
        <v>21</v>
      </c>
      <c r="I597" s="3">
        <v>17135</v>
      </c>
      <c r="J597" s="3" t="str">
        <f>IF(I597&gt;16000, "High", IF(I597&gt;=12000, IF(I597&lt;=15000, "Medium", "High"), "Low"))</f>
        <v>High</v>
      </c>
      <c r="K597" t="b">
        <v>0</v>
      </c>
      <c r="L597" t="b">
        <v>0</v>
      </c>
      <c r="M597" t="b">
        <v>1</v>
      </c>
    </row>
    <row r="598" spans="1:13" hidden="1" x14ac:dyDescent="0.3">
      <c r="A598">
        <v>60</v>
      </c>
      <c r="B598" t="s">
        <v>25</v>
      </c>
      <c r="C598" s="1">
        <v>6</v>
      </c>
      <c r="D598" t="s">
        <v>13</v>
      </c>
      <c r="E598" t="s">
        <v>20</v>
      </c>
      <c r="F598" t="s">
        <v>27</v>
      </c>
      <c r="G598" t="s">
        <v>29</v>
      </c>
      <c r="H598" t="s">
        <v>17</v>
      </c>
      <c r="I598" s="3">
        <v>11009</v>
      </c>
      <c r="J598" s="3" t="str">
        <f>IF(I598&gt;16000, "High", IF(I598&gt;=12000, IF(I598&lt;=15000, "Medium", "High"), "Low"))</f>
        <v>Low</v>
      </c>
      <c r="K598" t="b">
        <v>1</v>
      </c>
      <c r="L598" t="b">
        <v>0</v>
      </c>
      <c r="M598" t="b">
        <v>0</v>
      </c>
    </row>
    <row r="599" spans="1:13" hidden="1" x14ac:dyDescent="0.3">
      <c r="A599">
        <v>28</v>
      </c>
      <c r="B599" t="s">
        <v>25</v>
      </c>
      <c r="C599" s="1">
        <v>5</v>
      </c>
      <c r="D599" t="s">
        <v>13</v>
      </c>
      <c r="E599" t="s">
        <v>14</v>
      </c>
      <c r="F599" t="s">
        <v>22</v>
      </c>
      <c r="G599" t="s">
        <v>23</v>
      </c>
      <c r="H599" t="s">
        <v>24</v>
      </c>
      <c r="I599" s="3">
        <v>11550</v>
      </c>
      <c r="J599" s="3" t="str">
        <f>IF(I599&gt;16000, "High", IF(I599&gt;=12000, IF(I599&lt;=15000, "Medium", "High"), "Low"))</f>
        <v>Low</v>
      </c>
      <c r="K599" t="b">
        <v>1</v>
      </c>
      <c r="L599" t="b">
        <v>0</v>
      </c>
      <c r="M599" t="b">
        <v>1</v>
      </c>
    </row>
    <row r="600" spans="1:13" hidden="1" x14ac:dyDescent="0.3">
      <c r="A600">
        <v>35</v>
      </c>
      <c r="B600" t="s">
        <v>12</v>
      </c>
      <c r="C600" s="1">
        <v>1</v>
      </c>
      <c r="D600" t="s">
        <v>28</v>
      </c>
      <c r="E600" t="s">
        <v>14</v>
      </c>
      <c r="F600" t="s">
        <v>22</v>
      </c>
      <c r="G600" t="s">
        <v>23</v>
      </c>
      <c r="H600" t="s">
        <v>24</v>
      </c>
      <c r="I600" s="3">
        <v>18995</v>
      </c>
      <c r="J600" s="3" t="str">
        <f>IF(I600&gt;16000, "High", IF(I600&gt;=12000, IF(I600&lt;=15000, "Medium", "High"), "Low"))</f>
        <v>High</v>
      </c>
      <c r="K600" t="b">
        <v>0</v>
      </c>
      <c r="L600" t="b">
        <v>0</v>
      </c>
      <c r="M600" t="b">
        <v>1</v>
      </c>
    </row>
    <row r="601" spans="1:13" hidden="1" x14ac:dyDescent="0.3">
      <c r="A601">
        <v>64</v>
      </c>
      <c r="B601" t="s">
        <v>25</v>
      </c>
      <c r="C601" s="1">
        <v>8</v>
      </c>
      <c r="D601" t="s">
        <v>28</v>
      </c>
      <c r="E601" t="s">
        <v>14</v>
      </c>
      <c r="F601" t="s">
        <v>27</v>
      </c>
      <c r="G601" t="s">
        <v>16</v>
      </c>
      <c r="H601" t="s">
        <v>24</v>
      </c>
      <c r="I601" s="3">
        <v>17492</v>
      </c>
      <c r="J601" s="3" t="str">
        <f>IF(I601&gt;16000, "High", IF(I601&gt;=12000, IF(I601&lt;=15000, "Medium", "High"), "Low"))</f>
        <v>High</v>
      </c>
      <c r="K601" t="b">
        <v>1</v>
      </c>
      <c r="L601" t="b">
        <v>1</v>
      </c>
      <c r="M601" t="b">
        <v>1</v>
      </c>
    </row>
    <row r="602" spans="1:13" hidden="1" x14ac:dyDescent="0.3">
      <c r="A602">
        <v>29</v>
      </c>
      <c r="B602" t="s">
        <v>18</v>
      </c>
      <c r="C602" s="1">
        <v>3</v>
      </c>
      <c r="D602" t="s">
        <v>13</v>
      </c>
      <c r="E602" t="s">
        <v>14</v>
      </c>
      <c r="F602" t="s">
        <v>15</v>
      </c>
      <c r="G602" t="s">
        <v>23</v>
      </c>
      <c r="H602" t="s">
        <v>24</v>
      </c>
      <c r="I602" s="3">
        <v>13401</v>
      </c>
      <c r="J602" s="3" t="str">
        <f>IF(I602&gt;16000, "High", IF(I602&gt;=12000, IF(I602&lt;=15000, "Medium", "High"), "Low"))</f>
        <v>Medium</v>
      </c>
      <c r="K602" t="b">
        <v>0</v>
      </c>
      <c r="L602" t="b">
        <v>1</v>
      </c>
      <c r="M602" t="b">
        <v>1</v>
      </c>
    </row>
    <row r="603" spans="1:13" hidden="1" x14ac:dyDescent="0.3">
      <c r="A603">
        <v>26</v>
      </c>
      <c r="B603" t="s">
        <v>12</v>
      </c>
      <c r="C603" s="1">
        <v>6</v>
      </c>
      <c r="D603" t="s">
        <v>28</v>
      </c>
      <c r="E603" t="s">
        <v>20</v>
      </c>
      <c r="F603" t="s">
        <v>15</v>
      </c>
      <c r="G603" t="s">
        <v>23</v>
      </c>
      <c r="H603" t="s">
        <v>21</v>
      </c>
      <c r="I603" s="3">
        <v>17447</v>
      </c>
      <c r="J603" s="3" t="str">
        <f>IF(I603&gt;16000, "High", IF(I603&gt;=12000, IF(I603&lt;=15000, "Medium", "High"), "Low"))</f>
        <v>High</v>
      </c>
      <c r="K603" t="b">
        <v>1</v>
      </c>
      <c r="L603" t="b">
        <v>1</v>
      </c>
      <c r="M603" t="b">
        <v>0</v>
      </c>
    </row>
    <row r="604" spans="1:13" hidden="1" x14ac:dyDescent="0.3">
      <c r="A604">
        <v>27</v>
      </c>
      <c r="B604" t="s">
        <v>25</v>
      </c>
      <c r="C604" s="1">
        <v>3</v>
      </c>
      <c r="D604" t="s">
        <v>19</v>
      </c>
      <c r="E604" t="s">
        <v>14</v>
      </c>
      <c r="F604" t="s">
        <v>27</v>
      </c>
      <c r="G604" t="s">
        <v>29</v>
      </c>
      <c r="H604" t="s">
        <v>21</v>
      </c>
      <c r="I604" s="3">
        <v>15424</v>
      </c>
      <c r="J604" s="3" t="str">
        <f>IF(I604&gt;16000, "High", IF(I604&gt;=12000, IF(I604&lt;=15000, "Medium", "High"), "Low"))</f>
        <v>High</v>
      </c>
      <c r="K604" t="b">
        <v>1</v>
      </c>
      <c r="L604" t="b">
        <v>1</v>
      </c>
      <c r="M604" t="b">
        <v>1</v>
      </c>
    </row>
    <row r="605" spans="1:13" hidden="1" x14ac:dyDescent="0.3">
      <c r="A605">
        <v>61</v>
      </c>
      <c r="B605" t="s">
        <v>12</v>
      </c>
      <c r="C605" s="1">
        <v>7</v>
      </c>
      <c r="D605" t="s">
        <v>19</v>
      </c>
      <c r="E605" t="s">
        <v>26</v>
      </c>
      <c r="F605" t="s">
        <v>15</v>
      </c>
      <c r="G605" t="s">
        <v>23</v>
      </c>
      <c r="H605" t="s">
        <v>17</v>
      </c>
      <c r="I605" s="3">
        <v>14241</v>
      </c>
      <c r="J605" s="3" t="str">
        <f>IF(I605&gt;16000, "High", IF(I605&gt;=12000, IF(I605&lt;=15000, "Medium", "High"), "Low"))</f>
        <v>Medium</v>
      </c>
      <c r="K605" t="b">
        <v>1</v>
      </c>
      <c r="L605" t="b">
        <v>0</v>
      </c>
      <c r="M605" t="b">
        <v>0</v>
      </c>
    </row>
    <row r="606" spans="1:13" hidden="1" x14ac:dyDescent="0.3">
      <c r="A606">
        <v>34</v>
      </c>
      <c r="B606" t="s">
        <v>18</v>
      </c>
      <c r="C606" s="1">
        <v>7</v>
      </c>
      <c r="D606" t="s">
        <v>28</v>
      </c>
      <c r="E606" t="s">
        <v>26</v>
      </c>
      <c r="F606" t="s">
        <v>15</v>
      </c>
      <c r="G606" t="s">
        <v>16</v>
      </c>
      <c r="H606" t="s">
        <v>17</v>
      </c>
      <c r="I606" s="3">
        <v>13161</v>
      </c>
      <c r="J606" s="3" t="str">
        <f>IF(I606&gt;16000, "High", IF(I606&gt;=12000, IF(I606&lt;=15000, "Medium", "High"), "Low"))</f>
        <v>Medium</v>
      </c>
      <c r="K606" t="b">
        <v>0</v>
      </c>
      <c r="L606" t="b">
        <v>1</v>
      </c>
      <c r="M606" t="b">
        <v>1</v>
      </c>
    </row>
    <row r="607" spans="1:13" hidden="1" x14ac:dyDescent="0.3">
      <c r="A607">
        <v>55</v>
      </c>
      <c r="B607" t="s">
        <v>18</v>
      </c>
      <c r="C607" s="1">
        <v>9</v>
      </c>
      <c r="D607" t="s">
        <v>28</v>
      </c>
      <c r="E607" t="s">
        <v>20</v>
      </c>
      <c r="F607" t="s">
        <v>15</v>
      </c>
      <c r="G607" t="s">
        <v>23</v>
      </c>
      <c r="H607" t="s">
        <v>17</v>
      </c>
      <c r="I607" s="3">
        <v>14155</v>
      </c>
      <c r="J607" s="3" t="str">
        <f>IF(I607&gt;16000, "High", IF(I607&gt;=12000, IF(I607&lt;=15000, "Medium", "High"), "Low"))</f>
        <v>Medium</v>
      </c>
      <c r="K607" t="b">
        <v>0</v>
      </c>
      <c r="L607" t="b">
        <v>1</v>
      </c>
      <c r="M607" t="b">
        <v>1</v>
      </c>
    </row>
    <row r="608" spans="1:13" hidden="1" x14ac:dyDescent="0.3">
      <c r="A608">
        <v>24</v>
      </c>
      <c r="B608" t="s">
        <v>25</v>
      </c>
      <c r="C608" s="1">
        <v>5</v>
      </c>
      <c r="D608" t="s">
        <v>13</v>
      </c>
      <c r="E608" t="s">
        <v>14</v>
      </c>
      <c r="F608" t="s">
        <v>22</v>
      </c>
      <c r="G608" t="s">
        <v>16</v>
      </c>
      <c r="H608" t="s">
        <v>21</v>
      </c>
      <c r="I608" s="3">
        <v>17478</v>
      </c>
      <c r="J608" s="3" t="str">
        <f>IF(I608&gt;16000, "High", IF(I608&gt;=12000, IF(I608&lt;=15000, "Medium", "High"), "Low"))</f>
        <v>High</v>
      </c>
      <c r="K608" t="b">
        <v>1</v>
      </c>
      <c r="L608" t="b">
        <v>0</v>
      </c>
      <c r="M608" t="b">
        <v>0</v>
      </c>
    </row>
    <row r="609" spans="1:13" hidden="1" x14ac:dyDescent="0.3">
      <c r="A609">
        <v>63</v>
      </c>
      <c r="B609" t="s">
        <v>18</v>
      </c>
      <c r="C609" s="1">
        <v>8</v>
      </c>
      <c r="D609" t="s">
        <v>28</v>
      </c>
      <c r="E609" t="s">
        <v>26</v>
      </c>
      <c r="F609" t="s">
        <v>22</v>
      </c>
      <c r="G609" t="s">
        <v>29</v>
      </c>
      <c r="H609" t="s">
        <v>24</v>
      </c>
      <c r="I609" s="3">
        <v>18719</v>
      </c>
      <c r="J609" s="3" t="str">
        <f>IF(I609&gt;16000, "High", IF(I609&gt;=12000, IF(I609&lt;=15000, "Medium", "High"), "Low"))</f>
        <v>High</v>
      </c>
      <c r="K609" t="b">
        <v>0</v>
      </c>
      <c r="L609" t="b">
        <v>1</v>
      </c>
      <c r="M609" t="b">
        <v>1</v>
      </c>
    </row>
    <row r="610" spans="1:13" hidden="1" x14ac:dyDescent="0.3">
      <c r="A610">
        <v>30</v>
      </c>
      <c r="B610" t="s">
        <v>12</v>
      </c>
      <c r="C610" s="1">
        <v>8</v>
      </c>
      <c r="D610" t="s">
        <v>13</v>
      </c>
      <c r="E610" t="s">
        <v>20</v>
      </c>
      <c r="F610" t="s">
        <v>27</v>
      </c>
      <c r="G610" t="s">
        <v>16</v>
      </c>
      <c r="H610" t="s">
        <v>17</v>
      </c>
      <c r="I610" s="3">
        <v>19215</v>
      </c>
      <c r="J610" s="3" t="str">
        <f>IF(I610&gt;16000, "High", IF(I610&gt;=12000, IF(I610&lt;=15000, "Medium", "High"), "Low"))</f>
        <v>High</v>
      </c>
      <c r="K610" t="b">
        <v>0</v>
      </c>
      <c r="L610" t="b">
        <v>0</v>
      </c>
      <c r="M610" t="b">
        <v>0</v>
      </c>
    </row>
    <row r="611" spans="1:13" x14ac:dyDescent="0.3">
      <c r="A611">
        <v>22</v>
      </c>
      <c r="B611" t="s">
        <v>18</v>
      </c>
      <c r="C611" s="1">
        <v>5</v>
      </c>
      <c r="D611" t="s">
        <v>19</v>
      </c>
      <c r="E611" t="s">
        <v>26</v>
      </c>
      <c r="F611" t="s">
        <v>27</v>
      </c>
      <c r="G611" t="s">
        <v>29</v>
      </c>
      <c r="H611" t="s">
        <v>17</v>
      </c>
      <c r="I611" s="3">
        <v>18405</v>
      </c>
      <c r="J611" s="3" t="str">
        <f>IF(I611&gt;16000, "High", IF(I611&gt;=12000, IF(I611&lt;=15000, "Medium", "High"), "Low"))</f>
        <v>High</v>
      </c>
      <c r="K611" t="b">
        <v>0</v>
      </c>
      <c r="L611" t="b">
        <v>1</v>
      </c>
      <c r="M611" t="b">
        <v>1</v>
      </c>
    </row>
    <row r="612" spans="1:13" hidden="1" x14ac:dyDescent="0.3">
      <c r="A612">
        <v>59</v>
      </c>
      <c r="B612" t="s">
        <v>12</v>
      </c>
      <c r="C612" s="1">
        <v>5</v>
      </c>
      <c r="D612" t="s">
        <v>28</v>
      </c>
      <c r="E612" t="s">
        <v>26</v>
      </c>
      <c r="F612" t="s">
        <v>15</v>
      </c>
      <c r="G612" t="s">
        <v>29</v>
      </c>
      <c r="H612" t="s">
        <v>17</v>
      </c>
      <c r="I612" s="3">
        <v>15660</v>
      </c>
      <c r="J612" s="3" t="str">
        <f>IF(I612&gt;16000, "High", IF(I612&gt;=12000, IF(I612&lt;=15000, "Medium", "High"), "Low"))</f>
        <v>High</v>
      </c>
      <c r="K612" t="b">
        <v>0</v>
      </c>
      <c r="L612" t="b">
        <v>0</v>
      </c>
      <c r="M612" t="b">
        <v>0</v>
      </c>
    </row>
    <row r="613" spans="1:13" hidden="1" x14ac:dyDescent="0.3">
      <c r="A613">
        <v>26</v>
      </c>
      <c r="B613" t="s">
        <v>12</v>
      </c>
      <c r="C613" s="1">
        <v>3</v>
      </c>
      <c r="D613" t="s">
        <v>13</v>
      </c>
      <c r="E613" t="s">
        <v>26</v>
      </c>
      <c r="F613" t="s">
        <v>22</v>
      </c>
      <c r="G613" t="s">
        <v>23</v>
      </c>
      <c r="H613" t="s">
        <v>17</v>
      </c>
      <c r="I613" s="3">
        <v>18624</v>
      </c>
      <c r="J613" s="3" t="str">
        <f>IF(I613&gt;16000, "High", IF(I613&gt;=12000, IF(I613&lt;=15000, "Medium", "High"), "Low"))</f>
        <v>High</v>
      </c>
      <c r="K613" t="b">
        <v>1</v>
      </c>
      <c r="L613" t="b">
        <v>0</v>
      </c>
      <c r="M613" t="b">
        <v>1</v>
      </c>
    </row>
    <row r="614" spans="1:13" hidden="1" x14ac:dyDescent="0.3">
      <c r="A614">
        <v>44</v>
      </c>
      <c r="B614" t="s">
        <v>18</v>
      </c>
      <c r="C614" s="1">
        <v>1</v>
      </c>
      <c r="D614" t="s">
        <v>13</v>
      </c>
      <c r="E614" t="s">
        <v>20</v>
      </c>
      <c r="F614" t="s">
        <v>27</v>
      </c>
      <c r="G614" t="s">
        <v>29</v>
      </c>
      <c r="H614" t="s">
        <v>17</v>
      </c>
      <c r="I614" s="3">
        <v>11176</v>
      </c>
      <c r="J614" s="3" t="str">
        <f>IF(I614&gt;16000, "High", IF(I614&gt;=12000, IF(I614&lt;=15000, "Medium", "High"), "Low"))</f>
        <v>Low</v>
      </c>
      <c r="K614" t="b">
        <v>0</v>
      </c>
      <c r="L614" t="b">
        <v>0</v>
      </c>
      <c r="M614" t="b">
        <v>1</v>
      </c>
    </row>
    <row r="615" spans="1:13" hidden="1" x14ac:dyDescent="0.3">
      <c r="A615">
        <v>19</v>
      </c>
      <c r="B615" t="s">
        <v>25</v>
      </c>
      <c r="C615" s="1">
        <v>4</v>
      </c>
      <c r="D615" t="s">
        <v>19</v>
      </c>
      <c r="E615" t="s">
        <v>14</v>
      </c>
      <c r="F615" t="s">
        <v>22</v>
      </c>
      <c r="G615" t="s">
        <v>29</v>
      </c>
      <c r="H615" t="s">
        <v>17</v>
      </c>
      <c r="I615" s="3">
        <v>17956</v>
      </c>
      <c r="J615" s="3" t="str">
        <f>IF(I615&gt;16000, "High", IF(I615&gt;=12000, IF(I615&lt;=15000, "Medium", "High"), "Low"))</f>
        <v>High</v>
      </c>
      <c r="K615" t="b">
        <v>0</v>
      </c>
      <c r="L615" t="b">
        <v>1</v>
      </c>
      <c r="M615" t="b">
        <v>1</v>
      </c>
    </row>
    <row r="616" spans="1:13" hidden="1" x14ac:dyDescent="0.3">
      <c r="A616">
        <v>22</v>
      </c>
      <c r="B616" t="s">
        <v>18</v>
      </c>
      <c r="C616" s="1">
        <v>8</v>
      </c>
      <c r="D616" t="s">
        <v>28</v>
      </c>
      <c r="E616" t="s">
        <v>14</v>
      </c>
      <c r="F616" t="s">
        <v>15</v>
      </c>
      <c r="G616" t="s">
        <v>23</v>
      </c>
      <c r="H616" t="s">
        <v>17</v>
      </c>
      <c r="I616" s="3">
        <v>18592</v>
      </c>
      <c r="J616" s="3" t="str">
        <f>IF(I616&gt;16000, "High", IF(I616&gt;=12000, IF(I616&lt;=15000, "Medium", "High"), "Low"))</f>
        <v>High</v>
      </c>
      <c r="K616" t="b">
        <v>1</v>
      </c>
      <c r="L616" t="b">
        <v>1</v>
      </c>
      <c r="M616" t="b">
        <v>1</v>
      </c>
    </row>
    <row r="617" spans="1:13" hidden="1" x14ac:dyDescent="0.3">
      <c r="A617">
        <v>46</v>
      </c>
      <c r="B617" t="s">
        <v>12</v>
      </c>
      <c r="C617" s="1">
        <v>3</v>
      </c>
      <c r="D617" t="s">
        <v>19</v>
      </c>
      <c r="E617" t="s">
        <v>26</v>
      </c>
      <c r="F617" t="s">
        <v>15</v>
      </c>
      <c r="G617" t="s">
        <v>23</v>
      </c>
      <c r="H617" t="s">
        <v>24</v>
      </c>
      <c r="I617" s="3">
        <v>12233</v>
      </c>
      <c r="J617" s="3" t="str">
        <f>IF(I617&gt;16000, "High", IF(I617&gt;=12000, IF(I617&lt;=15000, "Medium", "High"), "Low"))</f>
        <v>Medium</v>
      </c>
      <c r="K617" t="b">
        <v>0</v>
      </c>
      <c r="L617" t="b">
        <v>1</v>
      </c>
      <c r="M617" t="b">
        <v>0</v>
      </c>
    </row>
    <row r="618" spans="1:13" hidden="1" x14ac:dyDescent="0.3">
      <c r="A618">
        <v>54</v>
      </c>
      <c r="B618" t="s">
        <v>12</v>
      </c>
      <c r="C618" s="1">
        <v>2</v>
      </c>
      <c r="D618" t="s">
        <v>13</v>
      </c>
      <c r="E618" t="s">
        <v>26</v>
      </c>
      <c r="F618" t="s">
        <v>27</v>
      </c>
      <c r="G618" t="s">
        <v>29</v>
      </c>
      <c r="H618" t="s">
        <v>17</v>
      </c>
      <c r="I618" s="3">
        <v>14700</v>
      </c>
      <c r="J618" s="3" t="str">
        <f>IF(I618&gt;16000, "High", IF(I618&gt;=12000, IF(I618&lt;=15000, "Medium", "High"), "Low"))</f>
        <v>Medium</v>
      </c>
      <c r="K618" t="b">
        <v>0</v>
      </c>
      <c r="L618" t="b">
        <v>0</v>
      </c>
      <c r="M618" t="b">
        <v>1</v>
      </c>
    </row>
    <row r="619" spans="1:13" hidden="1" x14ac:dyDescent="0.3">
      <c r="A619">
        <v>55</v>
      </c>
      <c r="B619" t="s">
        <v>18</v>
      </c>
      <c r="C619" s="1">
        <v>9</v>
      </c>
      <c r="D619" t="s">
        <v>13</v>
      </c>
      <c r="E619" t="s">
        <v>26</v>
      </c>
      <c r="F619" t="s">
        <v>22</v>
      </c>
      <c r="G619" t="s">
        <v>29</v>
      </c>
      <c r="H619" t="s">
        <v>24</v>
      </c>
      <c r="I619" s="3">
        <v>15906</v>
      </c>
      <c r="J619" s="3" t="str">
        <f>IF(I619&gt;16000, "High", IF(I619&gt;=12000, IF(I619&lt;=15000, "Medium", "High"), "Low"))</f>
        <v>High</v>
      </c>
      <c r="K619" t="b">
        <v>0</v>
      </c>
      <c r="L619" t="b">
        <v>1</v>
      </c>
      <c r="M619" t="b">
        <v>1</v>
      </c>
    </row>
    <row r="620" spans="1:13" hidden="1" x14ac:dyDescent="0.3">
      <c r="A620">
        <v>36</v>
      </c>
      <c r="B620" t="s">
        <v>25</v>
      </c>
      <c r="C620" s="1">
        <v>5</v>
      </c>
      <c r="D620" t="s">
        <v>28</v>
      </c>
      <c r="E620" t="s">
        <v>14</v>
      </c>
      <c r="F620" t="s">
        <v>22</v>
      </c>
      <c r="G620" t="s">
        <v>23</v>
      </c>
      <c r="H620" t="s">
        <v>21</v>
      </c>
      <c r="I620" s="3">
        <v>17860</v>
      </c>
      <c r="J620" s="3" t="str">
        <f>IF(I620&gt;16000, "High", IF(I620&gt;=12000, IF(I620&lt;=15000, "Medium", "High"), "Low"))</f>
        <v>High</v>
      </c>
      <c r="K620" t="b">
        <v>1</v>
      </c>
      <c r="L620" t="b">
        <v>1</v>
      </c>
      <c r="M620" t="b">
        <v>0</v>
      </c>
    </row>
    <row r="621" spans="1:13" hidden="1" x14ac:dyDescent="0.3">
      <c r="A621">
        <v>25</v>
      </c>
      <c r="B621" t="s">
        <v>25</v>
      </c>
      <c r="C621" s="1">
        <v>7</v>
      </c>
      <c r="D621" t="s">
        <v>13</v>
      </c>
      <c r="E621" t="s">
        <v>20</v>
      </c>
      <c r="F621" t="s">
        <v>22</v>
      </c>
      <c r="G621" t="s">
        <v>16</v>
      </c>
      <c r="H621" t="s">
        <v>17</v>
      </c>
      <c r="I621" s="3">
        <v>17526</v>
      </c>
      <c r="J621" s="3" t="str">
        <f>IF(I621&gt;16000, "High", IF(I621&gt;=12000, IF(I621&lt;=15000, "Medium", "High"), "Low"))</f>
        <v>High</v>
      </c>
      <c r="K621" t="b">
        <v>1</v>
      </c>
      <c r="L621" t="b">
        <v>1</v>
      </c>
      <c r="M621" t="b">
        <v>0</v>
      </c>
    </row>
    <row r="622" spans="1:13" hidden="1" x14ac:dyDescent="0.3">
      <c r="A622">
        <v>62</v>
      </c>
      <c r="B622" t="s">
        <v>12</v>
      </c>
      <c r="C622" s="1">
        <v>2</v>
      </c>
      <c r="D622" t="s">
        <v>28</v>
      </c>
      <c r="E622" t="s">
        <v>20</v>
      </c>
      <c r="F622" t="s">
        <v>15</v>
      </c>
      <c r="G622" t="s">
        <v>23</v>
      </c>
      <c r="H622" t="s">
        <v>24</v>
      </c>
      <c r="I622" s="3">
        <v>15559</v>
      </c>
      <c r="J622" s="3" t="str">
        <f>IF(I622&gt;16000, "High", IF(I622&gt;=12000, IF(I622&lt;=15000, "Medium", "High"), "Low"))</f>
        <v>High</v>
      </c>
      <c r="K622" t="b">
        <v>0</v>
      </c>
      <c r="L622" t="b">
        <v>1</v>
      </c>
      <c r="M622" t="b">
        <v>1</v>
      </c>
    </row>
    <row r="623" spans="1:13" hidden="1" x14ac:dyDescent="0.3">
      <c r="A623">
        <v>18</v>
      </c>
      <c r="B623" t="s">
        <v>12</v>
      </c>
      <c r="C623" s="1">
        <v>9</v>
      </c>
      <c r="D623" t="s">
        <v>19</v>
      </c>
      <c r="E623" t="s">
        <v>14</v>
      </c>
      <c r="F623" t="s">
        <v>27</v>
      </c>
      <c r="G623" t="s">
        <v>29</v>
      </c>
      <c r="H623" t="s">
        <v>21</v>
      </c>
      <c r="I623" s="3">
        <v>16732</v>
      </c>
      <c r="J623" s="3" t="str">
        <f>IF(I623&gt;16000, "High", IF(I623&gt;=12000, IF(I623&lt;=15000, "Medium", "High"), "Low"))</f>
        <v>High</v>
      </c>
      <c r="K623" t="b">
        <v>0</v>
      </c>
      <c r="L623" t="b">
        <v>0</v>
      </c>
      <c r="M623" t="b">
        <v>0</v>
      </c>
    </row>
    <row r="624" spans="1:13" hidden="1" x14ac:dyDescent="0.3">
      <c r="A624">
        <v>39</v>
      </c>
      <c r="B624" t="s">
        <v>25</v>
      </c>
      <c r="C624" s="1">
        <v>9</v>
      </c>
      <c r="D624" t="s">
        <v>28</v>
      </c>
      <c r="E624" t="s">
        <v>20</v>
      </c>
      <c r="F624" t="s">
        <v>22</v>
      </c>
      <c r="G624" t="s">
        <v>23</v>
      </c>
      <c r="H624" t="s">
        <v>21</v>
      </c>
      <c r="I624" s="3">
        <v>12513</v>
      </c>
      <c r="J624" s="3" t="str">
        <f>IF(I624&gt;16000, "High", IF(I624&gt;=12000, IF(I624&lt;=15000, "Medium", "High"), "Low"))</f>
        <v>Medium</v>
      </c>
      <c r="K624" t="b">
        <v>1</v>
      </c>
      <c r="L624" t="b">
        <v>1</v>
      </c>
      <c r="M624" t="b">
        <v>0</v>
      </c>
    </row>
    <row r="625" spans="1:13" hidden="1" x14ac:dyDescent="0.3">
      <c r="A625">
        <v>34</v>
      </c>
      <c r="B625" t="s">
        <v>18</v>
      </c>
      <c r="C625" s="1">
        <v>4</v>
      </c>
      <c r="D625" t="s">
        <v>28</v>
      </c>
      <c r="E625" t="s">
        <v>26</v>
      </c>
      <c r="F625" t="s">
        <v>15</v>
      </c>
      <c r="G625" t="s">
        <v>16</v>
      </c>
      <c r="H625" t="s">
        <v>21</v>
      </c>
      <c r="I625" s="3">
        <v>17830</v>
      </c>
      <c r="J625" s="3" t="str">
        <f>IF(I625&gt;16000, "High", IF(I625&gt;=12000, IF(I625&lt;=15000, "Medium", "High"), "Low"))</f>
        <v>High</v>
      </c>
      <c r="K625" t="b">
        <v>1</v>
      </c>
      <c r="L625" t="b">
        <v>0</v>
      </c>
      <c r="M625" t="b">
        <v>0</v>
      </c>
    </row>
    <row r="626" spans="1:13" hidden="1" x14ac:dyDescent="0.3">
      <c r="A626">
        <v>24</v>
      </c>
      <c r="B626" t="s">
        <v>12</v>
      </c>
      <c r="C626" s="1">
        <v>4</v>
      </c>
      <c r="D626" t="s">
        <v>13</v>
      </c>
      <c r="E626" t="s">
        <v>20</v>
      </c>
      <c r="F626" t="s">
        <v>15</v>
      </c>
      <c r="G626" t="s">
        <v>23</v>
      </c>
      <c r="H626" t="s">
        <v>24</v>
      </c>
      <c r="I626" s="3">
        <v>19965</v>
      </c>
      <c r="J626" s="3" t="str">
        <f>IF(I626&gt;16000, "High", IF(I626&gt;=12000, IF(I626&lt;=15000, "Medium", "High"), "Low"))</f>
        <v>High</v>
      </c>
      <c r="K626" t="b">
        <v>1</v>
      </c>
      <c r="L626" t="b">
        <v>0</v>
      </c>
      <c r="M626" t="b">
        <v>0</v>
      </c>
    </row>
    <row r="627" spans="1:13" hidden="1" x14ac:dyDescent="0.3">
      <c r="A627">
        <v>42</v>
      </c>
      <c r="B627" t="s">
        <v>12</v>
      </c>
      <c r="C627" s="1">
        <v>6</v>
      </c>
      <c r="D627" t="s">
        <v>13</v>
      </c>
      <c r="E627" t="s">
        <v>20</v>
      </c>
      <c r="F627" t="s">
        <v>15</v>
      </c>
      <c r="G627" t="s">
        <v>29</v>
      </c>
      <c r="H627" t="s">
        <v>17</v>
      </c>
      <c r="I627" s="3">
        <v>16944</v>
      </c>
      <c r="J627" s="3" t="str">
        <f>IF(I627&gt;16000, "High", IF(I627&gt;=12000, IF(I627&lt;=15000, "Medium", "High"), "Low"))</f>
        <v>High</v>
      </c>
      <c r="K627" t="b">
        <v>0</v>
      </c>
      <c r="L627" t="b">
        <v>1</v>
      </c>
      <c r="M627" t="b">
        <v>0</v>
      </c>
    </row>
    <row r="628" spans="1:13" hidden="1" x14ac:dyDescent="0.3">
      <c r="A628">
        <v>62</v>
      </c>
      <c r="B628" t="s">
        <v>25</v>
      </c>
      <c r="C628" s="1">
        <v>6</v>
      </c>
      <c r="D628" t="s">
        <v>28</v>
      </c>
      <c r="E628" t="s">
        <v>20</v>
      </c>
      <c r="F628" t="s">
        <v>22</v>
      </c>
      <c r="G628" t="s">
        <v>23</v>
      </c>
      <c r="H628" t="s">
        <v>17</v>
      </c>
      <c r="I628" s="3">
        <v>17910</v>
      </c>
      <c r="J628" s="3" t="str">
        <f>IF(I628&gt;16000, "High", IF(I628&gt;=12000, IF(I628&lt;=15000, "Medium", "High"), "Low"))</f>
        <v>High</v>
      </c>
      <c r="K628" t="b">
        <v>0</v>
      </c>
      <c r="L628" t="b">
        <v>0</v>
      </c>
      <c r="M628" t="b">
        <v>1</v>
      </c>
    </row>
    <row r="629" spans="1:13" hidden="1" x14ac:dyDescent="0.3">
      <c r="A629">
        <v>21</v>
      </c>
      <c r="B629" t="s">
        <v>18</v>
      </c>
      <c r="C629" s="1">
        <v>1</v>
      </c>
      <c r="D629" t="s">
        <v>13</v>
      </c>
      <c r="E629" t="s">
        <v>26</v>
      </c>
      <c r="F629" t="s">
        <v>22</v>
      </c>
      <c r="G629" t="s">
        <v>29</v>
      </c>
      <c r="H629" t="s">
        <v>24</v>
      </c>
      <c r="I629" s="3">
        <v>15649</v>
      </c>
      <c r="J629" s="3" t="str">
        <f>IF(I629&gt;16000, "High", IF(I629&gt;=12000, IF(I629&lt;=15000, "Medium", "High"), "Low"))</f>
        <v>High</v>
      </c>
      <c r="K629" t="b">
        <v>1</v>
      </c>
      <c r="L629" t="b">
        <v>0</v>
      </c>
      <c r="M629" t="b">
        <v>1</v>
      </c>
    </row>
    <row r="630" spans="1:13" hidden="1" x14ac:dyDescent="0.3">
      <c r="A630">
        <v>53</v>
      </c>
      <c r="B630" t="s">
        <v>25</v>
      </c>
      <c r="C630" s="1">
        <v>9</v>
      </c>
      <c r="D630" t="s">
        <v>13</v>
      </c>
      <c r="E630" t="s">
        <v>14</v>
      </c>
      <c r="F630" t="s">
        <v>22</v>
      </c>
      <c r="G630" t="s">
        <v>29</v>
      </c>
      <c r="H630" t="s">
        <v>17</v>
      </c>
      <c r="I630" s="3">
        <v>11096</v>
      </c>
      <c r="J630" s="3" t="str">
        <f>IF(I630&gt;16000, "High", IF(I630&gt;=12000, IF(I630&lt;=15000, "Medium", "High"), "Low"))</f>
        <v>Low</v>
      </c>
      <c r="K630" t="b">
        <v>0</v>
      </c>
      <c r="L630" t="b">
        <v>0</v>
      </c>
      <c r="M630" t="b">
        <v>1</v>
      </c>
    </row>
    <row r="631" spans="1:13" hidden="1" x14ac:dyDescent="0.3">
      <c r="A631">
        <v>23</v>
      </c>
      <c r="B631" t="s">
        <v>18</v>
      </c>
      <c r="C631" s="1">
        <v>2</v>
      </c>
      <c r="D631" t="s">
        <v>13</v>
      </c>
      <c r="E631" t="s">
        <v>26</v>
      </c>
      <c r="F631" t="s">
        <v>22</v>
      </c>
      <c r="G631" t="s">
        <v>23</v>
      </c>
      <c r="H631" t="s">
        <v>24</v>
      </c>
      <c r="I631" s="3">
        <v>19120</v>
      </c>
      <c r="J631" s="3" t="str">
        <f>IF(I631&gt;16000, "High", IF(I631&gt;=12000, IF(I631&lt;=15000, "Medium", "High"), "Low"))</f>
        <v>High</v>
      </c>
      <c r="K631" t="b">
        <v>0</v>
      </c>
      <c r="L631" t="b">
        <v>0</v>
      </c>
      <c r="M631" t="b">
        <v>1</v>
      </c>
    </row>
    <row r="632" spans="1:13" hidden="1" x14ac:dyDescent="0.3">
      <c r="A632">
        <v>48</v>
      </c>
      <c r="B632" t="s">
        <v>18</v>
      </c>
      <c r="C632" s="1">
        <v>5</v>
      </c>
      <c r="D632" t="s">
        <v>28</v>
      </c>
      <c r="E632" t="s">
        <v>14</v>
      </c>
      <c r="F632" t="s">
        <v>22</v>
      </c>
      <c r="G632" t="s">
        <v>29</v>
      </c>
      <c r="H632" t="s">
        <v>17</v>
      </c>
      <c r="I632" s="3">
        <v>11951</v>
      </c>
      <c r="J632" s="3" t="str">
        <f>IF(I632&gt;16000, "High", IF(I632&gt;=12000, IF(I632&lt;=15000, "Medium", "High"), "Low"))</f>
        <v>Low</v>
      </c>
      <c r="K632" t="b">
        <v>0</v>
      </c>
      <c r="L632" t="b">
        <v>0</v>
      </c>
      <c r="M632" t="b">
        <v>1</v>
      </c>
    </row>
    <row r="633" spans="1:13" hidden="1" x14ac:dyDescent="0.3">
      <c r="A633">
        <v>36</v>
      </c>
      <c r="B633" t="s">
        <v>18</v>
      </c>
      <c r="C633" s="1">
        <v>9</v>
      </c>
      <c r="D633" t="s">
        <v>13</v>
      </c>
      <c r="E633" t="s">
        <v>14</v>
      </c>
      <c r="F633" t="s">
        <v>22</v>
      </c>
      <c r="G633" t="s">
        <v>29</v>
      </c>
      <c r="H633" t="s">
        <v>21</v>
      </c>
      <c r="I633" s="3">
        <v>19746</v>
      </c>
      <c r="J633" s="3" t="str">
        <f>IF(I633&gt;16000, "High", IF(I633&gt;=12000, IF(I633&lt;=15000, "Medium", "High"), "Low"))</f>
        <v>High</v>
      </c>
      <c r="K633" t="b">
        <v>0</v>
      </c>
      <c r="L633" t="b">
        <v>0</v>
      </c>
      <c r="M633" t="b">
        <v>1</v>
      </c>
    </row>
    <row r="634" spans="1:13" hidden="1" x14ac:dyDescent="0.3">
      <c r="A634">
        <v>61</v>
      </c>
      <c r="B634" t="s">
        <v>12</v>
      </c>
      <c r="C634" s="1">
        <v>4</v>
      </c>
      <c r="D634" t="s">
        <v>28</v>
      </c>
      <c r="E634" t="s">
        <v>14</v>
      </c>
      <c r="F634" t="s">
        <v>22</v>
      </c>
      <c r="G634" t="s">
        <v>16</v>
      </c>
      <c r="H634" t="s">
        <v>17</v>
      </c>
      <c r="I634" s="3">
        <v>19186</v>
      </c>
      <c r="J634" s="3" t="str">
        <f>IF(I634&gt;16000, "High", IF(I634&gt;=12000, IF(I634&lt;=15000, "Medium", "High"), "Low"))</f>
        <v>High</v>
      </c>
      <c r="K634" t="b">
        <v>0</v>
      </c>
      <c r="L634" t="b">
        <v>0</v>
      </c>
      <c r="M634" t="b">
        <v>1</v>
      </c>
    </row>
    <row r="635" spans="1:13" hidden="1" x14ac:dyDescent="0.3">
      <c r="A635">
        <v>56</v>
      </c>
      <c r="B635" t="s">
        <v>25</v>
      </c>
      <c r="C635" s="1">
        <v>3</v>
      </c>
      <c r="D635" t="s">
        <v>13</v>
      </c>
      <c r="E635" t="s">
        <v>20</v>
      </c>
      <c r="F635" t="s">
        <v>22</v>
      </c>
      <c r="G635" t="s">
        <v>16</v>
      </c>
      <c r="H635" t="s">
        <v>24</v>
      </c>
      <c r="I635" s="3">
        <v>17799</v>
      </c>
      <c r="J635" s="3" t="str">
        <f>IF(I635&gt;16000, "High", IF(I635&gt;=12000, IF(I635&lt;=15000, "Medium", "High"), "Low"))</f>
        <v>High</v>
      </c>
      <c r="K635" t="b">
        <v>0</v>
      </c>
      <c r="L635" t="b">
        <v>1</v>
      </c>
      <c r="M635" t="b">
        <v>0</v>
      </c>
    </row>
    <row r="636" spans="1:13" hidden="1" x14ac:dyDescent="0.3">
      <c r="A636">
        <v>44</v>
      </c>
      <c r="B636" t="s">
        <v>25</v>
      </c>
      <c r="C636" s="1">
        <v>7</v>
      </c>
      <c r="D636" t="s">
        <v>19</v>
      </c>
      <c r="E636" t="s">
        <v>20</v>
      </c>
      <c r="F636" t="s">
        <v>22</v>
      </c>
      <c r="G636" t="s">
        <v>16</v>
      </c>
      <c r="H636" t="s">
        <v>24</v>
      </c>
      <c r="I636" s="3">
        <v>18804</v>
      </c>
      <c r="J636" s="3" t="str">
        <f>IF(I636&gt;16000, "High", IF(I636&gt;=12000, IF(I636&lt;=15000, "Medium", "High"), "Low"))</f>
        <v>High</v>
      </c>
      <c r="K636" t="b">
        <v>0</v>
      </c>
      <c r="L636" t="b">
        <v>1</v>
      </c>
      <c r="M636" t="b">
        <v>1</v>
      </c>
    </row>
    <row r="637" spans="1:13" hidden="1" x14ac:dyDescent="0.3">
      <c r="A637">
        <v>27</v>
      </c>
      <c r="B637" t="s">
        <v>18</v>
      </c>
      <c r="C637" s="1">
        <v>6</v>
      </c>
      <c r="D637" t="s">
        <v>13</v>
      </c>
      <c r="E637" t="s">
        <v>14</v>
      </c>
      <c r="F637" t="s">
        <v>15</v>
      </c>
      <c r="G637" t="s">
        <v>16</v>
      </c>
      <c r="H637" t="s">
        <v>21</v>
      </c>
      <c r="I637" s="3">
        <v>10595</v>
      </c>
      <c r="J637" s="3" t="str">
        <f>IF(I637&gt;16000, "High", IF(I637&gt;=12000, IF(I637&lt;=15000, "Medium", "High"), "Low"))</f>
        <v>Low</v>
      </c>
      <c r="K637" t="b">
        <v>1</v>
      </c>
      <c r="L637" t="b">
        <v>0</v>
      </c>
      <c r="M637" t="b">
        <v>1</v>
      </c>
    </row>
    <row r="638" spans="1:13" hidden="1" x14ac:dyDescent="0.3">
      <c r="A638">
        <v>43</v>
      </c>
      <c r="B638" t="s">
        <v>12</v>
      </c>
      <c r="C638" s="1">
        <v>8</v>
      </c>
      <c r="D638" t="s">
        <v>13</v>
      </c>
      <c r="E638" t="s">
        <v>14</v>
      </c>
      <c r="F638" t="s">
        <v>22</v>
      </c>
      <c r="G638" t="s">
        <v>29</v>
      </c>
      <c r="H638" t="s">
        <v>24</v>
      </c>
      <c r="I638" s="3">
        <v>17875</v>
      </c>
      <c r="J638" s="3" t="str">
        <f>IF(I638&gt;16000, "High", IF(I638&gt;=12000, IF(I638&lt;=15000, "Medium", "High"), "Low"))</f>
        <v>High</v>
      </c>
      <c r="K638" t="b">
        <v>1</v>
      </c>
      <c r="L638" t="b">
        <v>0</v>
      </c>
      <c r="M638" t="b">
        <v>1</v>
      </c>
    </row>
    <row r="639" spans="1:13" hidden="1" x14ac:dyDescent="0.3">
      <c r="A639">
        <v>36</v>
      </c>
      <c r="B639" t="s">
        <v>12</v>
      </c>
      <c r="C639" s="1">
        <v>3</v>
      </c>
      <c r="D639" t="s">
        <v>28</v>
      </c>
      <c r="E639" t="s">
        <v>20</v>
      </c>
      <c r="F639" t="s">
        <v>27</v>
      </c>
      <c r="G639" t="s">
        <v>23</v>
      </c>
      <c r="H639" t="s">
        <v>17</v>
      </c>
      <c r="I639" s="3">
        <v>19033</v>
      </c>
      <c r="J639" s="3" t="str">
        <f>IF(I639&gt;16000, "High", IF(I639&gt;=12000, IF(I639&lt;=15000, "Medium", "High"), "Low"))</f>
        <v>High</v>
      </c>
      <c r="K639" t="b">
        <v>1</v>
      </c>
      <c r="L639" t="b">
        <v>1</v>
      </c>
      <c r="M639" t="b">
        <v>0</v>
      </c>
    </row>
    <row r="640" spans="1:13" hidden="1" x14ac:dyDescent="0.3">
      <c r="A640">
        <v>56</v>
      </c>
      <c r="B640" t="s">
        <v>25</v>
      </c>
      <c r="C640" s="1">
        <v>5</v>
      </c>
      <c r="D640" t="s">
        <v>28</v>
      </c>
      <c r="E640" t="s">
        <v>26</v>
      </c>
      <c r="F640" t="s">
        <v>15</v>
      </c>
      <c r="G640" t="s">
        <v>29</v>
      </c>
      <c r="H640" t="s">
        <v>17</v>
      </c>
      <c r="I640" s="3">
        <v>14439</v>
      </c>
      <c r="J640" s="3" t="str">
        <f>IF(I640&gt;16000, "High", IF(I640&gt;=12000, IF(I640&lt;=15000, "Medium", "High"), "Low"))</f>
        <v>Medium</v>
      </c>
      <c r="K640" t="b">
        <v>1</v>
      </c>
      <c r="L640" t="b">
        <v>1</v>
      </c>
      <c r="M640" t="b">
        <v>1</v>
      </c>
    </row>
    <row r="641" spans="1:13" hidden="1" x14ac:dyDescent="0.3">
      <c r="A641">
        <v>20</v>
      </c>
      <c r="B641" t="s">
        <v>12</v>
      </c>
      <c r="C641" s="1">
        <v>4</v>
      </c>
      <c r="D641" t="s">
        <v>13</v>
      </c>
      <c r="E641" t="s">
        <v>14</v>
      </c>
      <c r="F641" t="s">
        <v>22</v>
      </c>
      <c r="G641" t="s">
        <v>29</v>
      </c>
      <c r="H641" t="s">
        <v>21</v>
      </c>
      <c r="I641" s="3">
        <v>15972</v>
      </c>
      <c r="J641" s="3" t="str">
        <f>IF(I641&gt;16000, "High", IF(I641&gt;=12000, IF(I641&lt;=15000, "Medium", "High"), "Low"))</f>
        <v>High</v>
      </c>
      <c r="K641" t="b">
        <v>1</v>
      </c>
      <c r="L641" t="b">
        <v>1</v>
      </c>
      <c r="M641" t="b">
        <v>1</v>
      </c>
    </row>
    <row r="642" spans="1:13" hidden="1" x14ac:dyDescent="0.3">
      <c r="A642">
        <v>62</v>
      </c>
      <c r="B642" t="s">
        <v>12</v>
      </c>
      <c r="C642" s="1">
        <v>4</v>
      </c>
      <c r="D642" t="s">
        <v>19</v>
      </c>
      <c r="E642" t="s">
        <v>26</v>
      </c>
      <c r="F642" t="s">
        <v>27</v>
      </c>
      <c r="G642" t="s">
        <v>29</v>
      </c>
      <c r="H642" t="s">
        <v>24</v>
      </c>
      <c r="I642" s="3">
        <v>10858</v>
      </c>
      <c r="J642" s="3" t="str">
        <f>IF(I642&gt;16000, "High", IF(I642&gt;=12000, IF(I642&lt;=15000, "Medium", "High"), "Low"))</f>
        <v>Low</v>
      </c>
      <c r="K642" t="b">
        <v>1</v>
      </c>
      <c r="L642" t="b">
        <v>1</v>
      </c>
      <c r="M642" t="b">
        <v>0</v>
      </c>
    </row>
    <row r="643" spans="1:13" hidden="1" x14ac:dyDescent="0.3">
      <c r="A643">
        <v>30</v>
      </c>
      <c r="B643" t="s">
        <v>18</v>
      </c>
      <c r="C643" s="1">
        <v>4</v>
      </c>
      <c r="D643" t="s">
        <v>13</v>
      </c>
      <c r="E643" t="s">
        <v>20</v>
      </c>
      <c r="F643" t="s">
        <v>22</v>
      </c>
      <c r="G643" t="s">
        <v>23</v>
      </c>
      <c r="H643" t="s">
        <v>21</v>
      </c>
      <c r="I643" s="3">
        <v>15519</v>
      </c>
      <c r="J643" s="3" t="str">
        <f>IF(I643&gt;16000, "High", IF(I643&gt;=12000, IF(I643&lt;=15000, "Medium", "High"), "Low"))</f>
        <v>High</v>
      </c>
      <c r="K643" t="b">
        <v>1</v>
      </c>
      <c r="L643" t="b">
        <v>0</v>
      </c>
      <c r="M643" t="b">
        <v>1</v>
      </c>
    </row>
    <row r="644" spans="1:13" hidden="1" x14ac:dyDescent="0.3">
      <c r="A644">
        <v>45</v>
      </c>
      <c r="B644" t="s">
        <v>12</v>
      </c>
      <c r="C644" s="1">
        <v>8</v>
      </c>
      <c r="D644" t="s">
        <v>13</v>
      </c>
      <c r="E644" t="s">
        <v>14</v>
      </c>
      <c r="F644" t="s">
        <v>27</v>
      </c>
      <c r="G644" t="s">
        <v>16</v>
      </c>
      <c r="H644" t="s">
        <v>17</v>
      </c>
      <c r="I644" s="3">
        <v>17385</v>
      </c>
      <c r="J644" s="3" t="str">
        <f>IF(I644&gt;16000, "High", IF(I644&gt;=12000, IF(I644&lt;=15000, "Medium", "High"), "Low"))</f>
        <v>High</v>
      </c>
      <c r="K644" t="b">
        <v>1</v>
      </c>
      <c r="L644" t="b">
        <v>0</v>
      </c>
      <c r="M644" t="b">
        <v>1</v>
      </c>
    </row>
    <row r="645" spans="1:13" x14ac:dyDescent="0.3">
      <c r="A645">
        <v>18</v>
      </c>
      <c r="B645" t="s">
        <v>18</v>
      </c>
      <c r="C645" s="1">
        <v>7</v>
      </c>
      <c r="D645" t="s">
        <v>19</v>
      </c>
      <c r="E645" t="s">
        <v>20</v>
      </c>
      <c r="F645" t="s">
        <v>22</v>
      </c>
      <c r="G645" t="s">
        <v>16</v>
      </c>
      <c r="H645" t="s">
        <v>17</v>
      </c>
      <c r="I645" s="3">
        <v>19354</v>
      </c>
      <c r="J645" s="3" t="str">
        <f>IF(I645&gt;16000, "High", IF(I645&gt;=12000, IF(I645&lt;=15000, "Medium", "High"), "Low"))</f>
        <v>High</v>
      </c>
      <c r="K645" t="b">
        <v>1</v>
      </c>
      <c r="L645" t="b">
        <v>0</v>
      </c>
      <c r="M645" t="b">
        <v>1</v>
      </c>
    </row>
    <row r="646" spans="1:13" hidden="1" x14ac:dyDescent="0.3">
      <c r="A646">
        <v>45</v>
      </c>
      <c r="B646" t="s">
        <v>25</v>
      </c>
      <c r="C646" s="1">
        <v>3</v>
      </c>
      <c r="D646" t="s">
        <v>28</v>
      </c>
      <c r="E646" t="s">
        <v>26</v>
      </c>
      <c r="F646" t="s">
        <v>27</v>
      </c>
      <c r="G646" t="s">
        <v>29</v>
      </c>
      <c r="H646" t="s">
        <v>24</v>
      </c>
      <c r="I646" s="3">
        <v>19980</v>
      </c>
      <c r="J646" s="3" t="str">
        <f>IF(I646&gt;16000, "High", IF(I646&gt;=12000, IF(I646&lt;=15000, "Medium", "High"), "Low"))</f>
        <v>High</v>
      </c>
      <c r="K646" t="b">
        <v>0</v>
      </c>
      <c r="L646" t="b">
        <v>1</v>
      </c>
      <c r="M646" t="b">
        <v>1</v>
      </c>
    </row>
    <row r="647" spans="1:13" hidden="1" x14ac:dyDescent="0.3">
      <c r="A647">
        <v>25</v>
      </c>
      <c r="B647" t="s">
        <v>12</v>
      </c>
      <c r="C647" s="1">
        <v>5</v>
      </c>
      <c r="D647" t="s">
        <v>13</v>
      </c>
      <c r="E647" t="s">
        <v>26</v>
      </c>
      <c r="F647" t="s">
        <v>27</v>
      </c>
      <c r="G647" t="s">
        <v>16</v>
      </c>
      <c r="H647" t="s">
        <v>21</v>
      </c>
      <c r="I647" s="3">
        <v>14317</v>
      </c>
      <c r="J647" s="3" t="str">
        <f>IF(I647&gt;16000, "High", IF(I647&gt;=12000, IF(I647&lt;=15000, "Medium", "High"), "Low"))</f>
        <v>Medium</v>
      </c>
      <c r="K647" t="b">
        <v>0</v>
      </c>
      <c r="L647" t="b">
        <v>1</v>
      </c>
      <c r="M647" t="b">
        <v>0</v>
      </c>
    </row>
    <row r="648" spans="1:13" hidden="1" x14ac:dyDescent="0.3">
      <c r="A648">
        <v>58</v>
      </c>
      <c r="B648" t="s">
        <v>25</v>
      </c>
      <c r="C648" s="1">
        <v>6</v>
      </c>
      <c r="D648" t="s">
        <v>28</v>
      </c>
      <c r="E648" t="s">
        <v>20</v>
      </c>
      <c r="F648" t="s">
        <v>15</v>
      </c>
      <c r="G648" t="s">
        <v>29</v>
      </c>
      <c r="H648" t="s">
        <v>24</v>
      </c>
      <c r="I648" s="3">
        <v>13454</v>
      </c>
      <c r="J648" s="3" t="str">
        <f>IF(I648&gt;16000, "High", IF(I648&gt;=12000, IF(I648&lt;=15000, "Medium", "High"), "Low"))</f>
        <v>Medium</v>
      </c>
      <c r="K648" t="b">
        <v>1</v>
      </c>
      <c r="L648" t="b">
        <v>1</v>
      </c>
      <c r="M648" t="b">
        <v>1</v>
      </c>
    </row>
    <row r="649" spans="1:13" hidden="1" x14ac:dyDescent="0.3">
      <c r="A649">
        <v>56</v>
      </c>
      <c r="B649" t="s">
        <v>25</v>
      </c>
      <c r="C649" s="1">
        <v>5</v>
      </c>
      <c r="D649" t="s">
        <v>28</v>
      </c>
      <c r="E649" t="s">
        <v>20</v>
      </c>
      <c r="F649" t="s">
        <v>15</v>
      </c>
      <c r="G649" t="s">
        <v>23</v>
      </c>
      <c r="H649" t="s">
        <v>24</v>
      </c>
      <c r="I649" s="3">
        <v>11030</v>
      </c>
      <c r="J649" s="3" t="str">
        <f>IF(I649&gt;16000, "High", IF(I649&gt;=12000, IF(I649&lt;=15000, "Medium", "High"), "Low"))</f>
        <v>Low</v>
      </c>
      <c r="K649" t="b">
        <v>0</v>
      </c>
      <c r="L649" t="b">
        <v>0</v>
      </c>
      <c r="M649" t="b">
        <v>1</v>
      </c>
    </row>
    <row r="650" spans="1:13" hidden="1" x14ac:dyDescent="0.3">
      <c r="A650">
        <v>18</v>
      </c>
      <c r="B650" t="s">
        <v>12</v>
      </c>
      <c r="C650" s="1">
        <v>6</v>
      </c>
      <c r="D650" t="s">
        <v>19</v>
      </c>
      <c r="E650" t="s">
        <v>26</v>
      </c>
      <c r="F650" t="s">
        <v>27</v>
      </c>
      <c r="G650" t="s">
        <v>29</v>
      </c>
      <c r="H650" t="s">
        <v>17</v>
      </c>
      <c r="I650" s="3">
        <v>19487</v>
      </c>
      <c r="J650" s="3" t="str">
        <f>IF(I650&gt;16000, "High", IF(I650&gt;=12000, IF(I650&lt;=15000, "Medium", "High"), "Low"))</f>
        <v>High</v>
      </c>
      <c r="K650" t="b">
        <v>0</v>
      </c>
      <c r="L650" t="b">
        <v>1</v>
      </c>
      <c r="M650" t="b">
        <v>1</v>
      </c>
    </row>
    <row r="651" spans="1:13" hidden="1" x14ac:dyDescent="0.3">
      <c r="A651">
        <v>20</v>
      </c>
      <c r="B651" t="s">
        <v>12</v>
      </c>
      <c r="C651" s="1">
        <v>8</v>
      </c>
      <c r="D651" t="s">
        <v>19</v>
      </c>
      <c r="E651" t="s">
        <v>26</v>
      </c>
      <c r="F651" t="s">
        <v>22</v>
      </c>
      <c r="G651" t="s">
        <v>29</v>
      </c>
      <c r="H651" t="s">
        <v>17</v>
      </c>
      <c r="I651" s="3">
        <v>17906</v>
      </c>
      <c r="J651" s="3" t="str">
        <f>IF(I651&gt;16000, "High", IF(I651&gt;=12000, IF(I651&lt;=15000, "Medium", "High"), "Low"))</f>
        <v>High</v>
      </c>
      <c r="K651" t="b">
        <v>1</v>
      </c>
      <c r="L651" t="b">
        <v>1</v>
      </c>
      <c r="M651" t="b">
        <v>0</v>
      </c>
    </row>
    <row r="652" spans="1:13" hidden="1" x14ac:dyDescent="0.3">
      <c r="A652">
        <v>30</v>
      </c>
      <c r="B652" t="s">
        <v>25</v>
      </c>
      <c r="C652" s="1">
        <v>7</v>
      </c>
      <c r="D652" t="s">
        <v>28</v>
      </c>
      <c r="E652" t="s">
        <v>20</v>
      </c>
      <c r="F652" t="s">
        <v>27</v>
      </c>
      <c r="G652" t="s">
        <v>16</v>
      </c>
      <c r="H652" t="s">
        <v>17</v>
      </c>
      <c r="I652" s="3">
        <v>11447</v>
      </c>
      <c r="J652" s="3" t="str">
        <f>IF(I652&gt;16000, "High", IF(I652&gt;=12000, IF(I652&lt;=15000, "Medium", "High"), "Low"))</f>
        <v>Low</v>
      </c>
      <c r="K652" t="b">
        <v>1</v>
      </c>
      <c r="L652" t="b">
        <v>1</v>
      </c>
      <c r="M652" t="b">
        <v>0</v>
      </c>
    </row>
    <row r="653" spans="1:13" hidden="1" x14ac:dyDescent="0.3">
      <c r="A653">
        <v>45</v>
      </c>
      <c r="B653" t="s">
        <v>12</v>
      </c>
      <c r="C653" s="1">
        <v>5</v>
      </c>
      <c r="D653" t="s">
        <v>13</v>
      </c>
      <c r="E653" t="s">
        <v>26</v>
      </c>
      <c r="F653" t="s">
        <v>15</v>
      </c>
      <c r="G653" t="s">
        <v>29</v>
      </c>
      <c r="H653" t="s">
        <v>24</v>
      </c>
      <c r="I653" s="3">
        <v>12850</v>
      </c>
      <c r="J653" s="3" t="str">
        <f>IF(I653&gt;16000, "High", IF(I653&gt;=12000, IF(I653&lt;=15000, "Medium", "High"), "Low"))</f>
        <v>Medium</v>
      </c>
      <c r="K653" t="b">
        <v>1</v>
      </c>
      <c r="L653" t="b">
        <v>0</v>
      </c>
      <c r="M653" t="b">
        <v>0</v>
      </c>
    </row>
    <row r="654" spans="1:13" hidden="1" x14ac:dyDescent="0.3">
      <c r="A654">
        <v>42</v>
      </c>
      <c r="B654" t="s">
        <v>18</v>
      </c>
      <c r="C654" s="1">
        <v>6</v>
      </c>
      <c r="D654" t="s">
        <v>28</v>
      </c>
      <c r="E654" t="s">
        <v>26</v>
      </c>
      <c r="F654" t="s">
        <v>22</v>
      </c>
      <c r="G654" t="s">
        <v>29</v>
      </c>
      <c r="H654" t="s">
        <v>21</v>
      </c>
      <c r="I654" s="3">
        <v>18106</v>
      </c>
      <c r="J654" s="3" t="str">
        <f>IF(I654&gt;16000, "High", IF(I654&gt;=12000, IF(I654&lt;=15000, "Medium", "High"), "Low"))</f>
        <v>High</v>
      </c>
      <c r="K654" t="b">
        <v>0</v>
      </c>
      <c r="L654" t="b">
        <v>0</v>
      </c>
      <c r="M654" t="b">
        <v>1</v>
      </c>
    </row>
    <row r="655" spans="1:13" hidden="1" x14ac:dyDescent="0.3">
      <c r="A655">
        <v>50</v>
      </c>
      <c r="B655" t="s">
        <v>18</v>
      </c>
      <c r="C655" s="1">
        <v>4</v>
      </c>
      <c r="D655" t="s">
        <v>13</v>
      </c>
      <c r="E655" t="s">
        <v>20</v>
      </c>
      <c r="F655" t="s">
        <v>15</v>
      </c>
      <c r="G655" t="s">
        <v>23</v>
      </c>
      <c r="H655" t="s">
        <v>24</v>
      </c>
      <c r="I655" s="3">
        <v>17151</v>
      </c>
      <c r="J655" s="3" t="str">
        <f>IF(I655&gt;16000, "High", IF(I655&gt;=12000, IF(I655&lt;=15000, "Medium", "High"), "Low"))</f>
        <v>High</v>
      </c>
      <c r="K655" t="b">
        <v>0</v>
      </c>
      <c r="L655" t="b">
        <v>0</v>
      </c>
      <c r="M655" t="b">
        <v>1</v>
      </c>
    </row>
    <row r="656" spans="1:13" hidden="1" x14ac:dyDescent="0.3">
      <c r="A656">
        <v>55</v>
      </c>
      <c r="B656" t="s">
        <v>12</v>
      </c>
      <c r="C656" s="1">
        <v>9</v>
      </c>
      <c r="D656" t="s">
        <v>13</v>
      </c>
      <c r="E656" t="s">
        <v>26</v>
      </c>
      <c r="F656" t="s">
        <v>15</v>
      </c>
      <c r="G656" t="s">
        <v>16</v>
      </c>
      <c r="H656" t="s">
        <v>17</v>
      </c>
      <c r="I656" s="3">
        <v>19503</v>
      </c>
      <c r="J656" s="3" t="str">
        <f>IF(I656&gt;16000, "High", IF(I656&gt;=12000, IF(I656&lt;=15000, "Medium", "High"), "Low"))</f>
        <v>High</v>
      </c>
      <c r="K656" t="b">
        <v>1</v>
      </c>
      <c r="L656" t="b">
        <v>1</v>
      </c>
      <c r="M656" t="b">
        <v>0</v>
      </c>
    </row>
    <row r="657" spans="1:13" hidden="1" x14ac:dyDescent="0.3">
      <c r="A657">
        <v>23</v>
      </c>
      <c r="B657" t="s">
        <v>25</v>
      </c>
      <c r="C657" s="1">
        <v>4</v>
      </c>
      <c r="D657" t="s">
        <v>19</v>
      </c>
      <c r="E657" t="s">
        <v>26</v>
      </c>
      <c r="F657" t="s">
        <v>22</v>
      </c>
      <c r="G657" t="s">
        <v>16</v>
      </c>
      <c r="H657" t="s">
        <v>17</v>
      </c>
      <c r="I657" s="3">
        <v>16952</v>
      </c>
      <c r="J657" s="3" t="str">
        <f>IF(I657&gt;16000, "High", IF(I657&gt;=12000, IF(I657&lt;=15000, "Medium", "High"), "Low"))</f>
        <v>High</v>
      </c>
      <c r="K657" t="b">
        <v>0</v>
      </c>
      <c r="L657" t="b">
        <v>1</v>
      </c>
      <c r="M657" t="b">
        <v>0</v>
      </c>
    </row>
    <row r="658" spans="1:13" hidden="1" x14ac:dyDescent="0.3">
      <c r="A658">
        <v>61</v>
      </c>
      <c r="B658" t="s">
        <v>12</v>
      </c>
      <c r="C658" s="1">
        <v>1</v>
      </c>
      <c r="D658" t="s">
        <v>13</v>
      </c>
      <c r="E658" t="s">
        <v>26</v>
      </c>
      <c r="F658" t="s">
        <v>27</v>
      </c>
      <c r="G658" t="s">
        <v>23</v>
      </c>
      <c r="H658" t="s">
        <v>21</v>
      </c>
      <c r="I658" s="3">
        <v>14055</v>
      </c>
      <c r="J658" s="3" t="str">
        <f>IF(I658&gt;16000, "High", IF(I658&gt;=12000, IF(I658&lt;=15000, "Medium", "High"), "Low"))</f>
        <v>Medium</v>
      </c>
      <c r="K658" t="b">
        <v>0</v>
      </c>
      <c r="L658" t="b">
        <v>1</v>
      </c>
      <c r="M658" t="b">
        <v>1</v>
      </c>
    </row>
    <row r="659" spans="1:13" hidden="1" x14ac:dyDescent="0.3">
      <c r="A659">
        <v>62</v>
      </c>
      <c r="B659" t="s">
        <v>12</v>
      </c>
      <c r="C659" s="1">
        <v>7</v>
      </c>
      <c r="D659" t="s">
        <v>13</v>
      </c>
      <c r="E659" t="s">
        <v>20</v>
      </c>
      <c r="F659" t="s">
        <v>27</v>
      </c>
      <c r="G659" t="s">
        <v>29</v>
      </c>
      <c r="H659" t="s">
        <v>17</v>
      </c>
      <c r="I659" s="3">
        <v>15402</v>
      </c>
      <c r="J659" s="3" t="str">
        <f>IF(I659&gt;16000, "High", IF(I659&gt;=12000, IF(I659&lt;=15000, "Medium", "High"), "Low"))</f>
        <v>High</v>
      </c>
      <c r="K659" t="b">
        <v>0</v>
      </c>
      <c r="L659" t="b">
        <v>0</v>
      </c>
      <c r="M659" t="b">
        <v>1</v>
      </c>
    </row>
    <row r="660" spans="1:13" hidden="1" x14ac:dyDescent="0.3">
      <c r="A660">
        <v>49</v>
      </c>
      <c r="B660" t="s">
        <v>25</v>
      </c>
      <c r="C660" s="1">
        <v>7</v>
      </c>
      <c r="D660" t="s">
        <v>28</v>
      </c>
      <c r="E660" t="s">
        <v>26</v>
      </c>
      <c r="F660" t="s">
        <v>27</v>
      </c>
      <c r="G660" t="s">
        <v>16</v>
      </c>
      <c r="H660" t="s">
        <v>17</v>
      </c>
      <c r="I660" s="3">
        <v>19281</v>
      </c>
      <c r="J660" s="3" t="str">
        <f>IF(I660&gt;16000, "High", IF(I660&gt;=12000, IF(I660&lt;=15000, "Medium", "High"), "Low"))</f>
        <v>High</v>
      </c>
      <c r="K660" t="b">
        <v>1</v>
      </c>
      <c r="L660" t="b">
        <v>0</v>
      </c>
      <c r="M660" t="b">
        <v>1</v>
      </c>
    </row>
    <row r="661" spans="1:13" hidden="1" x14ac:dyDescent="0.3">
      <c r="A661">
        <v>62</v>
      </c>
      <c r="B661" t="s">
        <v>25</v>
      </c>
      <c r="C661" s="1">
        <v>4</v>
      </c>
      <c r="D661" t="s">
        <v>19</v>
      </c>
      <c r="E661" t="s">
        <v>20</v>
      </c>
      <c r="F661" t="s">
        <v>27</v>
      </c>
      <c r="G661" t="s">
        <v>16</v>
      </c>
      <c r="H661" t="s">
        <v>17</v>
      </c>
      <c r="I661" s="3">
        <v>11672</v>
      </c>
      <c r="J661" s="3" t="str">
        <f>IF(I661&gt;16000, "High", IF(I661&gt;=12000, IF(I661&lt;=15000, "Medium", "High"), "Low"))</f>
        <v>Low</v>
      </c>
      <c r="K661" t="b">
        <v>0</v>
      </c>
      <c r="L661" t="b">
        <v>1</v>
      </c>
      <c r="M661" t="b">
        <v>1</v>
      </c>
    </row>
    <row r="662" spans="1:13" hidden="1" x14ac:dyDescent="0.3">
      <c r="A662">
        <v>64</v>
      </c>
      <c r="B662" t="s">
        <v>18</v>
      </c>
      <c r="C662" s="1">
        <v>3</v>
      </c>
      <c r="D662" t="s">
        <v>13</v>
      </c>
      <c r="E662" t="s">
        <v>20</v>
      </c>
      <c r="F662" t="s">
        <v>22</v>
      </c>
      <c r="G662" t="s">
        <v>29</v>
      </c>
      <c r="H662" t="s">
        <v>21</v>
      </c>
      <c r="I662" s="3">
        <v>14532</v>
      </c>
      <c r="J662" s="3" t="str">
        <f>IF(I662&gt;16000, "High", IF(I662&gt;=12000, IF(I662&lt;=15000, "Medium", "High"), "Low"))</f>
        <v>Medium</v>
      </c>
      <c r="K662" t="b">
        <v>0</v>
      </c>
      <c r="L662" t="b">
        <v>1</v>
      </c>
      <c r="M662" t="b">
        <v>0</v>
      </c>
    </row>
    <row r="663" spans="1:13" hidden="1" x14ac:dyDescent="0.3">
      <c r="A663">
        <v>38</v>
      </c>
      <c r="B663" t="s">
        <v>25</v>
      </c>
      <c r="C663" s="1">
        <v>8</v>
      </c>
      <c r="D663" t="s">
        <v>13</v>
      </c>
      <c r="E663" t="s">
        <v>14</v>
      </c>
      <c r="F663" t="s">
        <v>22</v>
      </c>
      <c r="G663" t="s">
        <v>29</v>
      </c>
      <c r="H663" t="s">
        <v>24</v>
      </c>
      <c r="I663" s="3">
        <v>14924</v>
      </c>
      <c r="J663" s="3" t="str">
        <f>IF(I663&gt;16000, "High", IF(I663&gt;=12000, IF(I663&lt;=15000, "Medium", "High"), "Low"))</f>
        <v>Medium</v>
      </c>
      <c r="K663" t="b">
        <v>0</v>
      </c>
      <c r="L663" t="b">
        <v>0</v>
      </c>
      <c r="M663" t="b">
        <v>1</v>
      </c>
    </row>
    <row r="664" spans="1:13" x14ac:dyDescent="0.3">
      <c r="A664">
        <v>22</v>
      </c>
      <c r="B664" t="s">
        <v>18</v>
      </c>
      <c r="C664" s="1">
        <v>3</v>
      </c>
      <c r="D664" t="s">
        <v>19</v>
      </c>
      <c r="E664" t="s">
        <v>20</v>
      </c>
      <c r="F664" t="s">
        <v>15</v>
      </c>
      <c r="G664" t="s">
        <v>16</v>
      </c>
      <c r="H664" t="s">
        <v>17</v>
      </c>
      <c r="I664" s="3">
        <v>19631</v>
      </c>
      <c r="J664" s="3" t="str">
        <f>IF(I664&gt;16000, "High", IF(I664&gt;=12000, IF(I664&lt;=15000, "Medium", "High"), "Low"))</f>
        <v>High</v>
      </c>
      <c r="K664" t="b">
        <v>0</v>
      </c>
      <c r="L664" t="b">
        <v>1</v>
      </c>
      <c r="M664" t="b">
        <v>1</v>
      </c>
    </row>
    <row r="665" spans="1:13" hidden="1" x14ac:dyDescent="0.3">
      <c r="A665">
        <v>38</v>
      </c>
      <c r="B665" t="s">
        <v>25</v>
      </c>
      <c r="C665" s="1">
        <v>7</v>
      </c>
      <c r="D665" t="s">
        <v>28</v>
      </c>
      <c r="E665" t="s">
        <v>26</v>
      </c>
      <c r="F665" t="s">
        <v>15</v>
      </c>
      <c r="G665" t="s">
        <v>29</v>
      </c>
      <c r="H665" t="s">
        <v>21</v>
      </c>
      <c r="I665" s="3">
        <v>17734</v>
      </c>
      <c r="J665" s="3" t="str">
        <f>IF(I665&gt;16000, "High", IF(I665&gt;=12000, IF(I665&lt;=15000, "Medium", "High"), "Low"))</f>
        <v>High</v>
      </c>
      <c r="K665" t="b">
        <v>0</v>
      </c>
      <c r="L665" t="b">
        <v>1</v>
      </c>
      <c r="M665" t="b">
        <v>1</v>
      </c>
    </row>
    <row r="666" spans="1:13" hidden="1" x14ac:dyDescent="0.3">
      <c r="A666">
        <v>28</v>
      </c>
      <c r="B666" t="s">
        <v>12</v>
      </c>
      <c r="C666" s="1">
        <v>4</v>
      </c>
      <c r="D666" t="s">
        <v>19</v>
      </c>
      <c r="E666" t="s">
        <v>20</v>
      </c>
      <c r="F666" t="s">
        <v>22</v>
      </c>
      <c r="G666" t="s">
        <v>16</v>
      </c>
      <c r="H666" t="s">
        <v>17</v>
      </c>
      <c r="I666" s="3">
        <v>14864</v>
      </c>
      <c r="J666" s="3" t="str">
        <f>IF(I666&gt;16000, "High", IF(I666&gt;=12000, IF(I666&lt;=15000, "Medium", "High"), "Low"))</f>
        <v>Medium</v>
      </c>
      <c r="K666" t="b">
        <v>0</v>
      </c>
      <c r="L666" t="b">
        <v>1</v>
      </c>
      <c r="M666" t="b">
        <v>1</v>
      </c>
    </row>
    <row r="667" spans="1:13" x14ac:dyDescent="0.3">
      <c r="A667">
        <v>23</v>
      </c>
      <c r="B667" t="s">
        <v>18</v>
      </c>
      <c r="C667" s="1">
        <v>2</v>
      </c>
      <c r="D667" t="s">
        <v>19</v>
      </c>
      <c r="E667" t="s">
        <v>14</v>
      </c>
      <c r="F667" t="s">
        <v>22</v>
      </c>
      <c r="G667" t="s">
        <v>29</v>
      </c>
      <c r="H667" t="s">
        <v>17</v>
      </c>
      <c r="I667" s="3">
        <v>15993</v>
      </c>
      <c r="J667" s="3" t="str">
        <f>IF(I667&gt;16000, "High", IF(I667&gt;=12000, IF(I667&lt;=15000, "Medium", "High"), "Low"))</f>
        <v>High</v>
      </c>
      <c r="K667" t="b">
        <v>0</v>
      </c>
      <c r="L667" t="b">
        <v>0</v>
      </c>
      <c r="M667" t="b">
        <v>0</v>
      </c>
    </row>
    <row r="668" spans="1:13" hidden="1" x14ac:dyDescent="0.3">
      <c r="A668">
        <v>53</v>
      </c>
      <c r="B668" t="s">
        <v>18</v>
      </c>
      <c r="C668" s="1">
        <v>8</v>
      </c>
      <c r="D668" t="s">
        <v>13</v>
      </c>
      <c r="E668" t="s">
        <v>26</v>
      </c>
      <c r="F668" t="s">
        <v>15</v>
      </c>
      <c r="G668" t="s">
        <v>29</v>
      </c>
      <c r="H668" t="s">
        <v>17</v>
      </c>
      <c r="I668" s="3">
        <v>11221</v>
      </c>
      <c r="J668" s="3" t="str">
        <f>IF(I668&gt;16000, "High", IF(I668&gt;=12000, IF(I668&lt;=15000, "Medium", "High"), "Low"))</f>
        <v>Low</v>
      </c>
      <c r="K668" t="b">
        <v>1</v>
      </c>
      <c r="L668" t="b">
        <v>1</v>
      </c>
      <c r="M668" t="b">
        <v>1</v>
      </c>
    </row>
    <row r="669" spans="1:13" hidden="1" x14ac:dyDescent="0.3">
      <c r="A669">
        <v>52</v>
      </c>
      <c r="B669" t="s">
        <v>18</v>
      </c>
      <c r="C669" s="1">
        <v>8</v>
      </c>
      <c r="D669" t="s">
        <v>13</v>
      </c>
      <c r="E669" t="s">
        <v>14</v>
      </c>
      <c r="F669" t="s">
        <v>27</v>
      </c>
      <c r="G669" t="s">
        <v>23</v>
      </c>
      <c r="H669" t="s">
        <v>21</v>
      </c>
      <c r="I669" s="3">
        <v>12860</v>
      </c>
      <c r="J669" s="3" t="str">
        <f>IF(I669&gt;16000, "High", IF(I669&gt;=12000, IF(I669&lt;=15000, "Medium", "High"), "Low"))</f>
        <v>Medium</v>
      </c>
      <c r="K669" t="b">
        <v>1</v>
      </c>
      <c r="L669" t="b">
        <v>1</v>
      </c>
      <c r="M669" t="b">
        <v>1</v>
      </c>
    </row>
    <row r="670" spans="1:13" hidden="1" x14ac:dyDescent="0.3">
      <c r="A670">
        <v>36</v>
      </c>
      <c r="B670" t="s">
        <v>12</v>
      </c>
      <c r="C670" s="1">
        <v>2</v>
      </c>
      <c r="D670" t="s">
        <v>28</v>
      </c>
      <c r="E670" t="s">
        <v>14</v>
      </c>
      <c r="F670" t="s">
        <v>27</v>
      </c>
      <c r="G670" t="s">
        <v>29</v>
      </c>
      <c r="H670" t="s">
        <v>17</v>
      </c>
      <c r="I670" s="3">
        <v>18428</v>
      </c>
      <c r="J670" s="3" t="str">
        <f>IF(I670&gt;16000, "High", IF(I670&gt;=12000, IF(I670&lt;=15000, "Medium", "High"), "Low"))</f>
        <v>High</v>
      </c>
      <c r="K670" t="b">
        <v>0</v>
      </c>
      <c r="L670" t="b">
        <v>1</v>
      </c>
      <c r="M670" t="b">
        <v>0</v>
      </c>
    </row>
    <row r="671" spans="1:13" hidden="1" x14ac:dyDescent="0.3">
      <c r="A671">
        <v>37</v>
      </c>
      <c r="B671" t="s">
        <v>12</v>
      </c>
      <c r="C671" s="1">
        <v>2</v>
      </c>
      <c r="D671" t="s">
        <v>13</v>
      </c>
      <c r="E671" t="s">
        <v>20</v>
      </c>
      <c r="F671" t="s">
        <v>22</v>
      </c>
      <c r="G671" t="s">
        <v>23</v>
      </c>
      <c r="H671" t="s">
        <v>24</v>
      </c>
      <c r="I671" s="3">
        <v>19336</v>
      </c>
      <c r="J671" s="3" t="str">
        <f>IF(I671&gt;16000, "High", IF(I671&gt;=12000, IF(I671&lt;=15000, "Medium", "High"), "Low"))</f>
        <v>High</v>
      </c>
      <c r="K671" t="b">
        <v>1</v>
      </c>
      <c r="L671" t="b">
        <v>1</v>
      </c>
      <c r="M671" t="b">
        <v>0</v>
      </c>
    </row>
    <row r="672" spans="1:13" hidden="1" x14ac:dyDescent="0.3">
      <c r="A672">
        <v>35</v>
      </c>
      <c r="B672" t="s">
        <v>12</v>
      </c>
      <c r="C672" s="1">
        <v>3</v>
      </c>
      <c r="D672" t="s">
        <v>13</v>
      </c>
      <c r="E672" t="s">
        <v>20</v>
      </c>
      <c r="F672" t="s">
        <v>22</v>
      </c>
      <c r="G672" t="s">
        <v>29</v>
      </c>
      <c r="H672" t="s">
        <v>17</v>
      </c>
      <c r="I672" s="3">
        <v>13253</v>
      </c>
      <c r="J672" s="3" t="str">
        <f>IF(I672&gt;16000, "High", IF(I672&gt;=12000, IF(I672&lt;=15000, "Medium", "High"), "Low"))</f>
        <v>Medium</v>
      </c>
      <c r="K672" t="b">
        <v>0</v>
      </c>
      <c r="L672" t="b">
        <v>0</v>
      </c>
      <c r="M672" t="b">
        <v>0</v>
      </c>
    </row>
    <row r="673" spans="1:13" hidden="1" x14ac:dyDescent="0.3">
      <c r="A673">
        <v>64</v>
      </c>
      <c r="B673" t="s">
        <v>12</v>
      </c>
      <c r="C673" s="1">
        <v>3</v>
      </c>
      <c r="D673" t="s">
        <v>19</v>
      </c>
      <c r="E673" t="s">
        <v>14</v>
      </c>
      <c r="F673" t="s">
        <v>27</v>
      </c>
      <c r="G673" t="s">
        <v>16</v>
      </c>
      <c r="H673" t="s">
        <v>21</v>
      </c>
      <c r="I673" s="3">
        <v>13782</v>
      </c>
      <c r="J673" s="3" t="str">
        <f>IF(I673&gt;16000, "High", IF(I673&gt;=12000, IF(I673&lt;=15000, "Medium", "High"), "Low"))</f>
        <v>Medium</v>
      </c>
      <c r="K673" t="b">
        <v>0</v>
      </c>
      <c r="L673" t="b">
        <v>0</v>
      </c>
      <c r="M673" t="b">
        <v>1</v>
      </c>
    </row>
    <row r="674" spans="1:13" hidden="1" x14ac:dyDescent="0.3">
      <c r="A674">
        <v>58</v>
      </c>
      <c r="B674" t="s">
        <v>12</v>
      </c>
      <c r="C674" s="1">
        <v>1</v>
      </c>
      <c r="D674" t="s">
        <v>13</v>
      </c>
      <c r="E674" t="s">
        <v>14</v>
      </c>
      <c r="F674" t="s">
        <v>27</v>
      </c>
      <c r="G674" t="s">
        <v>16</v>
      </c>
      <c r="H674" t="s">
        <v>17</v>
      </c>
      <c r="I674" s="3">
        <v>16957</v>
      </c>
      <c r="J674" s="3" t="str">
        <f>IF(I674&gt;16000, "High", IF(I674&gt;=12000, IF(I674&lt;=15000, "Medium", "High"), "Low"))</f>
        <v>High</v>
      </c>
      <c r="K674" t="b">
        <v>0</v>
      </c>
      <c r="L674" t="b">
        <v>0</v>
      </c>
      <c r="M674" t="b">
        <v>0</v>
      </c>
    </row>
    <row r="675" spans="1:13" hidden="1" x14ac:dyDescent="0.3">
      <c r="A675">
        <v>31</v>
      </c>
      <c r="B675" t="s">
        <v>18</v>
      </c>
      <c r="C675" s="1">
        <v>3</v>
      </c>
      <c r="D675" t="s">
        <v>28</v>
      </c>
      <c r="E675" t="s">
        <v>20</v>
      </c>
      <c r="F675" t="s">
        <v>15</v>
      </c>
      <c r="G675" t="s">
        <v>29</v>
      </c>
      <c r="H675" t="s">
        <v>24</v>
      </c>
      <c r="I675" s="3">
        <v>10766</v>
      </c>
      <c r="J675" s="3" t="str">
        <f>IF(I675&gt;16000, "High", IF(I675&gt;=12000, IF(I675&lt;=15000, "Medium", "High"), "Low"))</f>
        <v>Low</v>
      </c>
      <c r="K675" t="b">
        <v>1</v>
      </c>
      <c r="L675" t="b">
        <v>1</v>
      </c>
      <c r="M675" t="b">
        <v>1</v>
      </c>
    </row>
    <row r="676" spans="1:13" hidden="1" x14ac:dyDescent="0.3">
      <c r="A676">
        <v>32</v>
      </c>
      <c r="B676" t="s">
        <v>12</v>
      </c>
      <c r="C676" s="1">
        <v>6</v>
      </c>
      <c r="D676" t="s">
        <v>19</v>
      </c>
      <c r="E676" t="s">
        <v>26</v>
      </c>
      <c r="F676" t="s">
        <v>22</v>
      </c>
      <c r="G676" t="s">
        <v>29</v>
      </c>
      <c r="H676" t="s">
        <v>17</v>
      </c>
      <c r="I676" s="3">
        <v>12681</v>
      </c>
      <c r="J676" s="3" t="str">
        <f>IF(I676&gt;16000, "High", IF(I676&gt;=12000, IF(I676&lt;=15000, "Medium", "High"), "Low"))</f>
        <v>Medium</v>
      </c>
      <c r="K676" t="b">
        <v>0</v>
      </c>
      <c r="L676" t="b">
        <v>0</v>
      </c>
      <c r="M676" t="b">
        <v>1</v>
      </c>
    </row>
    <row r="677" spans="1:13" hidden="1" x14ac:dyDescent="0.3">
      <c r="A677">
        <v>48</v>
      </c>
      <c r="B677" t="s">
        <v>18</v>
      </c>
      <c r="C677" s="1">
        <v>8</v>
      </c>
      <c r="D677" t="s">
        <v>28</v>
      </c>
      <c r="E677" t="s">
        <v>20</v>
      </c>
      <c r="F677" t="s">
        <v>15</v>
      </c>
      <c r="G677" t="s">
        <v>16</v>
      </c>
      <c r="H677" t="s">
        <v>21</v>
      </c>
      <c r="I677" s="3">
        <v>17710</v>
      </c>
      <c r="J677" s="3" t="str">
        <f>IF(I677&gt;16000, "High", IF(I677&gt;=12000, IF(I677&lt;=15000, "Medium", "High"), "Low"))</f>
        <v>High</v>
      </c>
      <c r="K677" t="b">
        <v>0</v>
      </c>
      <c r="L677" t="b">
        <v>1</v>
      </c>
      <c r="M677" t="b">
        <v>1</v>
      </c>
    </row>
    <row r="678" spans="1:13" hidden="1" x14ac:dyDescent="0.3">
      <c r="A678">
        <v>18</v>
      </c>
      <c r="B678" t="s">
        <v>12</v>
      </c>
      <c r="C678" s="1">
        <v>6</v>
      </c>
      <c r="D678" t="s">
        <v>19</v>
      </c>
      <c r="E678" t="s">
        <v>14</v>
      </c>
      <c r="F678" t="s">
        <v>15</v>
      </c>
      <c r="G678" t="s">
        <v>29</v>
      </c>
      <c r="H678" t="s">
        <v>21</v>
      </c>
      <c r="I678" s="3">
        <v>17482</v>
      </c>
      <c r="J678" s="3" t="str">
        <f>IF(I678&gt;16000, "High", IF(I678&gt;=12000, IF(I678&lt;=15000, "Medium", "High"), "Low"))</f>
        <v>High</v>
      </c>
      <c r="K678" t="b">
        <v>1</v>
      </c>
      <c r="L678" t="b">
        <v>0</v>
      </c>
      <c r="M678" t="b">
        <v>1</v>
      </c>
    </row>
    <row r="679" spans="1:13" hidden="1" x14ac:dyDescent="0.3">
      <c r="A679">
        <v>20</v>
      </c>
      <c r="B679" t="s">
        <v>25</v>
      </c>
      <c r="C679" s="1">
        <v>5</v>
      </c>
      <c r="D679" t="s">
        <v>13</v>
      </c>
      <c r="E679" t="s">
        <v>26</v>
      </c>
      <c r="F679" t="s">
        <v>15</v>
      </c>
      <c r="G679" t="s">
        <v>23</v>
      </c>
      <c r="H679" t="s">
        <v>24</v>
      </c>
      <c r="I679" s="3">
        <v>15086</v>
      </c>
      <c r="J679" s="3" t="str">
        <f>IF(I679&gt;16000, "High", IF(I679&gt;=12000, IF(I679&lt;=15000, "Medium", "High"), "Low"))</f>
        <v>High</v>
      </c>
      <c r="K679" t="b">
        <v>1</v>
      </c>
      <c r="L679" t="b">
        <v>1</v>
      </c>
      <c r="M679" t="b">
        <v>0</v>
      </c>
    </row>
    <row r="680" spans="1:13" x14ac:dyDescent="0.3">
      <c r="A680">
        <v>64</v>
      </c>
      <c r="B680" t="s">
        <v>18</v>
      </c>
      <c r="C680" s="1">
        <v>8</v>
      </c>
      <c r="D680" t="s">
        <v>19</v>
      </c>
      <c r="E680" t="s">
        <v>26</v>
      </c>
      <c r="F680" t="s">
        <v>22</v>
      </c>
      <c r="G680" t="s">
        <v>23</v>
      </c>
      <c r="H680" t="s">
        <v>17</v>
      </c>
      <c r="I680" s="3">
        <v>19551</v>
      </c>
      <c r="J680" s="3" t="str">
        <f>IF(I680&gt;16000, "High", IF(I680&gt;=12000, IF(I680&lt;=15000, "Medium", "High"), "Low"))</f>
        <v>High</v>
      </c>
      <c r="K680" t="b">
        <v>1</v>
      </c>
      <c r="L680" t="b">
        <v>1</v>
      </c>
      <c r="M680" t="b">
        <v>1</v>
      </c>
    </row>
    <row r="681" spans="1:13" hidden="1" x14ac:dyDescent="0.3">
      <c r="A681">
        <v>40</v>
      </c>
      <c r="B681" t="s">
        <v>25</v>
      </c>
      <c r="C681" s="1">
        <v>3</v>
      </c>
      <c r="D681" t="s">
        <v>19</v>
      </c>
      <c r="E681" t="s">
        <v>26</v>
      </c>
      <c r="F681" t="s">
        <v>15</v>
      </c>
      <c r="G681" t="s">
        <v>23</v>
      </c>
      <c r="H681" t="s">
        <v>17</v>
      </c>
      <c r="I681" s="3">
        <v>12665</v>
      </c>
      <c r="J681" s="3" t="str">
        <f>IF(I681&gt;16000, "High", IF(I681&gt;=12000, IF(I681&lt;=15000, "Medium", "High"), "Low"))</f>
        <v>Medium</v>
      </c>
      <c r="K681" t="b">
        <v>1</v>
      </c>
      <c r="L681" t="b">
        <v>0</v>
      </c>
      <c r="M681" t="b">
        <v>1</v>
      </c>
    </row>
    <row r="682" spans="1:13" hidden="1" x14ac:dyDescent="0.3">
      <c r="A682">
        <v>28</v>
      </c>
      <c r="B682" t="s">
        <v>18</v>
      </c>
      <c r="C682" s="1">
        <v>4</v>
      </c>
      <c r="D682" t="s">
        <v>13</v>
      </c>
      <c r="E682" t="s">
        <v>14</v>
      </c>
      <c r="F682" t="s">
        <v>15</v>
      </c>
      <c r="G682" t="s">
        <v>23</v>
      </c>
      <c r="H682" t="s">
        <v>17</v>
      </c>
      <c r="I682" s="3">
        <v>19951</v>
      </c>
      <c r="J682" s="3" t="str">
        <f>IF(I682&gt;16000, "High", IF(I682&gt;=12000, IF(I682&lt;=15000, "Medium", "High"), "Low"))</f>
        <v>High</v>
      </c>
      <c r="K682" t="b">
        <v>1</v>
      </c>
      <c r="L682" t="b">
        <v>0</v>
      </c>
      <c r="M682" t="b">
        <v>0</v>
      </c>
    </row>
    <row r="683" spans="1:13" hidden="1" x14ac:dyDescent="0.3">
      <c r="A683">
        <v>29</v>
      </c>
      <c r="B683" t="s">
        <v>25</v>
      </c>
      <c r="C683" s="1">
        <v>7</v>
      </c>
      <c r="D683" t="s">
        <v>13</v>
      </c>
      <c r="E683" t="s">
        <v>26</v>
      </c>
      <c r="F683" t="s">
        <v>27</v>
      </c>
      <c r="G683" t="s">
        <v>23</v>
      </c>
      <c r="H683" t="s">
        <v>17</v>
      </c>
      <c r="I683" s="3">
        <v>13513</v>
      </c>
      <c r="J683" s="3" t="str">
        <f>IF(I683&gt;16000, "High", IF(I683&gt;=12000, IF(I683&lt;=15000, "Medium", "High"), "Low"))</f>
        <v>Medium</v>
      </c>
      <c r="K683" t="b">
        <v>0</v>
      </c>
      <c r="L683" t="b">
        <v>1</v>
      </c>
      <c r="M683" t="b">
        <v>0</v>
      </c>
    </row>
    <row r="684" spans="1:13" hidden="1" x14ac:dyDescent="0.3">
      <c r="A684">
        <v>27</v>
      </c>
      <c r="B684" t="s">
        <v>12</v>
      </c>
      <c r="C684" s="1">
        <v>1</v>
      </c>
      <c r="D684" t="s">
        <v>28</v>
      </c>
      <c r="E684" t="s">
        <v>26</v>
      </c>
      <c r="F684" t="s">
        <v>22</v>
      </c>
      <c r="G684" t="s">
        <v>29</v>
      </c>
      <c r="H684" t="s">
        <v>21</v>
      </c>
      <c r="I684" s="3">
        <v>10495</v>
      </c>
      <c r="J684" s="3" t="str">
        <f>IF(I684&gt;16000, "High", IF(I684&gt;=12000, IF(I684&lt;=15000, "Medium", "High"), "Low"))</f>
        <v>Low</v>
      </c>
      <c r="K684" t="b">
        <v>0</v>
      </c>
      <c r="L684" t="b">
        <v>1</v>
      </c>
      <c r="M684" t="b">
        <v>0</v>
      </c>
    </row>
    <row r="685" spans="1:13" hidden="1" x14ac:dyDescent="0.3">
      <c r="A685">
        <v>49</v>
      </c>
      <c r="B685" t="s">
        <v>12</v>
      </c>
      <c r="C685" s="1">
        <v>7</v>
      </c>
      <c r="D685" t="s">
        <v>28</v>
      </c>
      <c r="E685" t="s">
        <v>14</v>
      </c>
      <c r="F685" t="s">
        <v>22</v>
      </c>
      <c r="G685" t="s">
        <v>29</v>
      </c>
      <c r="H685" t="s">
        <v>17</v>
      </c>
      <c r="I685" s="3">
        <v>15822</v>
      </c>
      <c r="J685" s="3" t="str">
        <f>IF(I685&gt;16000, "High", IF(I685&gt;=12000, IF(I685&lt;=15000, "Medium", "High"), "Low"))</f>
        <v>High</v>
      </c>
      <c r="K685" t="b">
        <v>0</v>
      </c>
      <c r="L685" t="b">
        <v>1</v>
      </c>
      <c r="M685" t="b">
        <v>1</v>
      </c>
    </row>
    <row r="686" spans="1:13" hidden="1" x14ac:dyDescent="0.3">
      <c r="A686">
        <v>33</v>
      </c>
      <c r="B686" t="s">
        <v>12</v>
      </c>
      <c r="C686" s="1">
        <v>1</v>
      </c>
      <c r="D686" t="s">
        <v>13</v>
      </c>
      <c r="E686" t="s">
        <v>26</v>
      </c>
      <c r="F686" t="s">
        <v>15</v>
      </c>
      <c r="G686" t="s">
        <v>23</v>
      </c>
      <c r="H686" t="s">
        <v>17</v>
      </c>
      <c r="I686" s="3">
        <v>12072</v>
      </c>
      <c r="J686" s="3" t="str">
        <f>IF(I686&gt;16000, "High", IF(I686&gt;=12000, IF(I686&lt;=15000, "Medium", "High"), "Low"))</f>
        <v>Medium</v>
      </c>
      <c r="K686" t="b">
        <v>1</v>
      </c>
      <c r="L686" t="b">
        <v>0</v>
      </c>
      <c r="M686" t="b">
        <v>0</v>
      </c>
    </row>
    <row r="687" spans="1:13" hidden="1" x14ac:dyDescent="0.3">
      <c r="A687">
        <v>25</v>
      </c>
      <c r="B687" t="s">
        <v>18</v>
      </c>
      <c r="C687" s="1">
        <v>2</v>
      </c>
      <c r="D687" t="s">
        <v>13</v>
      </c>
      <c r="E687" t="s">
        <v>20</v>
      </c>
      <c r="F687" t="s">
        <v>27</v>
      </c>
      <c r="G687" t="s">
        <v>29</v>
      </c>
      <c r="H687" t="s">
        <v>17</v>
      </c>
      <c r="I687" s="3">
        <v>17795</v>
      </c>
      <c r="J687" s="3" t="str">
        <f>IF(I687&gt;16000, "High", IF(I687&gt;=12000, IF(I687&lt;=15000, "Medium", "High"), "Low"))</f>
        <v>High</v>
      </c>
      <c r="K687" t="b">
        <v>1</v>
      </c>
      <c r="L687" t="b">
        <v>1</v>
      </c>
      <c r="M687" t="b">
        <v>1</v>
      </c>
    </row>
    <row r="688" spans="1:13" hidden="1" x14ac:dyDescent="0.3">
      <c r="A688">
        <v>55</v>
      </c>
      <c r="B688" t="s">
        <v>25</v>
      </c>
      <c r="C688" s="1">
        <v>4</v>
      </c>
      <c r="D688" t="s">
        <v>13</v>
      </c>
      <c r="E688" t="s">
        <v>14</v>
      </c>
      <c r="F688" t="s">
        <v>22</v>
      </c>
      <c r="G688" t="s">
        <v>29</v>
      </c>
      <c r="H688" t="s">
        <v>24</v>
      </c>
      <c r="I688" s="3">
        <v>18529</v>
      </c>
      <c r="J688" s="3" t="str">
        <f>IF(I688&gt;16000, "High", IF(I688&gt;=12000, IF(I688&lt;=15000, "Medium", "High"), "Low"))</f>
        <v>High</v>
      </c>
      <c r="K688" t="b">
        <v>1</v>
      </c>
      <c r="L688" t="b">
        <v>1</v>
      </c>
      <c r="M688" t="b">
        <v>1</v>
      </c>
    </row>
    <row r="689" spans="1:13" hidden="1" x14ac:dyDescent="0.3">
      <c r="A689">
        <v>29</v>
      </c>
      <c r="B689" t="s">
        <v>12</v>
      </c>
      <c r="C689" s="1">
        <v>1</v>
      </c>
      <c r="D689" t="s">
        <v>19</v>
      </c>
      <c r="E689" t="s">
        <v>20</v>
      </c>
      <c r="F689" t="s">
        <v>15</v>
      </c>
      <c r="G689" t="s">
        <v>23</v>
      </c>
      <c r="H689" t="s">
        <v>21</v>
      </c>
      <c r="I689" s="3">
        <v>13949</v>
      </c>
      <c r="J689" s="3" t="str">
        <f>IF(I689&gt;16000, "High", IF(I689&gt;=12000, IF(I689&lt;=15000, "Medium", "High"), "Low"))</f>
        <v>Medium</v>
      </c>
      <c r="K689" t="b">
        <v>0</v>
      </c>
      <c r="L689" t="b">
        <v>1</v>
      </c>
      <c r="M689" t="b">
        <v>0</v>
      </c>
    </row>
    <row r="690" spans="1:13" hidden="1" x14ac:dyDescent="0.3">
      <c r="A690">
        <v>41</v>
      </c>
      <c r="B690" t="s">
        <v>25</v>
      </c>
      <c r="C690" s="1">
        <v>9</v>
      </c>
      <c r="D690" t="s">
        <v>19</v>
      </c>
      <c r="E690" t="s">
        <v>14</v>
      </c>
      <c r="F690" t="s">
        <v>15</v>
      </c>
      <c r="G690" t="s">
        <v>29</v>
      </c>
      <c r="H690" t="s">
        <v>21</v>
      </c>
      <c r="I690" s="3">
        <v>16033</v>
      </c>
      <c r="J690" s="3" t="str">
        <f>IF(I690&gt;16000, "High", IF(I690&gt;=12000, IF(I690&lt;=15000, "Medium", "High"), "Low"))</f>
        <v>High</v>
      </c>
      <c r="K690" t="b">
        <v>1</v>
      </c>
      <c r="L690" t="b">
        <v>1</v>
      </c>
      <c r="M690" t="b">
        <v>0</v>
      </c>
    </row>
    <row r="691" spans="1:13" hidden="1" x14ac:dyDescent="0.3">
      <c r="A691">
        <v>45</v>
      </c>
      <c r="B691" t="s">
        <v>25</v>
      </c>
      <c r="C691" s="1">
        <v>6</v>
      </c>
      <c r="D691" t="s">
        <v>19</v>
      </c>
      <c r="E691" t="s">
        <v>26</v>
      </c>
      <c r="F691" t="s">
        <v>27</v>
      </c>
      <c r="G691" t="s">
        <v>29</v>
      </c>
      <c r="H691" t="s">
        <v>21</v>
      </c>
      <c r="I691" s="3">
        <v>18328</v>
      </c>
      <c r="J691" s="3" t="str">
        <f>IF(I691&gt;16000, "High", IF(I691&gt;=12000, IF(I691&lt;=15000, "Medium", "High"), "Low"))</f>
        <v>High</v>
      </c>
      <c r="K691" t="b">
        <v>1</v>
      </c>
      <c r="L691" t="b">
        <v>1</v>
      </c>
      <c r="M691" t="b">
        <v>0</v>
      </c>
    </row>
    <row r="692" spans="1:13" hidden="1" x14ac:dyDescent="0.3">
      <c r="A692">
        <v>25</v>
      </c>
      <c r="B692" t="s">
        <v>12</v>
      </c>
      <c r="C692" s="1">
        <v>1</v>
      </c>
      <c r="D692" t="s">
        <v>13</v>
      </c>
      <c r="E692" t="s">
        <v>26</v>
      </c>
      <c r="F692" t="s">
        <v>15</v>
      </c>
      <c r="G692" t="s">
        <v>29</v>
      </c>
      <c r="H692" t="s">
        <v>24</v>
      </c>
      <c r="I692" s="3">
        <v>12555</v>
      </c>
      <c r="J692" s="3" t="str">
        <f>IF(I692&gt;16000, "High", IF(I692&gt;=12000, IF(I692&lt;=15000, "Medium", "High"), "Low"))</f>
        <v>Medium</v>
      </c>
      <c r="K692" t="b">
        <v>0</v>
      </c>
      <c r="L692" t="b">
        <v>1</v>
      </c>
      <c r="M692" t="b">
        <v>1</v>
      </c>
    </row>
    <row r="693" spans="1:13" hidden="1" x14ac:dyDescent="0.3">
      <c r="A693">
        <v>45</v>
      </c>
      <c r="B693" t="s">
        <v>12</v>
      </c>
      <c r="C693" s="1">
        <v>1</v>
      </c>
      <c r="D693" t="s">
        <v>28</v>
      </c>
      <c r="E693" t="s">
        <v>26</v>
      </c>
      <c r="F693" t="s">
        <v>22</v>
      </c>
      <c r="G693" t="s">
        <v>23</v>
      </c>
      <c r="H693" t="s">
        <v>21</v>
      </c>
      <c r="I693" s="3">
        <v>16370</v>
      </c>
      <c r="J693" s="3" t="str">
        <f>IF(I693&gt;16000, "High", IF(I693&gt;=12000, IF(I693&lt;=15000, "Medium", "High"), "Low"))</f>
        <v>High</v>
      </c>
      <c r="K693" t="b">
        <v>0</v>
      </c>
      <c r="L693" t="b">
        <v>0</v>
      </c>
      <c r="M693" t="b">
        <v>1</v>
      </c>
    </row>
    <row r="694" spans="1:13" hidden="1" x14ac:dyDescent="0.3">
      <c r="A694">
        <v>53</v>
      </c>
      <c r="B694" t="s">
        <v>25</v>
      </c>
      <c r="C694" s="1">
        <v>6</v>
      </c>
      <c r="D694" t="s">
        <v>13</v>
      </c>
      <c r="E694" t="s">
        <v>14</v>
      </c>
      <c r="F694" t="s">
        <v>27</v>
      </c>
      <c r="G694" t="s">
        <v>29</v>
      </c>
      <c r="H694" t="s">
        <v>24</v>
      </c>
      <c r="I694" s="3">
        <v>14415</v>
      </c>
      <c r="J694" s="3" t="str">
        <f>IF(I694&gt;16000, "High", IF(I694&gt;=12000, IF(I694&lt;=15000, "Medium", "High"), "Low"))</f>
        <v>Medium</v>
      </c>
      <c r="K694" t="b">
        <v>0</v>
      </c>
      <c r="L694" t="b">
        <v>0</v>
      </c>
      <c r="M694" t="b">
        <v>1</v>
      </c>
    </row>
    <row r="695" spans="1:13" hidden="1" x14ac:dyDescent="0.3">
      <c r="A695">
        <v>43</v>
      </c>
      <c r="B695" t="s">
        <v>12</v>
      </c>
      <c r="C695" s="1">
        <v>4</v>
      </c>
      <c r="D695" t="s">
        <v>19</v>
      </c>
      <c r="E695" t="s">
        <v>20</v>
      </c>
      <c r="F695" t="s">
        <v>22</v>
      </c>
      <c r="G695" t="s">
        <v>16</v>
      </c>
      <c r="H695" t="s">
        <v>24</v>
      </c>
      <c r="I695" s="3">
        <v>15959</v>
      </c>
      <c r="J695" s="3" t="str">
        <f>IF(I695&gt;16000, "High", IF(I695&gt;=12000, IF(I695&lt;=15000, "Medium", "High"), "Low"))</f>
        <v>High</v>
      </c>
      <c r="K695" t="b">
        <v>1</v>
      </c>
      <c r="L695" t="b">
        <v>1</v>
      </c>
      <c r="M695" t="b">
        <v>1</v>
      </c>
    </row>
    <row r="696" spans="1:13" hidden="1" x14ac:dyDescent="0.3">
      <c r="A696">
        <v>25</v>
      </c>
      <c r="B696" t="s">
        <v>12</v>
      </c>
      <c r="C696" s="1">
        <v>4</v>
      </c>
      <c r="D696" t="s">
        <v>19</v>
      </c>
      <c r="E696" t="s">
        <v>20</v>
      </c>
      <c r="F696" t="s">
        <v>22</v>
      </c>
      <c r="G696" t="s">
        <v>16</v>
      </c>
      <c r="H696" t="s">
        <v>21</v>
      </c>
      <c r="I696" s="3">
        <v>19107</v>
      </c>
      <c r="J696" s="3" t="str">
        <f>IF(I696&gt;16000, "High", IF(I696&gt;=12000, IF(I696&lt;=15000, "Medium", "High"), "Low"))</f>
        <v>High</v>
      </c>
      <c r="K696" t="b">
        <v>0</v>
      </c>
      <c r="L696" t="b">
        <v>0</v>
      </c>
      <c r="M696" t="b">
        <v>1</v>
      </c>
    </row>
    <row r="697" spans="1:13" hidden="1" x14ac:dyDescent="0.3">
      <c r="A697">
        <v>45</v>
      </c>
      <c r="B697" t="s">
        <v>12</v>
      </c>
      <c r="C697" s="1">
        <v>6</v>
      </c>
      <c r="D697" t="s">
        <v>13</v>
      </c>
      <c r="E697" t="s">
        <v>14</v>
      </c>
      <c r="F697" t="s">
        <v>22</v>
      </c>
      <c r="G697" t="s">
        <v>23</v>
      </c>
      <c r="H697" t="s">
        <v>17</v>
      </c>
      <c r="I697" s="3">
        <v>15993</v>
      </c>
      <c r="J697" s="3" t="str">
        <f>IF(I697&gt;16000, "High", IF(I697&gt;=12000, IF(I697&lt;=15000, "Medium", "High"), "Low"))</f>
        <v>High</v>
      </c>
      <c r="K697" t="b">
        <v>1</v>
      </c>
      <c r="L697" t="b">
        <v>0</v>
      </c>
      <c r="M697" t="b">
        <v>1</v>
      </c>
    </row>
    <row r="698" spans="1:13" hidden="1" x14ac:dyDescent="0.3">
      <c r="A698">
        <v>45</v>
      </c>
      <c r="B698" t="s">
        <v>18</v>
      </c>
      <c r="C698" s="1">
        <v>7</v>
      </c>
      <c r="D698" t="s">
        <v>13</v>
      </c>
      <c r="E698" t="s">
        <v>14</v>
      </c>
      <c r="F698" t="s">
        <v>15</v>
      </c>
      <c r="G698" t="s">
        <v>16</v>
      </c>
      <c r="H698" t="s">
        <v>17</v>
      </c>
      <c r="I698" s="3">
        <v>15021</v>
      </c>
      <c r="J698" s="3" t="str">
        <f>IF(I698&gt;16000, "High", IF(I698&gt;=12000, IF(I698&lt;=15000, "Medium", "High"), "Low"))</f>
        <v>High</v>
      </c>
      <c r="K698" t="b">
        <v>1</v>
      </c>
      <c r="L698" t="b">
        <v>1</v>
      </c>
      <c r="M698" t="b">
        <v>0</v>
      </c>
    </row>
    <row r="699" spans="1:13" hidden="1" x14ac:dyDescent="0.3">
      <c r="A699">
        <v>54</v>
      </c>
      <c r="B699" t="s">
        <v>25</v>
      </c>
      <c r="C699" s="1">
        <v>9</v>
      </c>
      <c r="D699" t="s">
        <v>19</v>
      </c>
      <c r="E699" t="s">
        <v>20</v>
      </c>
      <c r="F699" t="s">
        <v>15</v>
      </c>
      <c r="G699" t="s">
        <v>23</v>
      </c>
      <c r="H699" t="s">
        <v>21</v>
      </c>
      <c r="I699" s="3">
        <v>12907</v>
      </c>
      <c r="J699" s="3" t="str">
        <f>IF(I699&gt;16000, "High", IF(I699&gt;=12000, IF(I699&lt;=15000, "Medium", "High"), "Low"))</f>
        <v>Medium</v>
      </c>
      <c r="K699" t="b">
        <v>0</v>
      </c>
      <c r="L699" t="b">
        <v>1</v>
      </c>
      <c r="M699" t="b">
        <v>1</v>
      </c>
    </row>
    <row r="700" spans="1:13" hidden="1" x14ac:dyDescent="0.3">
      <c r="A700">
        <v>58</v>
      </c>
      <c r="B700" t="s">
        <v>25</v>
      </c>
      <c r="C700" s="1">
        <v>5</v>
      </c>
      <c r="D700" t="s">
        <v>19</v>
      </c>
      <c r="E700" t="s">
        <v>20</v>
      </c>
      <c r="F700" t="s">
        <v>22</v>
      </c>
      <c r="G700" t="s">
        <v>16</v>
      </c>
      <c r="H700" t="s">
        <v>21</v>
      </c>
      <c r="I700" s="3">
        <v>12914</v>
      </c>
      <c r="J700" s="3" t="str">
        <f>IF(I700&gt;16000, "High", IF(I700&gt;=12000, IF(I700&lt;=15000, "Medium", "High"), "Low"))</f>
        <v>Medium</v>
      </c>
      <c r="K700" t="b">
        <v>0</v>
      </c>
      <c r="L700" t="b">
        <v>0</v>
      </c>
      <c r="M700" t="b">
        <v>0</v>
      </c>
    </row>
    <row r="701" spans="1:13" x14ac:dyDescent="0.3">
      <c r="A701">
        <v>41</v>
      </c>
      <c r="B701" t="s">
        <v>18</v>
      </c>
      <c r="C701" s="1">
        <v>6</v>
      </c>
      <c r="D701" t="s">
        <v>19</v>
      </c>
      <c r="E701" t="s">
        <v>26</v>
      </c>
      <c r="F701" t="s">
        <v>27</v>
      </c>
      <c r="G701" t="s">
        <v>23</v>
      </c>
      <c r="H701" t="s">
        <v>17</v>
      </c>
      <c r="I701" s="3">
        <v>10378</v>
      </c>
      <c r="J701" s="3" t="str">
        <f>IF(I701&gt;16000, "High", IF(I701&gt;=12000, IF(I701&lt;=15000, "Medium", "High"), "Low"))</f>
        <v>Low</v>
      </c>
      <c r="K701" t="b">
        <v>1</v>
      </c>
      <c r="L701" t="b">
        <v>1</v>
      </c>
      <c r="M701" t="b">
        <v>1</v>
      </c>
    </row>
    <row r="702" spans="1:13" hidden="1" x14ac:dyDescent="0.3">
      <c r="A702">
        <v>44</v>
      </c>
      <c r="B702" t="s">
        <v>25</v>
      </c>
      <c r="C702" s="1">
        <v>4</v>
      </c>
      <c r="D702" t="s">
        <v>13</v>
      </c>
      <c r="E702" t="s">
        <v>20</v>
      </c>
      <c r="F702" t="s">
        <v>27</v>
      </c>
      <c r="G702" t="s">
        <v>16</v>
      </c>
      <c r="H702" t="s">
        <v>21</v>
      </c>
      <c r="I702" s="3">
        <v>19190</v>
      </c>
      <c r="J702" s="3" t="str">
        <f>IF(I702&gt;16000, "High", IF(I702&gt;=12000, IF(I702&lt;=15000, "Medium", "High"), "Low"))</f>
        <v>High</v>
      </c>
      <c r="K702" t="b">
        <v>0</v>
      </c>
      <c r="L702" t="b">
        <v>0</v>
      </c>
      <c r="M702" t="b">
        <v>0</v>
      </c>
    </row>
    <row r="703" spans="1:13" hidden="1" x14ac:dyDescent="0.3">
      <c r="A703">
        <v>34</v>
      </c>
      <c r="B703" t="s">
        <v>12</v>
      </c>
      <c r="C703" s="1">
        <v>2</v>
      </c>
      <c r="D703" t="s">
        <v>19</v>
      </c>
      <c r="E703" t="s">
        <v>14</v>
      </c>
      <c r="F703" t="s">
        <v>27</v>
      </c>
      <c r="G703" t="s">
        <v>23</v>
      </c>
      <c r="H703" t="s">
        <v>24</v>
      </c>
      <c r="I703" s="3">
        <v>15085</v>
      </c>
      <c r="J703" s="3" t="str">
        <f>IF(I703&gt;16000, "High", IF(I703&gt;=12000, IF(I703&lt;=15000, "Medium", "High"), "Low"))</f>
        <v>High</v>
      </c>
      <c r="K703" t="b">
        <v>0</v>
      </c>
      <c r="L703" t="b">
        <v>0</v>
      </c>
      <c r="M703" t="b">
        <v>0</v>
      </c>
    </row>
    <row r="704" spans="1:13" hidden="1" x14ac:dyDescent="0.3">
      <c r="A704">
        <v>26</v>
      </c>
      <c r="B704" t="s">
        <v>25</v>
      </c>
      <c r="C704" s="1">
        <v>3</v>
      </c>
      <c r="D704" t="s">
        <v>19</v>
      </c>
      <c r="E704" t="s">
        <v>14</v>
      </c>
      <c r="F704" t="s">
        <v>15</v>
      </c>
      <c r="G704" t="s">
        <v>23</v>
      </c>
      <c r="H704" t="s">
        <v>21</v>
      </c>
      <c r="I704" s="3">
        <v>16546</v>
      </c>
      <c r="J704" s="3" t="str">
        <f>IF(I704&gt;16000, "High", IF(I704&gt;=12000, IF(I704&lt;=15000, "Medium", "High"), "Low"))</f>
        <v>High</v>
      </c>
      <c r="K704" t="b">
        <v>1</v>
      </c>
      <c r="L704" t="b">
        <v>0</v>
      </c>
      <c r="M704" t="b">
        <v>0</v>
      </c>
    </row>
    <row r="705" spans="1:13" hidden="1" x14ac:dyDescent="0.3">
      <c r="A705">
        <v>50</v>
      </c>
      <c r="B705" t="s">
        <v>12</v>
      </c>
      <c r="C705" s="1">
        <v>1</v>
      </c>
      <c r="D705" t="s">
        <v>28</v>
      </c>
      <c r="E705" t="s">
        <v>26</v>
      </c>
      <c r="F705" t="s">
        <v>15</v>
      </c>
      <c r="G705" t="s">
        <v>29</v>
      </c>
      <c r="H705" t="s">
        <v>17</v>
      </c>
      <c r="I705" s="3">
        <v>10395</v>
      </c>
      <c r="J705" s="3" t="str">
        <f>IF(I705&gt;16000, "High", IF(I705&gt;=12000, IF(I705&lt;=15000, "Medium", "High"), "Low"))</f>
        <v>Low</v>
      </c>
      <c r="K705" t="b">
        <v>1</v>
      </c>
      <c r="L705" t="b">
        <v>1</v>
      </c>
      <c r="M705" t="b">
        <v>1</v>
      </c>
    </row>
    <row r="706" spans="1:13" hidden="1" x14ac:dyDescent="0.3">
      <c r="A706">
        <v>37</v>
      </c>
      <c r="B706" t="s">
        <v>18</v>
      </c>
      <c r="C706" s="1">
        <v>6</v>
      </c>
      <c r="D706" t="s">
        <v>13</v>
      </c>
      <c r="E706" t="s">
        <v>20</v>
      </c>
      <c r="F706" t="s">
        <v>27</v>
      </c>
      <c r="G706" t="s">
        <v>23</v>
      </c>
      <c r="H706" t="s">
        <v>17</v>
      </c>
      <c r="I706" s="3">
        <v>10938</v>
      </c>
      <c r="J706" s="3" t="str">
        <f>IF(I706&gt;16000, "High", IF(I706&gt;=12000, IF(I706&lt;=15000, "Medium", "High"), "Low"))</f>
        <v>Low</v>
      </c>
      <c r="K706" t="b">
        <v>1</v>
      </c>
      <c r="L706" t="b">
        <v>0</v>
      </c>
      <c r="M706" t="b">
        <v>1</v>
      </c>
    </row>
    <row r="707" spans="1:13" hidden="1" x14ac:dyDescent="0.3">
      <c r="A707">
        <v>30</v>
      </c>
      <c r="B707" t="s">
        <v>12</v>
      </c>
      <c r="C707" s="1">
        <v>6</v>
      </c>
      <c r="D707" t="s">
        <v>28</v>
      </c>
      <c r="E707" t="s">
        <v>26</v>
      </c>
      <c r="F707" t="s">
        <v>22</v>
      </c>
      <c r="G707" t="s">
        <v>16</v>
      </c>
      <c r="H707" t="s">
        <v>21</v>
      </c>
      <c r="I707" s="3">
        <v>19828</v>
      </c>
      <c r="J707" s="3" t="str">
        <f>IF(I707&gt;16000, "High", IF(I707&gt;=12000, IF(I707&lt;=15000, "Medium", "High"), "Low"))</f>
        <v>High</v>
      </c>
      <c r="K707" t="b">
        <v>0</v>
      </c>
      <c r="L707" t="b">
        <v>1</v>
      </c>
      <c r="M707" t="b">
        <v>1</v>
      </c>
    </row>
    <row r="708" spans="1:13" hidden="1" x14ac:dyDescent="0.3">
      <c r="A708">
        <v>45</v>
      </c>
      <c r="B708" t="s">
        <v>25</v>
      </c>
      <c r="C708" s="1">
        <v>1</v>
      </c>
      <c r="D708" t="s">
        <v>28</v>
      </c>
      <c r="E708" t="s">
        <v>14</v>
      </c>
      <c r="F708" t="s">
        <v>15</v>
      </c>
      <c r="G708" t="s">
        <v>16</v>
      </c>
      <c r="H708" t="s">
        <v>24</v>
      </c>
      <c r="I708" s="3">
        <v>12510</v>
      </c>
      <c r="J708" s="3" t="str">
        <f>IF(I708&gt;16000, "High", IF(I708&gt;=12000, IF(I708&lt;=15000, "Medium", "High"), "Low"))</f>
        <v>Medium</v>
      </c>
      <c r="K708" t="b">
        <v>1</v>
      </c>
      <c r="L708" t="b">
        <v>1</v>
      </c>
      <c r="M708" t="b">
        <v>1</v>
      </c>
    </row>
    <row r="709" spans="1:13" hidden="1" x14ac:dyDescent="0.3">
      <c r="A709">
        <v>46</v>
      </c>
      <c r="B709" t="s">
        <v>25</v>
      </c>
      <c r="C709" s="1">
        <v>3</v>
      </c>
      <c r="D709" t="s">
        <v>19</v>
      </c>
      <c r="E709" t="s">
        <v>14</v>
      </c>
      <c r="F709" t="s">
        <v>22</v>
      </c>
      <c r="G709" t="s">
        <v>23</v>
      </c>
      <c r="H709" t="s">
        <v>17</v>
      </c>
      <c r="I709" s="3">
        <v>14636</v>
      </c>
      <c r="J709" s="3" t="str">
        <f>IF(I709&gt;16000, "High", IF(I709&gt;=12000, IF(I709&lt;=15000, "Medium", "High"), "Low"))</f>
        <v>Medium</v>
      </c>
      <c r="K709" t="b">
        <v>0</v>
      </c>
      <c r="L709" t="b">
        <v>1</v>
      </c>
      <c r="M709" t="b">
        <v>0</v>
      </c>
    </row>
    <row r="710" spans="1:13" hidden="1" x14ac:dyDescent="0.3">
      <c r="A710">
        <v>30</v>
      </c>
      <c r="B710" t="s">
        <v>25</v>
      </c>
      <c r="C710" s="1">
        <v>5</v>
      </c>
      <c r="D710" t="s">
        <v>13</v>
      </c>
      <c r="E710" t="s">
        <v>26</v>
      </c>
      <c r="F710" t="s">
        <v>27</v>
      </c>
      <c r="G710" t="s">
        <v>23</v>
      </c>
      <c r="H710" t="s">
        <v>24</v>
      </c>
      <c r="I710" s="3">
        <v>11649</v>
      </c>
      <c r="J710" s="3" t="str">
        <f>IF(I710&gt;16000, "High", IF(I710&gt;=12000, IF(I710&lt;=15000, "Medium", "High"), "Low"))</f>
        <v>Low</v>
      </c>
      <c r="K710" t="b">
        <v>0</v>
      </c>
      <c r="L710" t="b">
        <v>1</v>
      </c>
      <c r="M710" t="b">
        <v>0</v>
      </c>
    </row>
    <row r="711" spans="1:13" x14ac:dyDescent="0.3">
      <c r="A711">
        <v>43</v>
      </c>
      <c r="B711" t="s">
        <v>18</v>
      </c>
      <c r="C711" s="1">
        <v>1</v>
      </c>
      <c r="D711" t="s">
        <v>19</v>
      </c>
      <c r="E711" t="s">
        <v>14</v>
      </c>
      <c r="F711" t="s">
        <v>27</v>
      </c>
      <c r="G711" t="s">
        <v>29</v>
      </c>
      <c r="H711" t="s">
        <v>17</v>
      </c>
      <c r="I711" s="3">
        <v>11918</v>
      </c>
      <c r="J711" s="3" t="str">
        <f>IF(I711&gt;16000, "High", IF(I711&gt;=12000, IF(I711&lt;=15000, "Medium", "High"), "Low"))</f>
        <v>Low</v>
      </c>
      <c r="K711" t="b">
        <v>1</v>
      </c>
      <c r="L711" t="b">
        <v>0</v>
      </c>
      <c r="M711" t="b">
        <v>1</v>
      </c>
    </row>
    <row r="712" spans="1:13" hidden="1" x14ac:dyDescent="0.3">
      <c r="A712">
        <v>52</v>
      </c>
      <c r="B712" t="s">
        <v>18</v>
      </c>
      <c r="C712" s="1">
        <v>3</v>
      </c>
      <c r="D712" t="s">
        <v>13</v>
      </c>
      <c r="E712" t="s">
        <v>20</v>
      </c>
      <c r="F712" t="s">
        <v>15</v>
      </c>
      <c r="G712" t="s">
        <v>29</v>
      </c>
      <c r="H712" t="s">
        <v>21</v>
      </c>
      <c r="I712" s="3">
        <v>13435</v>
      </c>
      <c r="J712" s="3" t="str">
        <f>IF(I712&gt;16000, "High", IF(I712&gt;=12000, IF(I712&lt;=15000, "Medium", "High"), "Low"))</f>
        <v>Medium</v>
      </c>
      <c r="K712" t="b">
        <v>1</v>
      </c>
      <c r="L712" t="b">
        <v>0</v>
      </c>
      <c r="M712" t="b">
        <v>1</v>
      </c>
    </row>
    <row r="713" spans="1:13" hidden="1" x14ac:dyDescent="0.3">
      <c r="A713">
        <v>23</v>
      </c>
      <c r="B713" t="s">
        <v>25</v>
      </c>
      <c r="C713" s="1">
        <v>3</v>
      </c>
      <c r="D713" t="s">
        <v>28</v>
      </c>
      <c r="E713" t="s">
        <v>20</v>
      </c>
      <c r="F713" t="s">
        <v>27</v>
      </c>
      <c r="G713" t="s">
        <v>16</v>
      </c>
      <c r="H713" t="s">
        <v>17</v>
      </c>
      <c r="I713" s="3">
        <v>13201</v>
      </c>
      <c r="J713" s="3" t="str">
        <f>IF(I713&gt;16000, "High", IF(I713&gt;=12000, IF(I713&lt;=15000, "Medium", "High"), "Low"))</f>
        <v>Medium</v>
      </c>
      <c r="K713" t="b">
        <v>0</v>
      </c>
      <c r="L713" t="b">
        <v>1</v>
      </c>
      <c r="M713" t="b">
        <v>1</v>
      </c>
    </row>
    <row r="714" spans="1:13" hidden="1" x14ac:dyDescent="0.3">
      <c r="A714">
        <v>35</v>
      </c>
      <c r="B714" t="s">
        <v>12</v>
      </c>
      <c r="C714" s="1">
        <v>5</v>
      </c>
      <c r="D714" t="s">
        <v>13</v>
      </c>
      <c r="E714" t="s">
        <v>20</v>
      </c>
      <c r="F714" t="s">
        <v>15</v>
      </c>
      <c r="G714" t="s">
        <v>29</v>
      </c>
      <c r="H714" t="s">
        <v>21</v>
      </c>
      <c r="I714" s="3">
        <v>14179</v>
      </c>
      <c r="J714" s="3" t="str">
        <f>IF(I714&gt;16000, "High", IF(I714&gt;=12000, IF(I714&lt;=15000, "Medium", "High"), "Low"))</f>
        <v>Medium</v>
      </c>
      <c r="K714" t="b">
        <v>1</v>
      </c>
      <c r="L714" t="b">
        <v>1</v>
      </c>
      <c r="M714" t="b">
        <v>1</v>
      </c>
    </row>
    <row r="715" spans="1:13" x14ac:dyDescent="0.3">
      <c r="A715">
        <v>23</v>
      </c>
      <c r="B715" t="s">
        <v>18</v>
      </c>
      <c r="C715" s="1">
        <v>6</v>
      </c>
      <c r="D715" t="s">
        <v>19</v>
      </c>
      <c r="E715" t="s">
        <v>26</v>
      </c>
      <c r="F715" t="s">
        <v>22</v>
      </c>
      <c r="G715" t="s">
        <v>16</v>
      </c>
      <c r="H715" t="s">
        <v>17</v>
      </c>
      <c r="I715" s="3">
        <v>17280</v>
      </c>
      <c r="J715" s="3" t="str">
        <f>IF(I715&gt;16000, "High", IF(I715&gt;=12000, IF(I715&lt;=15000, "Medium", "High"), "Low"))</f>
        <v>High</v>
      </c>
      <c r="K715" t="b">
        <v>0</v>
      </c>
      <c r="L715" t="b">
        <v>1</v>
      </c>
      <c r="M715" t="b">
        <v>0</v>
      </c>
    </row>
    <row r="716" spans="1:13" hidden="1" x14ac:dyDescent="0.3">
      <c r="A716">
        <v>64</v>
      </c>
      <c r="B716" t="s">
        <v>25</v>
      </c>
      <c r="C716" s="1">
        <v>4</v>
      </c>
      <c r="D716" t="s">
        <v>19</v>
      </c>
      <c r="E716" t="s">
        <v>26</v>
      </c>
      <c r="F716" t="s">
        <v>15</v>
      </c>
      <c r="G716" t="s">
        <v>16</v>
      </c>
      <c r="H716" t="s">
        <v>24</v>
      </c>
      <c r="I716" s="3">
        <v>13237</v>
      </c>
      <c r="J716" s="3" t="str">
        <f>IF(I716&gt;16000, "High", IF(I716&gt;=12000, IF(I716&lt;=15000, "Medium", "High"), "Low"))</f>
        <v>Medium</v>
      </c>
      <c r="K716" t="b">
        <v>1</v>
      </c>
      <c r="L716" t="b">
        <v>1</v>
      </c>
      <c r="M716" t="b">
        <v>0</v>
      </c>
    </row>
    <row r="717" spans="1:13" hidden="1" x14ac:dyDescent="0.3">
      <c r="A717">
        <v>42</v>
      </c>
      <c r="B717" t="s">
        <v>25</v>
      </c>
      <c r="C717" s="1">
        <v>1</v>
      </c>
      <c r="D717" t="s">
        <v>19</v>
      </c>
      <c r="E717" t="s">
        <v>14</v>
      </c>
      <c r="F717" t="s">
        <v>27</v>
      </c>
      <c r="G717" t="s">
        <v>16</v>
      </c>
      <c r="H717" t="s">
        <v>17</v>
      </c>
      <c r="I717" s="3">
        <v>13862</v>
      </c>
      <c r="J717" s="3" t="str">
        <f>IF(I717&gt;16000, "High", IF(I717&gt;=12000, IF(I717&lt;=15000, "Medium", "High"), "Low"))</f>
        <v>Medium</v>
      </c>
      <c r="K717" t="b">
        <v>1</v>
      </c>
      <c r="L717" t="b">
        <v>1</v>
      </c>
      <c r="M717" t="b">
        <v>0</v>
      </c>
    </row>
    <row r="718" spans="1:13" hidden="1" x14ac:dyDescent="0.3">
      <c r="A718">
        <v>19</v>
      </c>
      <c r="B718" t="s">
        <v>18</v>
      </c>
      <c r="C718" s="1">
        <v>5</v>
      </c>
      <c r="D718" t="s">
        <v>13</v>
      </c>
      <c r="E718" t="s">
        <v>20</v>
      </c>
      <c r="F718" t="s">
        <v>15</v>
      </c>
      <c r="G718" t="s">
        <v>23</v>
      </c>
      <c r="H718" t="s">
        <v>17</v>
      </c>
      <c r="I718" s="3">
        <v>10058</v>
      </c>
      <c r="J718" s="3" t="str">
        <f>IF(I718&gt;16000, "High", IF(I718&gt;=12000, IF(I718&lt;=15000, "Medium", "High"), "Low"))</f>
        <v>Low</v>
      </c>
      <c r="K718" t="b">
        <v>1</v>
      </c>
      <c r="L718" t="b">
        <v>0</v>
      </c>
      <c r="M718" t="b">
        <v>1</v>
      </c>
    </row>
    <row r="719" spans="1:13" hidden="1" x14ac:dyDescent="0.3">
      <c r="A719">
        <v>27</v>
      </c>
      <c r="B719" t="s">
        <v>18</v>
      </c>
      <c r="C719" s="1">
        <v>5</v>
      </c>
      <c r="D719" t="s">
        <v>28</v>
      </c>
      <c r="E719" t="s">
        <v>20</v>
      </c>
      <c r="F719" t="s">
        <v>22</v>
      </c>
      <c r="G719" t="s">
        <v>23</v>
      </c>
      <c r="H719" t="s">
        <v>24</v>
      </c>
      <c r="I719" s="3">
        <v>14938</v>
      </c>
      <c r="J719" s="3" t="str">
        <f>IF(I719&gt;16000, "High", IF(I719&gt;=12000, IF(I719&lt;=15000, "Medium", "High"), "Low"))</f>
        <v>Medium</v>
      </c>
      <c r="K719" t="b">
        <v>1</v>
      </c>
      <c r="L719" t="b">
        <v>1</v>
      </c>
      <c r="M719" t="b">
        <v>1</v>
      </c>
    </row>
    <row r="720" spans="1:13" hidden="1" x14ac:dyDescent="0.3">
      <c r="A720">
        <v>47</v>
      </c>
      <c r="B720" t="s">
        <v>18</v>
      </c>
      <c r="C720" s="1">
        <v>4</v>
      </c>
      <c r="D720" t="s">
        <v>28</v>
      </c>
      <c r="E720" t="s">
        <v>20</v>
      </c>
      <c r="F720" t="s">
        <v>22</v>
      </c>
      <c r="G720" t="s">
        <v>29</v>
      </c>
      <c r="H720" t="s">
        <v>17</v>
      </c>
      <c r="I720" s="3">
        <v>12971</v>
      </c>
      <c r="J720" s="3" t="str">
        <f>IF(I720&gt;16000, "High", IF(I720&gt;=12000, IF(I720&lt;=15000, "Medium", "High"), "Low"))</f>
        <v>Medium</v>
      </c>
      <c r="K720" t="b">
        <v>1</v>
      </c>
      <c r="L720" t="b">
        <v>1</v>
      </c>
      <c r="M720" t="b">
        <v>0</v>
      </c>
    </row>
    <row r="721" spans="1:13" hidden="1" x14ac:dyDescent="0.3">
      <c r="A721">
        <v>62</v>
      </c>
      <c r="B721" t="s">
        <v>12</v>
      </c>
      <c r="C721" s="1">
        <v>6</v>
      </c>
      <c r="D721" t="s">
        <v>13</v>
      </c>
      <c r="E721" t="s">
        <v>26</v>
      </c>
      <c r="F721" t="s">
        <v>22</v>
      </c>
      <c r="G721" t="s">
        <v>23</v>
      </c>
      <c r="H721" t="s">
        <v>17</v>
      </c>
      <c r="I721" s="3">
        <v>19719</v>
      </c>
      <c r="J721" s="3" t="str">
        <f>IF(I721&gt;16000, "High", IF(I721&gt;=12000, IF(I721&lt;=15000, "Medium", "High"), "Low"))</f>
        <v>High</v>
      </c>
      <c r="K721" t="b">
        <v>0</v>
      </c>
      <c r="L721" t="b">
        <v>0</v>
      </c>
      <c r="M721" t="b">
        <v>0</v>
      </c>
    </row>
    <row r="722" spans="1:13" hidden="1" x14ac:dyDescent="0.3">
      <c r="A722">
        <v>22</v>
      </c>
      <c r="B722" t="s">
        <v>12</v>
      </c>
      <c r="C722" s="1">
        <v>4</v>
      </c>
      <c r="D722" t="s">
        <v>19</v>
      </c>
      <c r="E722" t="s">
        <v>20</v>
      </c>
      <c r="F722" t="s">
        <v>15</v>
      </c>
      <c r="G722" t="s">
        <v>23</v>
      </c>
      <c r="H722" t="s">
        <v>21</v>
      </c>
      <c r="I722" s="3">
        <v>18314</v>
      </c>
      <c r="J722" s="3" t="str">
        <f>IF(I722&gt;16000, "High", IF(I722&gt;=12000, IF(I722&lt;=15000, "Medium", "High"), "Low"))</f>
        <v>High</v>
      </c>
      <c r="K722" t="b">
        <v>1</v>
      </c>
      <c r="L722" t="b">
        <v>1</v>
      </c>
      <c r="M722" t="b">
        <v>0</v>
      </c>
    </row>
    <row r="723" spans="1:13" hidden="1" x14ac:dyDescent="0.3">
      <c r="A723">
        <v>50</v>
      </c>
      <c r="B723" t="s">
        <v>25</v>
      </c>
      <c r="C723" s="1">
        <v>7</v>
      </c>
      <c r="D723" t="s">
        <v>28</v>
      </c>
      <c r="E723" t="s">
        <v>26</v>
      </c>
      <c r="F723" t="s">
        <v>15</v>
      </c>
      <c r="G723" t="s">
        <v>16</v>
      </c>
      <c r="H723" t="s">
        <v>24</v>
      </c>
      <c r="I723" s="3">
        <v>19628</v>
      </c>
      <c r="J723" s="3" t="str">
        <f>IF(I723&gt;16000, "High", IF(I723&gt;=12000, IF(I723&lt;=15000, "Medium", "High"), "Low"))</f>
        <v>High</v>
      </c>
      <c r="K723" t="b">
        <v>1</v>
      </c>
      <c r="L723" t="b">
        <v>0</v>
      </c>
      <c r="M723" t="b">
        <v>0</v>
      </c>
    </row>
    <row r="724" spans="1:13" x14ac:dyDescent="0.3">
      <c r="A724">
        <v>19</v>
      </c>
      <c r="B724" t="s">
        <v>18</v>
      </c>
      <c r="C724" s="1">
        <v>4</v>
      </c>
      <c r="D724" t="s">
        <v>19</v>
      </c>
      <c r="E724" t="s">
        <v>26</v>
      </c>
      <c r="F724" t="s">
        <v>15</v>
      </c>
      <c r="G724" t="s">
        <v>29</v>
      </c>
      <c r="H724" t="s">
        <v>17</v>
      </c>
      <c r="I724" s="3">
        <v>13083</v>
      </c>
      <c r="J724" s="3" t="str">
        <f>IF(I724&gt;16000, "High", IF(I724&gt;=12000, IF(I724&lt;=15000, "Medium", "High"), "Low"))</f>
        <v>Medium</v>
      </c>
      <c r="K724" t="b">
        <v>0</v>
      </c>
      <c r="L724" t="b">
        <v>0</v>
      </c>
      <c r="M724" t="b">
        <v>1</v>
      </c>
    </row>
    <row r="725" spans="1:13" hidden="1" x14ac:dyDescent="0.3">
      <c r="A725">
        <v>35</v>
      </c>
      <c r="B725" t="s">
        <v>12</v>
      </c>
      <c r="C725" s="1">
        <v>2</v>
      </c>
      <c r="D725" t="s">
        <v>13</v>
      </c>
      <c r="E725" t="s">
        <v>20</v>
      </c>
      <c r="F725" t="s">
        <v>22</v>
      </c>
      <c r="G725" t="s">
        <v>23</v>
      </c>
      <c r="H725" t="s">
        <v>24</v>
      </c>
      <c r="I725" s="3">
        <v>13345</v>
      </c>
      <c r="J725" s="3" t="str">
        <f>IF(I725&gt;16000, "High", IF(I725&gt;=12000, IF(I725&lt;=15000, "Medium", "High"), "Low"))</f>
        <v>Medium</v>
      </c>
      <c r="K725" t="b">
        <v>0</v>
      </c>
      <c r="L725" t="b">
        <v>0</v>
      </c>
      <c r="M725" t="b">
        <v>0</v>
      </c>
    </row>
    <row r="726" spans="1:13" x14ac:dyDescent="0.3">
      <c r="A726">
        <v>37</v>
      </c>
      <c r="B726" t="s">
        <v>18</v>
      </c>
      <c r="C726" s="1">
        <v>1</v>
      </c>
      <c r="D726" t="s">
        <v>19</v>
      </c>
      <c r="E726" t="s">
        <v>20</v>
      </c>
      <c r="F726" t="s">
        <v>15</v>
      </c>
      <c r="G726" t="s">
        <v>23</v>
      </c>
      <c r="H726" t="s">
        <v>17</v>
      </c>
      <c r="I726" s="3">
        <v>18073</v>
      </c>
      <c r="J726" s="3" t="str">
        <f>IF(I726&gt;16000, "High", IF(I726&gt;=12000, IF(I726&lt;=15000, "Medium", "High"), "Low"))</f>
        <v>High</v>
      </c>
      <c r="K726" t="b">
        <v>0</v>
      </c>
      <c r="L726" t="b">
        <v>0</v>
      </c>
      <c r="M726" t="b">
        <v>1</v>
      </c>
    </row>
    <row r="727" spans="1:13" hidden="1" x14ac:dyDescent="0.3">
      <c r="A727">
        <v>64</v>
      </c>
      <c r="B727" t="s">
        <v>25</v>
      </c>
      <c r="C727" s="1">
        <v>1</v>
      </c>
      <c r="D727" t="s">
        <v>28</v>
      </c>
      <c r="E727" t="s">
        <v>20</v>
      </c>
      <c r="F727" t="s">
        <v>27</v>
      </c>
      <c r="G727" t="s">
        <v>23</v>
      </c>
      <c r="H727" t="s">
        <v>17</v>
      </c>
      <c r="I727" s="3">
        <v>10561</v>
      </c>
      <c r="J727" s="3" t="str">
        <f>IF(I727&gt;16000, "High", IF(I727&gt;=12000, IF(I727&lt;=15000, "Medium", "High"), "Low"))</f>
        <v>Low</v>
      </c>
      <c r="K727" t="b">
        <v>0</v>
      </c>
      <c r="L727" t="b">
        <v>1</v>
      </c>
      <c r="M727" t="b">
        <v>0</v>
      </c>
    </row>
    <row r="728" spans="1:13" hidden="1" x14ac:dyDescent="0.3">
      <c r="A728">
        <v>28</v>
      </c>
      <c r="B728" t="s">
        <v>12</v>
      </c>
      <c r="C728" s="1">
        <v>8</v>
      </c>
      <c r="D728" t="s">
        <v>28</v>
      </c>
      <c r="E728" t="s">
        <v>20</v>
      </c>
      <c r="F728" t="s">
        <v>27</v>
      </c>
      <c r="G728" t="s">
        <v>16</v>
      </c>
      <c r="H728" t="s">
        <v>21</v>
      </c>
      <c r="I728" s="3">
        <v>13981</v>
      </c>
      <c r="J728" s="3" t="str">
        <f>IF(I728&gt;16000, "High", IF(I728&gt;=12000, IF(I728&lt;=15000, "Medium", "High"), "Low"))</f>
        <v>Medium</v>
      </c>
      <c r="K728" t="b">
        <v>0</v>
      </c>
      <c r="L728" t="b">
        <v>1</v>
      </c>
      <c r="M728" t="b">
        <v>0</v>
      </c>
    </row>
    <row r="729" spans="1:13" hidden="1" x14ac:dyDescent="0.3">
      <c r="A729">
        <v>38</v>
      </c>
      <c r="B729" t="s">
        <v>12</v>
      </c>
      <c r="C729" s="1">
        <v>9</v>
      </c>
      <c r="D729" t="s">
        <v>19</v>
      </c>
      <c r="E729" t="s">
        <v>14</v>
      </c>
      <c r="F729" t="s">
        <v>22</v>
      </c>
      <c r="G729" t="s">
        <v>16</v>
      </c>
      <c r="H729" t="s">
        <v>24</v>
      </c>
      <c r="I729" s="3">
        <v>16261</v>
      </c>
      <c r="J729" s="3" t="str">
        <f>IF(I729&gt;16000, "High", IF(I729&gt;=12000, IF(I729&lt;=15000, "Medium", "High"), "Low"))</f>
        <v>High</v>
      </c>
      <c r="K729" t="b">
        <v>0</v>
      </c>
      <c r="L729" t="b">
        <v>0</v>
      </c>
      <c r="M729" t="b">
        <v>1</v>
      </c>
    </row>
    <row r="730" spans="1:13" hidden="1" x14ac:dyDescent="0.3">
      <c r="A730">
        <v>43</v>
      </c>
      <c r="B730" t="s">
        <v>12</v>
      </c>
      <c r="C730" s="1">
        <v>4</v>
      </c>
      <c r="D730" t="s">
        <v>13</v>
      </c>
      <c r="E730" t="s">
        <v>26</v>
      </c>
      <c r="F730" t="s">
        <v>22</v>
      </c>
      <c r="G730" t="s">
        <v>16</v>
      </c>
      <c r="H730" t="s">
        <v>17</v>
      </c>
      <c r="I730" s="3">
        <v>11737</v>
      </c>
      <c r="J730" s="3" t="str">
        <f>IF(I730&gt;16000, "High", IF(I730&gt;=12000, IF(I730&lt;=15000, "Medium", "High"), "Low"))</f>
        <v>Low</v>
      </c>
      <c r="K730" t="b">
        <v>1</v>
      </c>
      <c r="L730" t="b">
        <v>0</v>
      </c>
      <c r="M730" t="b">
        <v>1</v>
      </c>
    </row>
    <row r="731" spans="1:13" hidden="1" x14ac:dyDescent="0.3">
      <c r="A731">
        <v>42</v>
      </c>
      <c r="B731" t="s">
        <v>25</v>
      </c>
      <c r="C731" s="1">
        <v>6</v>
      </c>
      <c r="D731" t="s">
        <v>19</v>
      </c>
      <c r="E731" t="s">
        <v>26</v>
      </c>
      <c r="F731" t="s">
        <v>22</v>
      </c>
      <c r="G731" t="s">
        <v>16</v>
      </c>
      <c r="H731" t="s">
        <v>24</v>
      </c>
      <c r="I731" s="3">
        <v>19096</v>
      </c>
      <c r="J731" s="3" t="str">
        <f>IF(I731&gt;16000, "High", IF(I731&gt;=12000, IF(I731&lt;=15000, "Medium", "High"), "Low"))</f>
        <v>High</v>
      </c>
      <c r="K731" t="b">
        <v>1</v>
      </c>
      <c r="L731" t="b">
        <v>1</v>
      </c>
      <c r="M731" t="b">
        <v>1</v>
      </c>
    </row>
    <row r="732" spans="1:13" hidden="1" x14ac:dyDescent="0.3">
      <c r="A732">
        <v>39</v>
      </c>
      <c r="B732" t="s">
        <v>18</v>
      </c>
      <c r="C732" s="1">
        <v>9</v>
      </c>
      <c r="D732" t="s">
        <v>13</v>
      </c>
      <c r="E732" t="s">
        <v>20</v>
      </c>
      <c r="F732" t="s">
        <v>27</v>
      </c>
      <c r="G732" t="s">
        <v>23</v>
      </c>
      <c r="H732" t="s">
        <v>21</v>
      </c>
      <c r="I732" s="3">
        <v>13554</v>
      </c>
      <c r="J732" s="3" t="str">
        <f>IF(I732&gt;16000, "High", IF(I732&gt;=12000, IF(I732&lt;=15000, "Medium", "High"), "Low"))</f>
        <v>Medium</v>
      </c>
      <c r="K732" t="b">
        <v>1</v>
      </c>
      <c r="L732" t="b">
        <v>0</v>
      </c>
      <c r="M732" t="b">
        <v>1</v>
      </c>
    </row>
    <row r="733" spans="1:13" hidden="1" x14ac:dyDescent="0.3">
      <c r="A733">
        <v>44</v>
      </c>
      <c r="B733" t="s">
        <v>12</v>
      </c>
      <c r="C733" s="1">
        <v>6</v>
      </c>
      <c r="D733" t="s">
        <v>19</v>
      </c>
      <c r="E733" t="s">
        <v>26</v>
      </c>
      <c r="F733" t="s">
        <v>15</v>
      </c>
      <c r="G733" t="s">
        <v>29</v>
      </c>
      <c r="H733" t="s">
        <v>21</v>
      </c>
      <c r="I733" s="3">
        <v>19918</v>
      </c>
      <c r="J733" s="3" t="str">
        <f>IF(I733&gt;16000, "High", IF(I733&gt;=12000, IF(I733&lt;=15000, "Medium", "High"), "Low"))</f>
        <v>High</v>
      </c>
      <c r="K733" t="b">
        <v>0</v>
      </c>
      <c r="L733" t="b">
        <v>0</v>
      </c>
      <c r="M733" t="b">
        <v>1</v>
      </c>
    </row>
    <row r="734" spans="1:13" hidden="1" x14ac:dyDescent="0.3">
      <c r="A734">
        <v>30</v>
      </c>
      <c r="B734" t="s">
        <v>25</v>
      </c>
      <c r="C734" s="1">
        <v>9</v>
      </c>
      <c r="D734" t="s">
        <v>28</v>
      </c>
      <c r="E734" t="s">
        <v>20</v>
      </c>
      <c r="F734" t="s">
        <v>22</v>
      </c>
      <c r="G734" t="s">
        <v>16</v>
      </c>
      <c r="H734" t="s">
        <v>21</v>
      </c>
      <c r="I734" s="3">
        <v>19126</v>
      </c>
      <c r="J734" s="3" t="str">
        <f>IF(I734&gt;16000, "High", IF(I734&gt;=12000, IF(I734&lt;=15000, "Medium", "High"), "Low"))</f>
        <v>High</v>
      </c>
      <c r="K734" t="b">
        <v>0</v>
      </c>
      <c r="L734" t="b">
        <v>0</v>
      </c>
      <c r="M734" t="b">
        <v>1</v>
      </c>
    </row>
    <row r="735" spans="1:13" hidden="1" x14ac:dyDescent="0.3">
      <c r="A735">
        <v>50</v>
      </c>
      <c r="B735" t="s">
        <v>18</v>
      </c>
      <c r="C735" s="1">
        <v>4</v>
      </c>
      <c r="D735" t="s">
        <v>13</v>
      </c>
      <c r="E735" t="s">
        <v>14</v>
      </c>
      <c r="F735" t="s">
        <v>15</v>
      </c>
      <c r="G735" t="s">
        <v>23</v>
      </c>
      <c r="H735" t="s">
        <v>17</v>
      </c>
      <c r="I735" s="3">
        <v>17095</v>
      </c>
      <c r="J735" s="3" t="str">
        <f>IF(I735&gt;16000, "High", IF(I735&gt;=12000, IF(I735&lt;=15000, "Medium", "High"), "Low"))</f>
        <v>High</v>
      </c>
      <c r="K735" t="b">
        <v>1</v>
      </c>
      <c r="L735" t="b">
        <v>1</v>
      </c>
      <c r="M735" t="b">
        <v>0</v>
      </c>
    </row>
    <row r="736" spans="1:13" hidden="1" x14ac:dyDescent="0.3">
      <c r="A736">
        <v>51</v>
      </c>
      <c r="B736" t="s">
        <v>25</v>
      </c>
      <c r="C736" s="1">
        <v>8</v>
      </c>
      <c r="D736" t="s">
        <v>13</v>
      </c>
      <c r="E736" t="s">
        <v>14</v>
      </c>
      <c r="F736" t="s">
        <v>15</v>
      </c>
      <c r="G736" t="s">
        <v>23</v>
      </c>
      <c r="H736" t="s">
        <v>17</v>
      </c>
      <c r="I736" s="3">
        <v>18266</v>
      </c>
      <c r="J736" s="3" t="str">
        <f>IF(I736&gt;16000, "High", IF(I736&gt;=12000, IF(I736&lt;=15000, "Medium", "High"), "Low"))</f>
        <v>High</v>
      </c>
      <c r="K736" t="b">
        <v>0</v>
      </c>
      <c r="L736" t="b">
        <v>0</v>
      </c>
      <c r="M736" t="b">
        <v>0</v>
      </c>
    </row>
    <row r="737" spans="1:13" hidden="1" x14ac:dyDescent="0.3">
      <c r="A737">
        <v>58</v>
      </c>
      <c r="B737" t="s">
        <v>18</v>
      </c>
      <c r="C737" s="1">
        <v>9</v>
      </c>
      <c r="D737" t="s">
        <v>13</v>
      </c>
      <c r="E737" t="s">
        <v>20</v>
      </c>
      <c r="F737" t="s">
        <v>15</v>
      </c>
      <c r="G737" t="s">
        <v>16</v>
      </c>
      <c r="H737" t="s">
        <v>21</v>
      </c>
      <c r="I737" s="3">
        <v>10294</v>
      </c>
      <c r="J737" s="3" t="str">
        <f>IF(I737&gt;16000, "High", IF(I737&gt;=12000, IF(I737&lt;=15000, "Medium", "High"), "Low"))</f>
        <v>Low</v>
      </c>
      <c r="K737" t="b">
        <v>0</v>
      </c>
      <c r="L737" t="b">
        <v>1</v>
      </c>
      <c r="M737" t="b">
        <v>0</v>
      </c>
    </row>
    <row r="738" spans="1:13" hidden="1" x14ac:dyDescent="0.3">
      <c r="A738">
        <v>52</v>
      </c>
      <c r="B738" t="s">
        <v>25</v>
      </c>
      <c r="C738" s="1">
        <v>4</v>
      </c>
      <c r="D738" t="s">
        <v>28</v>
      </c>
      <c r="E738" t="s">
        <v>14</v>
      </c>
      <c r="F738" t="s">
        <v>27</v>
      </c>
      <c r="G738" t="s">
        <v>29</v>
      </c>
      <c r="H738" t="s">
        <v>17</v>
      </c>
      <c r="I738" s="3">
        <v>18212</v>
      </c>
      <c r="J738" s="3" t="str">
        <f>IF(I738&gt;16000, "High", IF(I738&gt;=12000, IF(I738&lt;=15000, "Medium", "High"), "Low"))</f>
        <v>High</v>
      </c>
      <c r="K738" t="b">
        <v>0</v>
      </c>
      <c r="L738" t="b">
        <v>1</v>
      </c>
      <c r="M738" t="b">
        <v>0</v>
      </c>
    </row>
    <row r="739" spans="1:13" x14ac:dyDescent="0.3">
      <c r="A739">
        <v>28</v>
      </c>
      <c r="B739" t="s">
        <v>18</v>
      </c>
      <c r="C739" s="1">
        <v>9</v>
      </c>
      <c r="D739" t="s">
        <v>19</v>
      </c>
      <c r="E739" t="s">
        <v>20</v>
      </c>
      <c r="F739" t="s">
        <v>22</v>
      </c>
      <c r="G739" t="s">
        <v>23</v>
      </c>
      <c r="H739" t="s">
        <v>17</v>
      </c>
      <c r="I739" s="3">
        <v>14662</v>
      </c>
      <c r="J739" s="3" t="str">
        <f>IF(I739&gt;16000, "High", IF(I739&gt;=12000, IF(I739&lt;=15000, "Medium", "High"), "Low"))</f>
        <v>Medium</v>
      </c>
      <c r="K739" t="b">
        <v>0</v>
      </c>
      <c r="L739" t="b">
        <v>1</v>
      </c>
      <c r="M739" t="b">
        <v>1</v>
      </c>
    </row>
    <row r="740" spans="1:13" hidden="1" x14ac:dyDescent="0.3">
      <c r="A740">
        <v>38</v>
      </c>
      <c r="B740" t="s">
        <v>12</v>
      </c>
      <c r="C740" s="1">
        <v>8</v>
      </c>
      <c r="D740" t="s">
        <v>28</v>
      </c>
      <c r="E740" t="s">
        <v>20</v>
      </c>
      <c r="F740" t="s">
        <v>22</v>
      </c>
      <c r="G740" t="s">
        <v>23</v>
      </c>
      <c r="H740" t="s">
        <v>17</v>
      </c>
      <c r="I740" s="3">
        <v>15330</v>
      </c>
      <c r="J740" s="3" t="str">
        <f>IF(I740&gt;16000, "High", IF(I740&gt;=12000, IF(I740&lt;=15000, "Medium", "High"), "Low"))</f>
        <v>High</v>
      </c>
      <c r="K740" t="b">
        <v>1</v>
      </c>
      <c r="L740" t="b">
        <v>0</v>
      </c>
      <c r="M740" t="b">
        <v>0</v>
      </c>
    </row>
    <row r="741" spans="1:13" hidden="1" x14ac:dyDescent="0.3">
      <c r="A741">
        <v>23</v>
      </c>
      <c r="B741" t="s">
        <v>18</v>
      </c>
      <c r="C741" s="1">
        <v>6</v>
      </c>
      <c r="D741" t="s">
        <v>13</v>
      </c>
      <c r="E741" t="s">
        <v>20</v>
      </c>
      <c r="F741" t="s">
        <v>27</v>
      </c>
      <c r="G741" t="s">
        <v>29</v>
      </c>
      <c r="H741" t="s">
        <v>21</v>
      </c>
      <c r="I741" s="3">
        <v>14655</v>
      </c>
      <c r="J741" s="3" t="str">
        <f>IF(I741&gt;16000, "High", IF(I741&gt;=12000, IF(I741&lt;=15000, "Medium", "High"), "Low"))</f>
        <v>Medium</v>
      </c>
      <c r="K741" t="b">
        <v>0</v>
      </c>
      <c r="L741" t="b">
        <v>0</v>
      </c>
      <c r="M741" t="b">
        <v>1</v>
      </c>
    </row>
    <row r="742" spans="1:13" hidden="1" x14ac:dyDescent="0.3">
      <c r="A742">
        <v>45</v>
      </c>
      <c r="B742" t="s">
        <v>25</v>
      </c>
      <c r="C742" s="1">
        <v>7</v>
      </c>
      <c r="D742" t="s">
        <v>19</v>
      </c>
      <c r="E742" t="s">
        <v>14</v>
      </c>
      <c r="F742" t="s">
        <v>22</v>
      </c>
      <c r="G742" t="s">
        <v>23</v>
      </c>
      <c r="H742" t="s">
        <v>24</v>
      </c>
      <c r="I742" s="3">
        <v>11109</v>
      </c>
      <c r="J742" s="3" t="str">
        <f>IF(I742&gt;16000, "High", IF(I742&gt;=12000, IF(I742&lt;=15000, "Medium", "High"), "Low"))</f>
        <v>Low</v>
      </c>
      <c r="K742" t="b">
        <v>0</v>
      </c>
      <c r="L742" t="b">
        <v>1</v>
      </c>
      <c r="M742" t="b">
        <v>0</v>
      </c>
    </row>
    <row r="743" spans="1:13" hidden="1" x14ac:dyDescent="0.3">
      <c r="A743">
        <v>34</v>
      </c>
      <c r="B743" t="s">
        <v>25</v>
      </c>
      <c r="C743" s="1">
        <v>3</v>
      </c>
      <c r="D743" t="s">
        <v>28</v>
      </c>
      <c r="E743" t="s">
        <v>26</v>
      </c>
      <c r="F743" t="s">
        <v>22</v>
      </c>
      <c r="G743" t="s">
        <v>16</v>
      </c>
      <c r="H743" t="s">
        <v>21</v>
      </c>
      <c r="I743" s="3">
        <v>13771</v>
      </c>
      <c r="J743" s="3" t="str">
        <f>IF(I743&gt;16000, "High", IF(I743&gt;=12000, IF(I743&lt;=15000, "Medium", "High"), "Low"))</f>
        <v>Medium</v>
      </c>
      <c r="K743" t="b">
        <v>0</v>
      </c>
      <c r="L743" t="b">
        <v>1</v>
      </c>
      <c r="M743" t="b">
        <v>0</v>
      </c>
    </row>
    <row r="744" spans="1:13" hidden="1" x14ac:dyDescent="0.3">
      <c r="A744">
        <v>22</v>
      </c>
      <c r="B744" t="s">
        <v>18</v>
      </c>
      <c r="C744" s="1">
        <v>7</v>
      </c>
      <c r="D744" t="s">
        <v>13</v>
      </c>
      <c r="E744" t="s">
        <v>26</v>
      </c>
      <c r="F744" t="s">
        <v>27</v>
      </c>
      <c r="G744" t="s">
        <v>29</v>
      </c>
      <c r="H744" t="s">
        <v>21</v>
      </c>
      <c r="I744" s="3">
        <v>18563</v>
      </c>
      <c r="J744" s="3" t="str">
        <f>IF(I744&gt;16000, "High", IF(I744&gt;=12000, IF(I744&lt;=15000, "Medium", "High"), "Low"))</f>
        <v>High</v>
      </c>
      <c r="K744" t="b">
        <v>0</v>
      </c>
      <c r="L744" t="b">
        <v>1</v>
      </c>
      <c r="M744" t="b">
        <v>0</v>
      </c>
    </row>
    <row r="745" spans="1:13" hidden="1" x14ac:dyDescent="0.3">
      <c r="A745">
        <v>48</v>
      </c>
      <c r="B745" t="s">
        <v>12</v>
      </c>
      <c r="C745" s="1">
        <v>8</v>
      </c>
      <c r="D745" t="s">
        <v>13</v>
      </c>
      <c r="E745" t="s">
        <v>20</v>
      </c>
      <c r="F745" t="s">
        <v>22</v>
      </c>
      <c r="G745" t="s">
        <v>23</v>
      </c>
      <c r="H745" t="s">
        <v>17</v>
      </c>
      <c r="I745" s="3">
        <v>16123</v>
      </c>
      <c r="J745" s="3" t="str">
        <f>IF(I745&gt;16000, "High", IF(I745&gt;=12000, IF(I745&lt;=15000, "Medium", "High"), "Low"))</f>
        <v>High</v>
      </c>
      <c r="K745" t="b">
        <v>1</v>
      </c>
      <c r="L745" t="b">
        <v>0</v>
      </c>
      <c r="M745" t="b">
        <v>1</v>
      </c>
    </row>
    <row r="746" spans="1:13" hidden="1" x14ac:dyDescent="0.3">
      <c r="A746">
        <v>22</v>
      </c>
      <c r="B746" t="s">
        <v>12</v>
      </c>
      <c r="C746" s="1">
        <v>6</v>
      </c>
      <c r="D746" t="s">
        <v>28</v>
      </c>
      <c r="E746" t="s">
        <v>20</v>
      </c>
      <c r="F746" t="s">
        <v>22</v>
      </c>
      <c r="G746" t="s">
        <v>23</v>
      </c>
      <c r="H746" t="s">
        <v>17</v>
      </c>
      <c r="I746" s="3">
        <v>17647</v>
      </c>
      <c r="J746" s="3" t="str">
        <f>IF(I746&gt;16000, "High", IF(I746&gt;=12000, IF(I746&lt;=15000, "Medium", "High"), "Low"))</f>
        <v>High</v>
      </c>
      <c r="K746" t="b">
        <v>0</v>
      </c>
      <c r="L746" t="b">
        <v>0</v>
      </c>
      <c r="M746" t="b">
        <v>0</v>
      </c>
    </row>
    <row r="747" spans="1:13" hidden="1" x14ac:dyDescent="0.3">
      <c r="A747">
        <v>55</v>
      </c>
      <c r="B747" t="s">
        <v>18</v>
      </c>
      <c r="C747" s="1">
        <v>9</v>
      </c>
      <c r="D747" t="s">
        <v>28</v>
      </c>
      <c r="E747" t="s">
        <v>26</v>
      </c>
      <c r="F747" t="s">
        <v>27</v>
      </c>
      <c r="G747" t="s">
        <v>23</v>
      </c>
      <c r="H747" t="s">
        <v>17</v>
      </c>
      <c r="I747" s="3">
        <v>11174</v>
      </c>
      <c r="J747" s="3" t="str">
        <f>IF(I747&gt;16000, "High", IF(I747&gt;=12000, IF(I747&lt;=15000, "Medium", "High"), "Low"))</f>
        <v>Low</v>
      </c>
      <c r="K747" t="b">
        <v>1</v>
      </c>
      <c r="L747" t="b">
        <v>1</v>
      </c>
      <c r="M747" t="b">
        <v>1</v>
      </c>
    </row>
    <row r="748" spans="1:13" hidden="1" x14ac:dyDescent="0.3">
      <c r="A748">
        <v>20</v>
      </c>
      <c r="B748" t="s">
        <v>18</v>
      </c>
      <c r="C748" s="1">
        <v>6</v>
      </c>
      <c r="D748" t="s">
        <v>28</v>
      </c>
      <c r="E748" t="s">
        <v>14</v>
      </c>
      <c r="F748" t="s">
        <v>22</v>
      </c>
      <c r="G748" t="s">
        <v>16</v>
      </c>
      <c r="H748" t="s">
        <v>17</v>
      </c>
      <c r="I748" s="3">
        <v>11164</v>
      </c>
      <c r="J748" s="3" t="str">
        <f>IF(I748&gt;16000, "High", IF(I748&gt;=12000, IF(I748&lt;=15000, "Medium", "High"), "Low"))</f>
        <v>Low</v>
      </c>
      <c r="K748" t="b">
        <v>1</v>
      </c>
      <c r="L748" t="b">
        <v>1</v>
      </c>
      <c r="M748" t="b">
        <v>1</v>
      </c>
    </row>
    <row r="749" spans="1:13" hidden="1" x14ac:dyDescent="0.3">
      <c r="A749">
        <v>40</v>
      </c>
      <c r="B749" t="s">
        <v>25</v>
      </c>
      <c r="C749" s="1">
        <v>9</v>
      </c>
      <c r="D749" t="s">
        <v>13</v>
      </c>
      <c r="E749" t="s">
        <v>26</v>
      </c>
      <c r="F749" t="s">
        <v>15</v>
      </c>
      <c r="G749" t="s">
        <v>29</v>
      </c>
      <c r="H749" t="s">
        <v>17</v>
      </c>
      <c r="I749" s="3">
        <v>19284</v>
      </c>
      <c r="J749" s="3" t="str">
        <f>IF(I749&gt;16000, "High", IF(I749&gt;=12000, IF(I749&lt;=15000, "Medium", "High"), "Low"))</f>
        <v>High</v>
      </c>
      <c r="K749" t="b">
        <v>1</v>
      </c>
      <c r="L749" t="b">
        <v>0</v>
      </c>
      <c r="M749" t="b">
        <v>0</v>
      </c>
    </row>
    <row r="750" spans="1:13" hidden="1" x14ac:dyDescent="0.3">
      <c r="A750">
        <v>54</v>
      </c>
      <c r="B750" t="s">
        <v>12</v>
      </c>
      <c r="C750" s="1">
        <v>4</v>
      </c>
      <c r="D750" t="s">
        <v>28</v>
      </c>
      <c r="E750" t="s">
        <v>26</v>
      </c>
      <c r="F750" t="s">
        <v>22</v>
      </c>
      <c r="G750" t="s">
        <v>16</v>
      </c>
      <c r="H750" t="s">
        <v>17</v>
      </c>
      <c r="I750" s="3">
        <v>19475</v>
      </c>
      <c r="J750" s="3" t="str">
        <f>IF(I750&gt;16000, "High", IF(I750&gt;=12000, IF(I750&lt;=15000, "Medium", "High"), "Low"))</f>
        <v>High</v>
      </c>
      <c r="K750" t="b">
        <v>0</v>
      </c>
      <c r="L750" t="b">
        <v>1</v>
      </c>
      <c r="M750" t="b">
        <v>1</v>
      </c>
    </row>
    <row r="751" spans="1:13" hidden="1" x14ac:dyDescent="0.3">
      <c r="A751">
        <v>54</v>
      </c>
      <c r="B751" t="s">
        <v>18</v>
      </c>
      <c r="C751" s="1">
        <v>8</v>
      </c>
      <c r="D751" t="s">
        <v>13</v>
      </c>
      <c r="E751" t="s">
        <v>26</v>
      </c>
      <c r="F751" t="s">
        <v>15</v>
      </c>
      <c r="G751" t="s">
        <v>16</v>
      </c>
      <c r="H751" t="s">
        <v>24</v>
      </c>
      <c r="I751" s="3">
        <v>19037</v>
      </c>
      <c r="J751" s="3" t="str">
        <f>IF(I751&gt;16000, "High", IF(I751&gt;=12000, IF(I751&lt;=15000, "Medium", "High"), "Low"))</f>
        <v>High</v>
      </c>
      <c r="K751" t="b">
        <v>1</v>
      </c>
      <c r="L751" t="b">
        <v>0</v>
      </c>
      <c r="M751" t="b">
        <v>1</v>
      </c>
    </row>
    <row r="752" spans="1:13" hidden="1" x14ac:dyDescent="0.3">
      <c r="A752">
        <v>27</v>
      </c>
      <c r="B752" t="s">
        <v>12</v>
      </c>
      <c r="C752" s="1">
        <v>4</v>
      </c>
      <c r="D752" t="s">
        <v>28</v>
      </c>
      <c r="E752" t="s">
        <v>26</v>
      </c>
      <c r="F752" t="s">
        <v>22</v>
      </c>
      <c r="G752" t="s">
        <v>16</v>
      </c>
      <c r="H752" t="s">
        <v>21</v>
      </c>
      <c r="I752" s="3">
        <v>18712</v>
      </c>
      <c r="J752" s="3" t="str">
        <f>IF(I752&gt;16000, "High", IF(I752&gt;=12000, IF(I752&lt;=15000, "Medium", "High"), "Low"))</f>
        <v>High</v>
      </c>
      <c r="K752" t="b">
        <v>1</v>
      </c>
      <c r="L752" t="b">
        <v>0</v>
      </c>
      <c r="M752" t="b">
        <v>0</v>
      </c>
    </row>
    <row r="753" spans="1:13" hidden="1" x14ac:dyDescent="0.3">
      <c r="A753">
        <v>27</v>
      </c>
      <c r="B753" t="s">
        <v>18</v>
      </c>
      <c r="C753" s="1">
        <v>2</v>
      </c>
      <c r="D753" t="s">
        <v>13</v>
      </c>
      <c r="E753" t="s">
        <v>20</v>
      </c>
      <c r="F753" t="s">
        <v>27</v>
      </c>
      <c r="G753" t="s">
        <v>29</v>
      </c>
      <c r="H753" t="s">
        <v>21</v>
      </c>
      <c r="I753" s="3">
        <v>14466</v>
      </c>
      <c r="J753" s="3" t="str">
        <f>IF(I753&gt;16000, "High", IF(I753&gt;=12000, IF(I753&lt;=15000, "Medium", "High"), "Low"))</f>
        <v>Medium</v>
      </c>
      <c r="K753" t="b">
        <v>0</v>
      </c>
      <c r="L753" t="b">
        <v>1</v>
      </c>
      <c r="M753" t="b">
        <v>0</v>
      </c>
    </row>
    <row r="754" spans="1:13" hidden="1" x14ac:dyDescent="0.3">
      <c r="A754">
        <v>36</v>
      </c>
      <c r="B754" t="s">
        <v>18</v>
      </c>
      <c r="C754" s="1">
        <v>9</v>
      </c>
      <c r="D754" t="s">
        <v>13</v>
      </c>
      <c r="E754" t="s">
        <v>20</v>
      </c>
      <c r="F754" t="s">
        <v>27</v>
      </c>
      <c r="G754" t="s">
        <v>16</v>
      </c>
      <c r="H754" t="s">
        <v>21</v>
      </c>
      <c r="I754" s="3">
        <v>15538</v>
      </c>
      <c r="J754" s="3" t="str">
        <f>IF(I754&gt;16000, "High", IF(I754&gt;=12000, IF(I754&lt;=15000, "Medium", "High"), "Low"))</f>
        <v>High</v>
      </c>
      <c r="K754" t="b">
        <v>0</v>
      </c>
      <c r="L754" t="b">
        <v>1</v>
      </c>
      <c r="M754" t="b">
        <v>0</v>
      </c>
    </row>
    <row r="755" spans="1:13" hidden="1" x14ac:dyDescent="0.3">
      <c r="A755">
        <v>34</v>
      </c>
      <c r="B755" t="s">
        <v>12</v>
      </c>
      <c r="C755" s="1">
        <v>5</v>
      </c>
      <c r="D755" t="s">
        <v>19</v>
      </c>
      <c r="E755" t="s">
        <v>14</v>
      </c>
      <c r="F755" t="s">
        <v>22</v>
      </c>
      <c r="G755" t="s">
        <v>16</v>
      </c>
      <c r="H755" t="s">
        <v>24</v>
      </c>
      <c r="I755" s="3">
        <v>17111</v>
      </c>
      <c r="J755" s="3" t="str">
        <f>IF(I755&gt;16000, "High", IF(I755&gt;=12000, IF(I755&lt;=15000, "Medium", "High"), "Low"))</f>
        <v>High</v>
      </c>
      <c r="K755" t="b">
        <v>0</v>
      </c>
      <c r="L755" t="b">
        <v>0</v>
      </c>
      <c r="M755" t="b">
        <v>0</v>
      </c>
    </row>
    <row r="756" spans="1:13" hidden="1" x14ac:dyDescent="0.3">
      <c r="A756">
        <v>38</v>
      </c>
      <c r="B756" t="s">
        <v>18</v>
      </c>
      <c r="C756" s="1">
        <v>4</v>
      </c>
      <c r="D756" t="s">
        <v>28</v>
      </c>
      <c r="E756" t="s">
        <v>14</v>
      </c>
      <c r="F756" t="s">
        <v>27</v>
      </c>
      <c r="G756" t="s">
        <v>16</v>
      </c>
      <c r="H756" t="s">
        <v>21</v>
      </c>
      <c r="I756" s="3">
        <v>18434</v>
      </c>
      <c r="J756" s="3" t="str">
        <f>IF(I756&gt;16000, "High", IF(I756&gt;=12000, IF(I756&lt;=15000, "Medium", "High"), "Low"))</f>
        <v>High</v>
      </c>
      <c r="K756" t="b">
        <v>1</v>
      </c>
      <c r="L756" t="b">
        <v>0</v>
      </c>
      <c r="M756" t="b">
        <v>0</v>
      </c>
    </row>
    <row r="757" spans="1:13" hidden="1" x14ac:dyDescent="0.3">
      <c r="A757">
        <v>31</v>
      </c>
      <c r="B757" t="s">
        <v>18</v>
      </c>
      <c r="C757" s="1">
        <v>2</v>
      </c>
      <c r="D757" t="s">
        <v>28</v>
      </c>
      <c r="E757" t="s">
        <v>14</v>
      </c>
      <c r="F757" t="s">
        <v>22</v>
      </c>
      <c r="G757" t="s">
        <v>16</v>
      </c>
      <c r="H757" t="s">
        <v>24</v>
      </c>
      <c r="I757" s="3">
        <v>12800</v>
      </c>
      <c r="J757" s="3" t="str">
        <f>IF(I757&gt;16000, "High", IF(I757&gt;=12000, IF(I757&lt;=15000, "Medium", "High"), "Low"))</f>
        <v>Medium</v>
      </c>
      <c r="K757" t="b">
        <v>0</v>
      </c>
      <c r="L757" t="b">
        <v>0</v>
      </c>
      <c r="M757" t="b">
        <v>0</v>
      </c>
    </row>
    <row r="758" spans="1:13" hidden="1" x14ac:dyDescent="0.3">
      <c r="A758">
        <v>26</v>
      </c>
      <c r="B758" t="s">
        <v>25</v>
      </c>
      <c r="C758" s="1">
        <v>1</v>
      </c>
      <c r="D758" t="s">
        <v>13</v>
      </c>
      <c r="E758" t="s">
        <v>14</v>
      </c>
      <c r="F758" t="s">
        <v>27</v>
      </c>
      <c r="G758" t="s">
        <v>23</v>
      </c>
      <c r="H758" t="s">
        <v>24</v>
      </c>
      <c r="I758" s="3">
        <v>14607</v>
      </c>
      <c r="J758" s="3" t="str">
        <f>IF(I758&gt;16000, "High", IF(I758&gt;=12000, IF(I758&lt;=15000, "Medium", "High"), "Low"))</f>
        <v>Medium</v>
      </c>
      <c r="K758" t="b">
        <v>1</v>
      </c>
      <c r="L758" t="b">
        <v>0</v>
      </c>
      <c r="M758" t="b">
        <v>1</v>
      </c>
    </row>
    <row r="759" spans="1:13" hidden="1" x14ac:dyDescent="0.3">
      <c r="A759">
        <v>63</v>
      </c>
      <c r="B759" t="s">
        <v>18</v>
      </c>
      <c r="C759" s="1">
        <v>7</v>
      </c>
      <c r="D759" t="s">
        <v>13</v>
      </c>
      <c r="E759" t="s">
        <v>26</v>
      </c>
      <c r="F759" t="s">
        <v>15</v>
      </c>
      <c r="G759" t="s">
        <v>16</v>
      </c>
      <c r="H759" t="s">
        <v>24</v>
      </c>
      <c r="I759" s="3">
        <v>17262</v>
      </c>
      <c r="J759" s="3" t="str">
        <f>IF(I759&gt;16000, "High", IF(I759&gt;=12000, IF(I759&lt;=15000, "Medium", "High"), "Low"))</f>
        <v>High</v>
      </c>
      <c r="K759" t="b">
        <v>1</v>
      </c>
      <c r="L759" t="b">
        <v>0</v>
      </c>
      <c r="M759" t="b">
        <v>0</v>
      </c>
    </row>
    <row r="760" spans="1:13" hidden="1" x14ac:dyDescent="0.3">
      <c r="A760">
        <v>18</v>
      </c>
      <c r="B760" t="s">
        <v>18</v>
      </c>
      <c r="C760" s="1">
        <v>6</v>
      </c>
      <c r="D760" t="s">
        <v>13</v>
      </c>
      <c r="E760" t="s">
        <v>20</v>
      </c>
      <c r="F760" t="s">
        <v>22</v>
      </c>
      <c r="G760" t="s">
        <v>23</v>
      </c>
      <c r="H760" t="s">
        <v>21</v>
      </c>
      <c r="I760" s="3">
        <v>11541</v>
      </c>
      <c r="J760" s="3" t="str">
        <f>IF(I760&gt;16000, "High", IF(I760&gt;=12000, IF(I760&lt;=15000, "Medium", "High"), "Low"))</f>
        <v>Low</v>
      </c>
      <c r="K760" t="b">
        <v>0</v>
      </c>
      <c r="L760" t="b">
        <v>1</v>
      </c>
      <c r="M760" t="b">
        <v>0</v>
      </c>
    </row>
    <row r="761" spans="1:13" x14ac:dyDescent="0.3">
      <c r="A761">
        <v>61</v>
      </c>
      <c r="B761" t="s">
        <v>18</v>
      </c>
      <c r="C761" s="1">
        <v>4</v>
      </c>
      <c r="D761" t="s">
        <v>19</v>
      </c>
      <c r="E761" t="s">
        <v>14</v>
      </c>
      <c r="F761" t="s">
        <v>27</v>
      </c>
      <c r="G761" t="s">
        <v>16</v>
      </c>
      <c r="H761" t="s">
        <v>24</v>
      </c>
      <c r="I761" s="3">
        <v>17206</v>
      </c>
      <c r="J761" s="3" t="str">
        <f>IF(I761&gt;16000, "High", IF(I761&gt;=12000, IF(I761&lt;=15000, "Medium", "High"), "Low"))</f>
        <v>High</v>
      </c>
      <c r="K761" t="b">
        <v>0</v>
      </c>
      <c r="L761" t="b">
        <v>0</v>
      </c>
      <c r="M761" t="b">
        <v>0</v>
      </c>
    </row>
    <row r="762" spans="1:13" hidden="1" x14ac:dyDescent="0.3">
      <c r="A762">
        <v>30</v>
      </c>
      <c r="B762" t="s">
        <v>25</v>
      </c>
      <c r="C762" s="1">
        <v>8</v>
      </c>
      <c r="D762" t="s">
        <v>19</v>
      </c>
      <c r="E762" t="s">
        <v>14</v>
      </c>
      <c r="F762" t="s">
        <v>15</v>
      </c>
      <c r="G762" t="s">
        <v>29</v>
      </c>
      <c r="H762" t="s">
        <v>21</v>
      </c>
      <c r="I762" s="3">
        <v>14491</v>
      </c>
      <c r="J762" s="3" t="str">
        <f>IF(I762&gt;16000, "High", IF(I762&gt;=12000, IF(I762&lt;=15000, "Medium", "High"), "Low"))</f>
        <v>Medium</v>
      </c>
      <c r="K762" t="b">
        <v>1</v>
      </c>
      <c r="L762" t="b">
        <v>0</v>
      </c>
      <c r="M762" t="b">
        <v>0</v>
      </c>
    </row>
    <row r="763" spans="1:13" hidden="1" x14ac:dyDescent="0.3">
      <c r="A763">
        <v>21</v>
      </c>
      <c r="B763" t="s">
        <v>12</v>
      </c>
      <c r="C763" s="1">
        <v>4</v>
      </c>
      <c r="D763" t="s">
        <v>13</v>
      </c>
      <c r="E763" t="s">
        <v>14</v>
      </c>
      <c r="F763" t="s">
        <v>22</v>
      </c>
      <c r="G763" t="s">
        <v>23</v>
      </c>
      <c r="H763" t="s">
        <v>21</v>
      </c>
      <c r="I763" s="3">
        <v>13083</v>
      </c>
      <c r="J763" s="3" t="str">
        <f>IF(I763&gt;16000, "High", IF(I763&gt;=12000, IF(I763&lt;=15000, "Medium", "High"), "Low"))</f>
        <v>Medium</v>
      </c>
      <c r="K763" t="b">
        <v>1</v>
      </c>
      <c r="L763" t="b">
        <v>0</v>
      </c>
      <c r="M763" t="b">
        <v>1</v>
      </c>
    </row>
    <row r="764" spans="1:13" hidden="1" x14ac:dyDescent="0.3">
      <c r="A764">
        <v>18</v>
      </c>
      <c r="B764" t="s">
        <v>25</v>
      </c>
      <c r="C764" s="1">
        <v>8</v>
      </c>
      <c r="D764" t="s">
        <v>28</v>
      </c>
      <c r="E764" t="s">
        <v>26</v>
      </c>
      <c r="F764" t="s">
        <v>15</v>
      </c>
      <c r="G764" t="s">
        <v>23</v>
      </c>
      <c r="H764" t="s">
        <v>17</v>
      </c>
      <c r="I764" s="3">
        <v>15356</v>
      </c>
      <c r="J764" s="3" t="str">
        <f>IF(I764&gt;16000, "High", IF(I764&gt;=12000, IF(I764&lt;=15000, "Medium", "High"), "Low"))</f>
        <v>High</v>
      </c>
      <c r="K764" t="b">
        <v>1</v>
      </c>
      <c r="L764" t="b">
        <v>1</v>
      </c>
      <c r="M764" t="b">
        <v>0</v>
      </c>
    </row>
    <row r="765" spans="1:13" hidden="1" x14ac:dyDescent="0.3">
      <c r="A765">
        <v>57</v>
      </c>
      <c r="B765" t="s">
        <v>25</v>
      </c>
      <c r="C765" s="1">
        <v>7</v>
      </c>
      <c r="D765" t="s">
        <v>28</v>
      </c>
      <c r="E765" t="s">
        <v>26</v>
      </c>
      <c r="F765" t="s">
        <v>22</v>
      </c>
      <c r="G765" t="s">
        <v>23</v>
      </c>
      <c r="H765" t="s">
        <v>17</v>
      </c>
      <c r="I765" s="3">
        <v>11857</v>
      </c>
      <c r="J765" s="3" t="str">
        <f>IF(I765&gt;16000, "High", IF(I765&gt;=12000, IF(I765&lt;=15000, "Medium", "High"), "Low"))</f>
        <v>Low</v>
      </c>
      <c r="K765" t="b">
        <v>0</v>
      </c>
      <c r="L765" t="b">
        <v>1</v>
      </c>
      <c r="M765" t="b">
        <v>0</v>
      </c>
    </row>
    <row r="766" spans="1:13" hidden="1" x14ac:dyDescent="0.3">
      <c r="A766">
        <v>49</v>
      </c>
      <c r="B766" t="s">
        <v>12</v>
      </c>
      <c r="C766" s="1">
        <v>5</v>
      </c>
      <c r="D766" t="s">
        <v>19</v>
      </c>
      <c r="E766" t="s">
        <v>14</v>
      </c>
      <c r="F766" t="s">
        <v>15</v>
      </c>
      <c r="G766" t="s">
        <v>23</v>
      </c>
      <c r="H766" t="s">
        <v>24</v>
      </c>
      <c r="I766" s="3">
        <v>10769</v>
      </c>
      <c r="J766" s="3" t="str">
        <f>IF(I766&gt;16000, "High", IF(I766&gt;=12000, IF(I766&lt;=15000, "Medium", "High"), "Low"))</f>
        <v>Low</v>
      </c>
      <c r="K766" t="b">
        <v>1</v>
      </c>
      <c r="L766" t="b">
        <v>0</v>
      </c>
      <c r="M766" t="b">
        <v>1</v>
      </c>
    </row>
    <row r="767" spans="1:13" hidden="1" x14ac:dyDescent="0.3">
      <c r="A767">
        <v>51</v>
      </c>
      <c r="B767" t="s">
        <v>25</v>
      </c>
      <c r="C767" s="1">
        <v>8</v>
      </c>
      <c r="D767" t="s">
        <v>19</v>
      </c>
      <c r="E767" t="s">
        <v>20</v>
      </c>
      <c r="F767" t="s">
        <v>22</v>
      </c>
      <c r="G767" t="s">
        <v>29</v>
      </c>
      <c r="H767" t="s">
        <v>24</v>
      </c>
      <c r="I767" s="3">
        <v>11422</v>
      </c>
      <c r="J767" s="3" t="str">
        <f>IF(I767&gt;16000, "High", IF(I767&gt;=12000, IF(I767&lt;=15000, "Medium", "High"), "Low"))</f>
        <v>Low</v>
      </c>
      <c r="K767" t="b">
        <v>0</v>
      </c>
      <c r="L767" t="b">
        <v>0</v>
      </c>
      <c r="M767" t="b">
        <v>0</v>
      </c>
    </row>
    <row r="768" spans="1:13" hidden="1" x14ac:dyDescent="0.3">
      <c r="A768">
        <v>45</v>
      </c>
      <c r="B768" t="s">
        <v>12</v>
      </c>
      <c r="C768" s="1">
        <v>9</v>
      </c>
      <c r="D768" t="s">
        <v>13</v>
      </c>
      <c r="E768" t="s">
        <v>20</v>
      </c>
      <c r="F768" t="s">
        <v>22</v>
      </c>
      <c r="G768" t="s">
        <v>16</v>
      </c>
      <c r="H768" t="s">
        <v>21</v>
      </c>
      <c r="I768" s="3">
        <v>18598</v>
      </c>
      <c r="J768" s="3" t="str">
        <f>IF(I768&gt;16000, "High", IF(I768&gt;=12000, IF(I768&lt;=15000, "Medium", "High"), "Low"))</f>
        <v>High</v>
      </c>
      <c r="K768" t="b">
        <v>1</v>
      </c>
      <c r="L768" t="b">
        <v>1</v>
      </c>
      <c r="M768" t="b">
        <v>1</v>
      </c>
    </row>
    <row r="769" spans="1:13" hidden="1" x14ac:dyDescent="0.3">
      <c r="A769">
        <v>48</v>
      </c>
      <c r="B769" t="s">
        <v>25</v>
      </c>
      <c r="C769" s="1">
        <v>5</v>
      </c>
      <c r="D769" t="s">
        <v>28</v>
      </c>
      <c r="E769" t="s">
        <v>20</v>
      </c>
      <c r="F769" t="s">
        <v>27</v>
      </c>
      <c r="G769" t="s">
        <v>23</v>
      </c>
      <c r="H769" t="s">
        <v>24</v>
      </c>
      <c r="I769" s="3">
        <v>12972</v>
      </c>
      <c r="J769" s="3" t="str">
        <f>IF(I769&gt;16000, "High", IF(I769&gt;=12000, IF(I769&lt;=15000, "Medium", "High"), "Low"))</f>
        <v>Medium</v>
      </c>
      <c r="K769" t="b">
        <v>1</v>
      </c>
      <c r="L769" t="b">
        <v>1</v>
      </c>
      <c r="M769" t="b">
        <v>0</v>
      </c>
    </row>
    <row r="770" spans="1:13" hidden="1" x14ac:dyDescent="0.3">
      <c r="A770">
        <v>25</v>
      </c>
      <c r="B770" t="s">
        <v>12</v>
      </c>
      <c r="C770" s="1">
        <v>5</v>
      </c>
      <c r="D770" t="s">
        <v>13</v>
      </c>
      <c r="E770" t="s">
        <v>14</v>
      </c>
      <c r="F770" t="s">
        <v>22</v>
      </c>
      <c r="G770" t="s">
        <v>29</v>
      </c>
      <c r="H770" t="s">
        <v>24</v>
      </c>
      <c r="I770" s="3">
        <v>11872</v>
      </c>
      <c r="J770" s="3" t="str">
        <f>IF(I770&gt;16000, "High", IF(I770&gt;=12000, IF(I770&lt;=15000, "Medium", "High"), "Low"))</f>
        <v>Low</v>
      </c>
      <c r="K770" t="b">
        <v>0</v>
      </c>
      <c r="L770" t="b">
        <v>1</v>
      </c>
      <c r="M770" t="b">
        <v>0</v>
      </c>
    </row>
    <row r="771" spans="1:13" x14ac:dyDescent="0.3">
      <c r="A771">
        <v>61</v>
      </c>
      <c r="B771" t="s">
        <v>18</v>
      </c>
      <c r="C771" s="1">
        <v>3</v>
      </c>
      <c r="D771" t="s">
        <v>19</v>
      </c>
      <c r="E771" t="s">
        <v>26</v>
      </c>
      <c r="F771" t="s">
        <v>22</v>
      </c>
      <c r="G771" t="s">
        <v>23</v>
      </c>
      <c r="H771" t="s">
        <v>24</v>
      </c>
      <c r="I771" s="3">
        <v>16878</v>
      </c>
      <c r="J771" s="3" t="str">
        <f>IF(I771&gt;16000, "High", IF(I771&gt;=12000, IF(I771&lt;=15000, "Medium", "High"), "Low"))</f>
        <v>High</v>
      </c>
      <c r="K771" t="b">
        <v>1</v>
      </c>
      <c r="L771" t="b">
        <v>0</v>
      </c>
      <c r="M771" t="b">
        <v>0</v>
      </c>
    </row>
    <row r="772" spans="1:13" hidden="1" x14ac:dyDescent="0.3">
      <c r="A772">
        <v>43</v>
      </c>
      <c r="B772" t="s">
        <v>25</v>
      </c>
      <c r="C772" s="1">
        <v>5</v>
      </c>
      <c r="D772" t="s">
        <v>28</v>
      </c>
      <c r="E772" t="s">
        <v>26</v>
      </c>
      <c r="F772" t="s">
        <v>15</v>
      </c>
      <c r="G772" t="s">
        <v>16</v>
      </c>
      <c r="H772" t="s">
        <v>24</v>
      </c>
      <c r="I772" s="3">
        <v>12269</v>
      </c>
      <c r="J772" s="3" t="str">
        <f>IF(I772&gt;16000, "High", IF(I772&gt;=12000, IF(I772&lt;=15000, "Medium", "High"), "Low"))</f>
        <v>Medium</v>
      </c>
      <c r="K772" t="b">
        <v>1</v>
      </c>
      <c r="L772" t="b">
        <v>0</v>
      </c>
      <c r="M772" t="b">
        <v>0</v>
      </c>
    </row>
    <row r="773" spans="1:13" hidden="1" x14ac:dyDescent="0.3">
      <c r="A773">
        <v>51</v>
      </c>
      <c r="B773" t="s">
        <v>25</v>
      </c>
      <c r="C773" s="1">
        <v>3</v>
      </c>
      <c r="D773" t="s">
        <v>28</v>
      </c>
      <c r="E773" t="s">
        <v>26</v>
      </c>
      <c r="F773" t="s">
        <v>22</v>
      </c>
      <c r="G773" t="s">
        <v>23</v>
      </c>
      <c r="H773" t="s">
        <v>24</v>
      </c>
      <c r="I773" s="3">
        <v>15275</v>
      </c>
      <c r="J773" s="3" t="str">
        <f>IF(I773&gt;16000, "High", IF(I773&gt;=12000, IF(I773&lt;=15000, "Medium", "High"), "Low"))</f>
        <v>High</v>
      </c>
      <c r="K773" t="b">
        <v>1</v>
      </c>
      <c r="L773" t="b">
        <v>1</v>
      </c>
      <c r="M773" t="b">
        <v>0</v>
      </c>
    </row>
    <row r="774" spans="1:13" hidden="1" x14ac:dyDescent="0.3">
      <c r="A774">
        <v>20</v>
      </c>
      <c r="B774" t="s">
        <v>25</v>
      </c>
      <c r="C774" s="1">
        <v>7</v>
      </c>
      <c r="D774" t="s">
        <v>19</v>
      </c>
      <c r="E774" t="s">
        <v>14</v>
      </c>
      <c r="F774" t="s">
        <v>27</v>
      </c>
      <c r="G774" t="s">
        <v>29</v>
      </c>
      <c r="H774" t="s">
        <v>21</v>
      </c>
      <c r="I774" s="3">
        <v>14749</v>
      </c>
      <c r="J774" s="3" t="str">
        <f>IF(I774&gt;16000, "High", IF(I774&gt;=12000, IF(I774&lt;=15000, "Medium", "High"), "Low"))</f>
        <v>Medium</v>
      </c>
      <c r="K774" t="b">
        <v>1</v>
      </c>
      <c r="L774" t="b">
        <v>0</v>
      </c>
      <c r="M774" t="b">
        <v>1</v>
      </c>
    </row>
    <row r="775" spans="1:13" hidden="1" x14ac:dyDescent="0.3">
      <c r="A775">
        <v>29</v>
      </c>
      <c r="B775" t="s">
        <v>25</v>
      </c>
      <c r="C775" s="1">
        <v>5</v>
      </c>
      <c r="D775" t="s">
        <v>13</v>
      </c>
      <c r="E775" t="s">
        <v>26</v>
      </c>
      <c r="F775" t="s">
        <v>15</v>
      </c>
      <c r="G775" t="s">
        <v>16</v>
      </c>
      <c r="H775" t="s">
        <v>21</v>
      </c>
      <c r="I775" s="3">
        <v>16571</v>
      </c>
      <c r="J775" s="3" t="str">
        <f>IF(I775&gt;16000, "High", IF(I775&gt;=12000, IF(I775&lt;=15000, "Medium", "High"), "Low"))</f>
        <v>High</v>
      </c>
      <c r="K775" t="b">
        <v>1</v>
      </c>
      <c r="L775" t="b">
        <v>0</v>
      </c>
      <c r="M775" t="b">
        <v>0</v>
      </c>
    </row>
    <row r="776" spans="1:13" hidden="1" x14ac:dyDescent="0.3">
      <c r="A776">
        <v>18</v>
      </c>
      <c r="B776" t="s">
        <v>18</v>
      </c>
      <c r="C776" s="1">
        <v>8</v>
      </c>
      <c r="D776" t="s">
        <v>13</v>
      </c>
      <c r="E776" t="s">
        <v>14</v>
      </c>
      <c r="F776" t="s">
        <v>15</v>
      </c>
      <c r="G776" t="s">
        <v>29</v>
      </c>
      <c r="H776" t="s">
        <v>17</v>
      </c>
      <c r="I776" s="3">
        <v>19373</v>
      </c>
      <c r="J776" s="3" t="str">
        <f>IF(I776&gt;16000, "High", IF(I776&gt;=12000, IF(I776&lt;=15000, "Medium", "High"), "Low"))</f>
        <v>High</v>
      </c>
      <c r="K776" t="b">
        <v>1</v>
      </c>
      <c r="L776" t="b">
        <v>1</v>
      </c>
      <c r="M776" t="b">
        <v>1</v>
      </c>
    </row>
    <row r="777" spans="1:13" hidden="1" x14ac:dyDescent="0.3">
      <c r="A777">
        <v>61</v>
      </c>
      <c r="B777" t="s">
        <v>25</v>
      </c>
      <c r="C777" s="1">
        <v>1</v>
      </c>
      <c r="D777" t="s">
        <v>28</v>
      </c>
      <c r="E777" t="s">
        <v>20</v>
      </c>
      <c r="F777" t="s">
        <v>27</v>
      </c>
      <c r="G777" t="s">
        <v>16</v>
      </c>
      <c r="H777" t="s">
        <v>21</v>
      </c>
      <c r="I777" s="3">
        <v>15072</v>
      </c>
      <c r="J777" s="3" t="str">
        <f>IF(I777&gt;16000, "High", IF(I777&gt;=12000, IF(I777&lt;=15000, "Medium", "High"), "Low"))</f>
        <v>High</v>
      </c>
      <c r="K777" t="b">
        <v>0</v>
      </c>
      <c r="L777" t="b">
        <v>1</v>
      </c>
      <c r="M777" t="b">
        <v>0</v>
      </c>
    </row>
    <row r="778" spans="1:13" x14ac:dyDescent="0.3">
      <c r="A778">
        <v>53</v>
      </c>
      <c r="B778" t="s">
        <v>18</v>
      </c>
      <c r="C778" s="1">
        <v>9</v>
      </c>
      <c r="D778" t="s">
        <v>19</v>
      </c>
      <c r="E778" t="s">
        <v>26</v>
      </c>
      <c r="F778" t="s">
        <v>22</v>
      </c>
      <c r="G778" t="s">
        <v>29</v>
      </c>
      <c r="H778" t="s">
        <v>24</v>
      </c>
      <c r="I778" s="3">
        <v>12892</v>
      </c>
      <c r="J778" s="3" t="str">
        <f>IF(I778&gt;16000, "High", IF(I778&gt;=12000, IF(I778&lt;=15000, "Medium", "High"), "Low"))</f>
        <v>Medium</v>
      </c>
      <c r="K778" t="b">
        <v>0</v>
      </c>
      <c r="L778" t="b">
        <v>0</v>
      </c>
      <c r="M778" t="b">
        <v>0</v>
      </c>
    </row>
    <row r="779" spans="1:13" hidden="1" x14ac:dyDescent="0.3">
      <c r="A779">
        <v>47</v>
      </c>
      <c r="B779" t="s">
        <v>18</v>
      </c>
      <c r="C779" s="1">
        <v>3</v>
      </c>
      <c r="D779" t="s">
        <v>28</v>
      </c>
      <c r="E779" t="s">
        <v>20</v>
      </c>
      <c r="F779" t="s">
        <v>15</v>
      </c>
      <c r="G779" t="s">
        <v>16</v>
      </c>
      <c r="H779" t="s">
        <v>24</v>
      </c>
      <c r="I779" s="3">
        <v>15463</v>
      </c>
      <c r="J779" s="3" t="str">
        <f>IF(I779&gt;16000, "High", IF(I779&gt;=12000, IF(I779&lt;=15000, "Medium", "High"), "Low"))</f>
        <v>High</v>
      </c>
      <c r="K779" t="b">
        <v>0</v>
      </c>
      <c r="L779" t="b">
        <v>1</v>
      </c>
      <c r="M779" t="b">
        <v>0</v>
      </c>
    </row>
    <row r="780" spans="1:13" x14ac:dyDescent="0.3">
      <c r="A780">
        <v>19</v>
      </c>
      <c r="B780" t="s">
        <v>18</v>
      </c>
      <c r="C780" s="1">
        <v>7</v>
      </c>
      <c r="D780" t="s">
        <v>19</v>
      </c>
      <c r="E780" t="s">
        <v>14</v>
      </c>
      <c r="F780" t="s">
        <v>22</v>
      </c>
      <c r="G780" t="s">
        <v>23</v>
      </c>
      <c r="H780" t="s">
        <v>24</v>
      </c>
      <c r="I780" s="3">
        <v>14402</v>
      </c>
      <c r="J780" s="3" t="str">
        <f>IF(I780&gt;16000, "High", IF(I780&gt;=12000, IF(I780&lt;=15000, "Medium", "High"), "Low"))</f>
        <v>Medium</v>
      </c>
      <c r="K780" t="b">
        <v>1</v>
      </c>
      <c r="L780" t="b">
        <v>0</v>
      </c>
      <c r="M780" t="b">
        <v>0</v>
      </c>
    </row>
    <row r="781" spans="1:13" hidden="1" x14ac:dyDescent="0.3">
      <c r="A781">
        <v>34</v>
      </c>
      <c r="B781" t="s">
        <v>18</v>
      </c>
      <c r="C781" s="1">
        <v>5</v>
      </c>
      <c r="D781" t="s">
        <v>13</v>
      </c>
      <c r="E781" t="s">
        <v>14</v>
      </c>
      <c r="F781" t="s">
        <v>15</v>
      </c>
      <c r="G781" t="s">
        <v>29</v>
      </c>
      <c r="H781" t="s">
        <v>21</v>
      </c>
      <c r="I781" s="3">
        <v>18420</v>
      </c>
      <c r="J781" s="3" t="str">
        <f>IF(I781&gt;16000, "High", IF(I781&gt;=12000, IF(I781&lt;=15000, "Medium", "High"), "Low"))</f>
        <v>High</v>
      </c>
      <c r="K781" t="b">
        <v>1</v>
      </c>
      <c r="L781" t="b">
        <v>0</v>
      </c>
      <c r="M781" t="b">
        <v>1</v>
      </c>
    </row>
    <row r="782" spans="1:13" hidden="1" x14ac:dyDescent="0.3">
      <c r="A782">
        <v>64</v>
      </c>
      <c r="B782" t="s">
        <v>12</v>
      </c>
      <c r="C782" s="1">
        <v>9</v>
      </c>
      <c r="D782" t="s">
        <v>19</v>
      </c>
      <c r="E782" t="s">
        <v>20</v>
      </c>
      <c r="F782" t="s">
        <v>27</v>
      </c>
      <c r="G782" t="s">
        <v>29</v>
      </c>
      <c r="H782" t="s">
        <v>21</v>
      </c>
      <c r="I782" s="3">
        <v>13959</v>
      </c>
      <c r="J782" s="3" t="str">
        <f>IF(I782&gt;16000, "High", IF(I782&gt;=12000, IF(I782&lt;=15000, "Medium", "High"), "Low"))</f>
        <v>Medium</v>
      </c>
      <c r="K782" t="b">
        <v>1</v>
      </c>
      <c r="L782" t="b">
        <v>0</v>
      </c>
      <c r="M782" t="b">
        <v>0</v>
      </c>
    </row>
    <row r="783" spans="1:13" hidden="1" x14ac:dyDescent="0.3">
      <c r="A783">
        <v>40</v>
      </c>
      <c r="B783" t="s">
        <v>12</v>
      </c>
      <c r="C783" s="1">
        <v>9</v>
      </c>
      <c r="D783" t="s">
        <v>13</v>
      </c>
      <c r="E783" t="s">
        <v>14</v>
      </c>
      <c r="F783" t="s">
        <v>27</v>
      </c>
      <c r="G783" t="s">
        <v>29</v>
      </c>
      <c r="H783" t="s">
        <v>24</v>
      </c>
      <c r="I783" s="3">
        <v>11313</v>
      </c>
      <c r="J783" s="3" t="str">
        <f>IF(I783&gt;16000, "High", IF(I783&gt;=12000, IF(I783&lt;=15000, "Medium", "High"), "Low"))</f>
        <v>Low</v>
      </c>
      <c r="K783" t="b">
        <v>0</v>
      </c>
      <c r="L783" t="b">
        <v>1</v>
      </c>
      <c r="M783" t="b">
        <v>0</v>
      </c>
    </row>
    <row r="784" spans="1:13" hidden="1" x14ac:dyDescent="0.3">
      <c r="A784">
        <v>32</v>
      </c>
      <c r="B784" t="s">
        <v>25</v>
      </c>
      <c r="C784" s="1">
        <v>1</v>
      </c>
      <c r="D784" t="s">
        <v>19</v>
      </c>
      <c r="E784" t="s">
        <v>20</v>
      </c>
      <c r="F784" t="s">
        <v>15</v>
      </c>
      <c r="G784" t="s">
        <v>16</v>
      </c>
      <c r="H784" t="s">
        <v>17</v>
      </c>
      <c r="I784" s="3">
        <v>17847</v>
      </c>
      <c r="J784" s="3" t="str">
        <f>IF(I784&gt;16000, "High", IF(I784&gt;=12000, IF(I784&lt;=15000, "Medium", "High"), "Low"))</f>
        <v>High</v>
      </c>
      <c r="K784" t="b">
        <v>1</v>
      </c>
      <c r="L784" t="b">
        <v>0</v>
      </c>
      <c r="M784" t="b">
        <v>1</v>
      </c>
    </row>
    <row r="785" spans="1:13" hidden="1" x14ac:dyDescent="0.3">
      <c r="A785">
        <v>54</v>
      </c>
      <c r="B785" t="s">
        <v>12</v>
      </c>
      <c r="C785" s="1">
        <v>2</v>
      </c>
      <c r="D785" t="s">
        <v>28</v>
      </c>
      <c r="E785" t="s">
        <v>26</v>
      </c>
      <c r="F785" t="s">
        <v>15</v>
      </c>
      <c r="G785" t="s">
        <v>23</v>
      </c>
      <c r="H785" t="s">
        <v>24</v>
      </c>
      <c r="I785" s="3">
        <v>11070</v>
      </c>
      <c r="J785" s="3" t="str">
        <f>IF(I785&gt;16000, "High", IF(I785&gt;=12000, IF(I785&lt;=15000, "Medium", "High"), "Low"))</f>
        <v>Low</v>
      </c>
      <c r="K785" t="b">
        <v>0</v>
      </c>
      <c r="L785" t="b">
        <v>1</v>
      </c>
      <c r="M785" t="b">
        <v>0</v>
      </c>
    </row>
    <row r="786" spans="1:13" hidden="1" x14ac:dyDescent="0.3">
      <c r="A786">
        <v>38</v>
      </c>
      <c r="B786" t="s">
        <v>12</v>
      </c>
      <c r="C786" s="1">
        <v>5</v>
      </c>
      <c r="D786" t="s">
        <v>13</v>
      </c>
      <c r="E786" t="s">
        <v>26</v>
      </c>
      <c r="F786" t="s">
        <v>27</v>
      </c>
      <c r="G786" t="s">
        <v>16</v>
      </c>
      <c r="H786" t="s">
        <v>24</v>
      </c>
      <c r="I786" s="3">
        <v>19166</v>
      </c>
      <c r="J786" s="3" t="str">
        <f>IF(I786&gt;16000, "High", IF(I786&gt;=12000, IF(I786&lt;=15000, "Medium", "High"), "Low"))</f>
        <v>High</v>
      </c>
      <c r="K786" t="b">
        <v>1</v>
      </c>
      <c r="L786" t="b">
        <v>0</v>
      </c>
      <c r="M786" t="b">
        <v>1</v>
      </c>
    </row>
    <row r="787" spans="1:13" hidden="1" x14ac:dyDescent="0.3">
      <c r="A787">
        <v>31</v>
      </c>
      <c r="B787" t="s">
        <v>25</v>
      </c>
      <c r="C787" s="1">
        <v>4</v>
      </c>
      <c r="D787" t="s">
        <v>28</v>
      </c>
      <c r="E787" t="s">
        <v>14</v>
      </c>
      <c r="F787" t="s">
        <v>27</v>
      </c>
      <c r="G787" t="s">
        <v>29</v>
      </c>
      <c r="H787" t="s">
        <v>21</v>
      </c>
      <c r="I787" s="3">
        <v>19930</v>
      </c>
      <c r="J787" s="3" t="str">
        <f>IF(I787&gt;16000, "High", IF(I787&gt;=12000, IF(I787&lt;=15000, "Medium", "High"), "Low"))</f>
        <v>High</v>
      </c>
      <c r="K787" t="b">
        <v>1</v>
      </c>
      <c r="L787" t="b">
        <v>1</v>
      </c>
      <c r="M787" t="b">
        <v>0</v>
      </c>
    </row>
    <row r="788" spans="1:13" hidden="1" x14ac:dyDescent="0.3">
      <c r="A788">
        <v>19</v>
      </c>
      <c r="B788" t="s">
        <v>25</v>
      </c>
      <c r="C788" s="1">
        <v>9</v>
      </c>
      <c r="D788" t="s">
        <v>28</v>
      </c>
      <c r="E788" t="s">
        <v>26</v>
      </c>
      <c r="F788" t="s">
        <v>27</v>
      </c>
      <c r="G788" t="s">
        <v>23</v>
      </c>
      <c r="H788" t="s">
        <v>17</v>
      </c>
      <c r="I788" s="3">
        <v>13285</v>
      </c>
      <c r="J788" s="3" t="str">
        <f>IF(I788&gt;16000, "High", IF(I788&gt;=12000, IF(I788&lt;=15000, "Medium", "High"), "Low"))</f>
        <v>Medium</v>
      </c>
      <c r="K788" t="b">
        <v>1</v>
      </c>
      <c r="L788" t="b">
        <v>0</v>
      </c>
      <c r="M788" t="b">
        <v>0</v>
      </c>
    </row>
    <row r="789" spans="1:13" hidden="1" x14ac:dyDescent="0.3">
      <c r="A789">
        <v>28</v>
      </c>
      <c r="B789" t="s">
        <v>25</v>
      </c>
      <c r="C789" s="1">
        <v>7</v>
      </c>
      <c r="D789" t="s">
        <v>13</v>
      </c>
      <c r="E789" t="s">
        <v>26</v>
      </c>
      <c r="F789" t="s">
        <v>15</v>
      </c>
      <c r="G789" t="s">
        <v>23</v>
      </c>
      <c r="H789" t="s">
        <v>24</v>
      </c>
      <c r="I789" s="3">
        <v>18949</v>
      </c>
      <c r="J789" s="3" t="str">
        <f>IF(I789&gt;16000, "High", IF(I789&gt;=12000, IF(I789&lt;=15000, "Medium", "High"), "Low"))</f>
        <v>High</v>
      </c>
      <c r="K789" t="b">
        <v>0</v>
      </c>
      <c r="L789" t="b">
        <v>0</v>
      </c>
      <c r="M789" t="b">
        <v>1</v>
      </c>
    </row>
    <row r="790" spans="1:13" hidden="1" x14ac:dyDescent="0.3">
      <c r="A790">
        <v>56</v>
      </c>
      <c r="B790" t="s">
        <v>12</v>
      </c>
      <c r="C790" s="1">
        <v>6</v>
      </c>
      <c r="D790" t="s">
        <v>13</v>
      </c>
      <c r="E790" t="s">
        <v>14</v>
      </c>
      <c r="F790" t="s">
        <v>15</v>
      </c>
      <c r="G790" t="s">
        <v>23</v>
      </c>
      <c r="H790" t="s">
        <v>21</v>
      </c>
      <c r="I790" s="3">
        <v>13095</v>
      </c>
      <c r="J790" s="3" t="str">
        <f>IF(I790&gt;16000, "High", IF(I790&gt;=12000, IF(I790&lt;=15000, "Medium", "High"), "Low"))</f>
        <v>Medium</v>
      </c>
      <c r="K790" t="b">
        <v>1</v>
      </c>
      <c r="L790" t="b">
        <v>1</v>
      </c>
      <c r="M790" t="b">
        <v>1</v>
      </c>
    </row>
    <row r="791" spans="1:13" hidden="1" x14ac:dyDescent="0.3">
      <c r="A791">
        <v>55</v>
      </c>
      <c r="B791" t="s">
        <v>12</v>
      </c>
      <c r="C791" s="1">
        <v>7</v>
      </c>
      <c r="D791" t="s">
        <v>28</v>
      </c>
      <c r="E791" t="s">
        <v>20</v>
      </c>
      <c r="F791" t="s">
        <v>22</v>
      </c>
      <c r="G791" t="s">
        <v>29</v>
      </c>
      <c r="H791" t="s">
        <v>24</v>
      </c>
      <c r="I791" s="3">
        <v>10320</v>
      </c>
      <c r="J791" s="3" t="str">
        <f>IF(I791&gt;16000, "High", IF(I791&gt;=12000, IF(I791&lt;=15000, "Medium", "High"), "Low"))</f>
        <v>Low</v>
      </c>
      <c r="K791" t="b">
        <v>0</v>
      </c>
      <c r="L791" t="b">
        <v>0</v>
      </c>
      <c r="M791" t="b">
        <v>0</v>
      </c>
    </row>
    <row r="792" spans="1:13" hidden="1" x14ac:dyDescent="0.3">
      <c r="A792">
        <v>51</v>
      </c>
      <c r="B792" t="s">
        <v>25</v>
      </c>
      <c r="C792" s="1">
        <v>1</v>
      </c>
      <c r="D792" t="s">
        <v>28</v>
      </c>
      <c r="E792" t="s">
        <v>26</v>
      </c>
      <c r="F792" t="s">
        <v>27</v>
      </c>
      <c r="G792" t="s">
        <v>23</v>
      </c>
      <c r="H792" t="s">
        <v>24</v>
      </c>
      <c r="I792" s="3">
        <v>12321</v>
      </c>
      <c r="J792" s="3" t="str">
        <f>IF(I792&gt;16000, "High", IF(I792&gt;=12000, IF(I792&lt;=15000, "Medium", "High"), "Low"))</f>
        <v>Medium</v>
      </c>
      <c r="K792" t="b">
        <v>1</v>
      </c>
      <c r="L792" t="b">
        <v>0</v>
      </c>
      <c r="M792" t="b">
        <v>0</v>
      </c>
    </row>
    <row r="793" spans="1:13" hidden="1" x14ac:dyDescent="0.3">
      <c r="A793">
        <v>55</v>
      </c>
      <c r="B793" t="s">
        <v>18</v>
      </c>
      <c r="C793" s="1">
        <v>1</v>
      </c>
      <c r="D793" t="s">
        <v>28</v>
      </c>
      <c r="E793" t="s">
        <v>14</v>
      </c>
      <c r="F793" t="s">
        <v>15</v>
      </c>
      <c r="G793" t="s">
        <v>23</v>
      </c>
      <c r="H793" t="s">
        <v>21</v>
      </c>
      <c r="I793" s="3">
        <v>10555</v>
      </c>
      <c r="J793" s="3" t="str">
        <f>IF(I793&gt;16000, "High", IF(I793&gt;=12000, IF(I793&lt;=15000, "Medium", "High"), "Low"))</f>
        <v>Low</v>
      </c>
      <c r="K793" t="b">
        <v>1</v>
      </c>
      <c r="L793" t="b">
        <v>1</v>
      </c>
      <c r="M793" t="b">
        <v>0</v>
      </c>
    </row>
    <row r="794" spans="1:13" hidden="1" x14ac:dyDescent="0.3">
      <c r="A794">
        <v>51</v>
      </c>
      <c r="B794" t="s">
        <v>25</v>
      </c>
      <c r="C794" s="1">
        <v>8</v>
      </c>
      <c r="D794" t="s">
        <v>28</v>
      </c>
      <c r="E794" t="s">
        <v>26</v>
      </c>
      <c r="F794" t="s">
        <v>27</v>
      </c>
      <c r="G794" t="s">
        <v>16</v>
      </c>
      <c r="H794" t="s">
        <v>21</v>
      </c>
      <c r="I794" s="3">
        <v>14939</v>
      </c>
      <c r="J794" s="3" t="str">
        <f>IF(I794&gt;16000, "High", IF(I794&gt;=12000, IF(I794&lt;=15000, "Medium", "High"), "Low"))</f>
        <v>Medium</v>
      </c>
      <c r="K794" t="b">
        <v>0</v>
      </c>
      <c r="L794" t="b">
        <v>1</v>
      </c>
      <c r="M794" t="b">
        <v>0</v>
      </c>
    </row>
    <row r="795" spans="1:13" hidden="1" x14ac:dyDescent="0.3">
      <c r="A795">
        <v>35</v>
      </c>
      <c r="B795" t="s">
        <v>18</v>
      </c>
      <c r="C795" s="1">
        <v>2</v>
      </c>
      <c r="D795" t="s">
        <v>13</v>
      </c>
      <c r="E795" t="s">
        <v>26</v>
      </c>
      <c r="F795" t="s">
        <v>15</v>
      </c>
      <c r="G795" t="s">
        <v>16</v>
      </c>
      <c r="H795" t="s">
        <v>17</v>
      </c>
      <c r="I795" s="3">
        <v>15432</v>
      </c>
      <c r="J795" s="3" t="str">
        <f>IF(I795&gt;16000, "High", IF(I795&gt;=12000, IF(I795&lt;=15000, "Medium", "High"), "Low"))</f>
        <v>High</v>
      </c>
      <c r="K795" t="b">
        <v>1</v>
      </c>
      <c r="L795" t="b">
        <v>1</v>
      </c>
      <c r="M795" t="b">
        <v>0</v>
      </c>
    </row>
    <row r="796" spans="1:13" hidden="1" x14ac:dyDescent="0.3">
      <c r="A796">
        <v>47</v>
      </c>
      <c r="B796" t="s">
        <v>18</v>
      </c>
      <c r="C796" s="1">
        <v>9</v>
      </c>
      <c r="D796" t="s">
        <v>13</v>
      </c>
      <c r="E796" t="s">
        <v>26</v>
      </c>
      <c r="F796" t="s">
        <v>27</v>
      </c>
      <c r="G796" t="s">
        <v>23</v>
      </c>
      <c r="H796" t="s">
        <v>24</v>
      </c>
      <c r="I796" s="3">
        <v>11386</v>
      </c>
      <c r="J796" s="3" t="str">
        <f>IF(I796&gt;16000, "High", IF(I796&gt;=12000, IF(I796&lt;=15000, "Medium", "High"), "Low"))</f>
        <v>Low</v>
      </c>
      <c r="K796" t="b">
        <v>1</v>
      </c>
      <c r="L796" t="b">
        <v>1</v>
      </c>
      <c r="M796" t="b">
        <v>1</v>
      </c>
    </row>
    <row r="797" spans="1:13" hidden="1" x14ac:dyDescent="0.3">
      <c r="A797">
        <v>32</v>
      </c>
      <c r="B797" t="s">
        <v>25</v>
      </c>
      <c r="C797" s="1">
        <v>7</v>
      </c>
      <c r="D797" t="s">
        <v>28</v>
      </c>
      <c r="E797" t="s">
        <v>26</v>
      </c>
      <c r="F797" t="s">
        <v>15</v>
      </c>
      <c r="G797" t="s">
        <v>23</v>
      </c>
      <c r="H797" t="s">
        <v>21</v>
      </c>
      <c r="I797" s="3">
        <v>14763</v>
      </c>
      <c r="J797" s="3" t="str">
        <f>IF(I797&gt;16000, "High", IF(I797&gt;=12000, IF(I797&lt;=15000, "Medium", "High"), "Low"))</f>
        <v>Medium</v>
      </c>
      <c r="K797" t="b">
        <v>1</v>
      </c>
      <c r="L797" t="b">
        <v>1</v>
      </c>
      <c r="M797" t="b">
        <v>0</v>
      </c>
    </row>
    <row r="798" spans="1:13" hidden="1" x14ac:dyDescent="0.3">
      <c r="A798">
        <v>44</v>
      </c>
      <c r="B798" t="s">
        <v>25</v>
      </c>
      <c r="C798" s="1">
        <v>6</v>
      </c>
      <c r="D798" t="s">
        <v>19</v>
      </c>
      <c r="E798" t="s">
        <v>14</v>
      </c>
      <c r="F798" t="s">
        <v>22</v>
      </c>
      <c r="G798" t="s">
        <v>16</v>
      </c>
      <c r="H798" t="s">
        <v>21</v>
      </c>
      <c r="I798" s="3">
        <v>16854</v>
      </c>
      <c r="J798" s="3" t="str">
        <f>IF(I798&gt;16000, "High", IF(I798&gt;=12000, IF(I798&lt;=15000, "Medium", "High"), "Low"))</f>
        <v>High</v>
      </c>
      <c r="K798" t="b">
        <v>1</v>
      </c>
      <c r="L798" t="b">
        <v>0</v>
      </c>
      <c r="M798" t="b">
        <v>0</v>
      </c>
    </row>
    <row r="799" spans="1:13" hidden="1" x14ac:dyDescent="0.3">
      <c r="A799">
        <v>51</v>
      </c>
      <c r="B799" t="s">
        <v>25</v>
      </c>
      <c r="C799" s="1">
        <v>1</v>
      </c>
      <c r="D799" t="s">
        <v>19</v>
      </c>
      <c r="E799" t="s">
        <v>14</v>
      </c>
      <c r="F799" t="s">
        <v>22</v>
      </c>
      <c r="G799" t="s">
        <v>16</v>
      </c>
      <c r="H799" t="s">
        <v>17</v>
      </c>
      <c r="I799" s="3">
        <v>17637</v>
      </c>
      <c r="J799" s="3" t="str">
        <f>IF(I799&gt;16000, "High", IF(I799&gt;=12000, IF(I799&lt;=15000, "Medium", "High"), "Low"))</f>
        <v>High</v>
      </c>
      <c r="K799" t="b">
        <v>0</v>
      </c>
      <c r="L799" t="b">
        <v>1</v>
      </c>
      <c r="M799" t="b">
        <v>1</v>
      </c>
    </row>
    <row r="800" spans="1:13" hidden="1" x14ac:dyDescent="0.3">
      <c r="A800">
        <v>55</v>
      </c>
      <c r="B800" t="s">
        <v>12</v>
      </c>
      <c r="C800" s="1">
        <v>1</v>
      </c>
      <c r="D800" t="s">
        <v>13</v>
      </c>
      <c r="E800" t="s">
        <v>14</v>
      </c>
      <c r="F800" t="s">
        <v>27</v>
      </c>
      <c r="G800" t="s">
        <v>16</v>
      </c>
      <c r="H800" t="s">
        <v>17</v>
      </c>
      <c r="I800" s="3">
        <v>14841</v>
      </c>
      <c r="J800" s="3" t="str">
        <f>IF(I800&gt;16000, "High", IF(I800&gt;=12000, IF(I800&lt;=15000, "Medium", "High"), "Low"))</f>
        <v>Medium</v>
      </c>
      <c r="K800" t="b">
        <v>0</v>
      </c>
      <c r="L800" t="b">
        <v>0</v>
      </c>
      <c r="M800" t="b">
        <v>1</v>
      </c>
    </row>
    <row r="801" spans="1:13" hidden="1" x14ac:dyDescent="0.3">
      <c r="A801">
        <v>50</v>
      </c>
      <c r="B801" t="s">
        <v>18</v>
      </c>
      <c r="C801" s="1">
        <v>2</v>
      </c>
      <c r="D801" t="s">
        <v>28</v>
      </c>
      <c r="E801" t="s">
        <v>26</v>
      </c>
      <c r="F801" t="s">
        <v>15</v>
      </c>
      <c r="G801" t="s">
        <v>29</v>
      </c>
      <c r="H801" t="s">
        <v>21</v>
      </c>
      <c r="I801" s="3">
        <v>13867</v>
      </c>
      <c r="J801" s="3" t="str">
        <f>IF(I801&gt;16000, "High", IF(I801&gt;=12000, IF(I801&lt;=15000, "Medium", "High"), "Low"))</f>
        <v>Medium</v>
      </c>
      <c r="K801" t="b">
        <v>1</v>
      </c>
      <c r="L801" t="b">
        <v>0</v>
      </c>
      <c r="M801" t="b">
        <v>1</v>
      </c>
    </row>
    <row r="802" spans="1:13" hidden="1" x14ac:dyDescent="0.3">
      <c r="A802">
        <v>41</v>
      </c>
      <c r="B802" t="s">
        <v>12</v>
      </c>
      <c r="C802" s="1">
        <v>6</v>
      </c>
      <c r="D802" t="s">
        <v>28</v>
      </c>
      <c r="E802" t="s">
        <v>26</v>
      </c>
      <c r="F802" t="s">
        <v>15</v>
      </c>
      <c r="G802" t="s">
        <v>29</v>
      </c>
      <c r="H802" t="s">
        <v>17</v>
      </c>
      <c r="I802" s="3">
        <v>13793</v>
      </c>
      <c r="J802" s="3" t="str">
        <f>IF(I802&gt;16000, "High", IF(I802&gt;=12000, IF(I802&lt;=15000, "Medium", "High"), "Low"))</f>
        <v>Medium</v>
      </c>
      <c r="K802" t="b">
        <v>1</v>
      </c>
      <c r="L802" t="b">
        <v>1</v>
      </c>
      <c r="M802" t="b">
        <v>0</v>
      </c>
    </row>
    <row r="803" spans="1:13" hidden="1" x14ac:dyDescent="0.3">
      <c r="A803">
        <v>32</v>
      </c>
      <c r="B803" t="s">
        <v>12</v>
      </c>
      <c r="C803" s="1">
        <v>6</v>
      </c>
      <c r="D803" t="s">
        <v>13</v>
      </c>
      <c r="E803" t="s">
        <v>26</v>
      </c>
      <c r="F803" t="s">
        <v>27</v>
      </c>
      <c r="G803" t="s">
        <v>16</v>
      </c>
      <c r="H803" t="s">
        <v>21</v>
      </c>
      <c r="I803" s="3">
        <v>17373</v>
      </c>
      <c r="J803" s="3" t="str">
        <f>IF(I803&gt;16000, "High", IF(I803&gt;=12000, IF(I803&lt;=15000, "Medium", "High"), "Low"))</f>
        <v>High</v>
      </c>
      <c r="K803" t="b">
        <v>0</v>
      </c>
      <c r="L803" t="b">
        <v>0</v>
      </c>
      <c r="M803" t="b">
        <v>1</v>
      </c>
    </row>
    <row r="804" spans="1:13" hidden="1" x14ac:dyDescent="0.3">
      <c r="A804">
        <v>47</v>
      </c>
      <c r="B804" t="s">
        <v>25</v>
      </c>
      <c r="C804" s="1">
        <v>2</v>
      </c>
      <c r="D804" t="s">
        <v>19</v>
      </c>
      <c r="E804" t="s">
        <v>14</v>
      </c>
      <c r="F804" t="s">
        <v>15</v>
      </c>
      <c r="G804" t="s">
        <v>23</v>
      </c>
      <c r="H804" t="s">
        <v>24</v>
      </c>
      <c r="I804" s="3">
        <v>12513</v>
      </c>
      <c r="J804" s="3" t="str">
        <f>IF(I804&gt;16000, "High", IF(I804&gt;=12000, IF(I804&lt;=15000, "Medium", "High"), "Low"))</f>
        <v>Medium</v>
      </c>
      <c r="K804" t="b">
        <v>1</v>
      </c>
      <c r="L804" t="b">
        <v>0</v>
      </c>
      <c r="M804" t="b">
        <v>1</v>
      </c>
    </row>
    <row r="805" spans="1:13" hidden="1" x14ac:dyDescent="0.3">
      <c r="A805">
        <v>59</v>
      </c>
      <c r="B805" t="s">
        <v>12</v>
      </c>
      <c r="C805" s="1">
        <v>1</v>
      </c>
      <c r="D805" t="s">
        <v>19</v>
      </c>
      <c r="E805" t="s">
        <v>26</v>
      </c>
      <c r="F805" t="s">
        <v>27</v>
      </c>
      <c r="G805" t="s">
        <v>16</v>
      </c>
      <c r="H805" t="s">
        <v>17</v>
      </c>
      <c r="I805" s="3">
        <v>13803</v>
      </c>
      <c r="J805" s="3" t="str">
        <f>IF(I805&gt;16000, "High", IF(I805&gt;=12000, IF(I805&lt;=15000, "Medium", "High"), "Low"))</f>
        <v>Medium</v>
      </c>
      <c r="K805" t="b">
        <v>0</v>
      </c>
      <c r="L805" t="b">
        <v>1</v>
      </c>
      <c r="M805" t="b">
        <v>1</v>
      </c>
    </row>
    <row r="806" spans="1:13" hidden="1" x14ac:dyDescent="0.3">
      <c r="A806">
        <v>34</v>
      </c>
      <c r="B806" t="s">
        <v>25</v>
      </c>
      <c r="C806" s="1">
        <v>5</v>
      </c>
      <c r="D806" t="s">
        <v>19</v>
      </c>
      <c r="E806" t="s">
        <v>20</v>
      </c>
      <c r="F806" t="s">
        <v>15</v>
      </c>
      <c r="G806" t="s">
        <v>29</v>
      </c>
      <c r="H806" t="s">
        <v>24</v>
      </c>
      <c r="I806" s="3">
        <v>12327</v>
      </c>
      <c r="J806" s="3" t="str">
        <f>IF(I806&gt;16000, "High", IF(I806&gt;=12000, IF(I806&lt;=15000, "Medium", "High"), "Low"))</f>
        <v>Medium</v>
      </c>
      <c r="K806" t="b">
        <v>1</v>
      </c>
      <c r="L806" t="b">
        <v>0</v>
      </c>
      <c r="M806" t="b">
        <v>1</v>
      </c>
    </row>
    <row r="807" spans="1:13" hidden="1" x14ac:dyDescent="0.3">
      <c r="A807">
        <v>22</v>
      </c>
      <c r="B807" t="s">
        <v>18</v>
      </c>
      <c r="C807" s="1">
        <v>5</v>
      </c>
      <c r="D807" t="s">
        <v>13</v>
      </c>
      <c r="E807" t="s">
        <v>26</v>
      </c>
      <c r="F807" t="s">
        <v>27</v>
      </c>
      <c r="G807" t="s">
        <v>23</v>
      </c>
      <c r="H807" t="s">
        <v>24</v>
      </c>
      <c r="I807" s="3">
        <v>18809</v>
      </c>
      <c r="J807" s="3" t="str">
        <f>IF(I807&gt;16000, "High", IF(I807&gt;=12000, IF(I807&lt;=15000, "Medium", "High"), "Low"))</f>
        <v>High</v>
      </c>
      <c r="K807" t="b">
        <v>0</v>
      </c>
      <c r="L807" t="b">
        <v>1</v>
      </c>
      <c r="M807" t="b">
        <v>0</v>
      </c>
    </row>
    <row r="808" spans="1:13" hidden="1" x14ac:dyDescent="0.3">
      <c r="A808">
        <v>46</v>
      </c>
      <c r="B808" t="s">
        <v>25</v>
      </c>
      <c r="C808" s="1">
        <v>2</v>
      </c>
      <c r="D808" t="s">
        <v>19</v>
      </c>
      <c r="E808" t="s">
        <v>20</v>
      </c>
      <c r="F808" t="s">
        <v>15</v>
      </c>
      <c r="G808" t="s">
        <v>29</v>
      </c>
      <c r="H808" t="s">
        <v>24</v>
      </c>
      <c r="I808" s="3">
        <v>12165</v>
      </c>
      <c r="J808" s="3" t="str">
        <f>IF(I808&gt;16000, "High", IF(I808&gt;=12000, IF(I808&lt;=15000, "Medium", "High"), "Low"))</f>
        <v>Medium</v>
      </c>
      <c r="K808" t="b">
        <v>0</v>
      </c>
      <c r="L808" t="b">
        <v>1</v>
      </c>
      <c r="M808" t="b">
        <v>0</v>
      </c>
    </row>
    <row r="809" spans="1:13" hidden="1" x14ac:dyDescent="0.3">
      <c r="A809">
        <v>21</v>
      </c>
      <c r="B809" t="s">
        <v>12</v>
      </c>
      <c r="C809" s="1">
        <v>6</v>
      </c>
      <c r="D809" t="s">
        <v>13</v>
      </c>
      <c r="E809" t="s">
        <v>26</v>
      </c>
      <c r="F809" t="s">
        <v>27</v>
      </c>
      <c r="G809" t="s">
        <v>23</v>
      </c>
      <c r="H809" t="s">
        <v>21</v>
      </c>
      <c r="I809" s="3">
        <v>13308</v>
      </c>
      <c r="J809" s="3" t="str">
        <f>IF(I809&gt;16000, "High", IF(I809&gt;=12000, IF(I809&lt;=15000, "Medium", "High"), "Low"))</f>
        <v>Medium</v>
      </c>
      <c r="K809" t="b">
        <v>0</v>
      </c>
      <c r="L809" t="b">
        <v>1</v>
      </c>
      <c r="M809" t="b">
        <v>0</v>
      </c>
    </row>
    <row r="810" spans="1:13" hidden="1" x14ac:dyDescent="0.3">
      <c r="A810">
        <v>27</v>
      </c>
      <c r="B810" t="s">
        <v>12</v>
      </c>
      <c r="C810" s="1">
        <v>9</v>
      </c>
      <c r="D810" t="s">
        <v>13</v>
      </c>
      <c r="E810" t="s">
        <v>14</v>
      </c>
      <c r="F810" t="s">
        <v>15</v>
      </c>
      <c r="G810" t="s">
        <v>29</v>
      </c>
      <c r="H810" t="s">
        <v>24</v>
      </c>
      <c r="I810" s="3">
        <v>16452</v>
      </c>
      <c r="J810" s="3" t="str">
        <f>IF(I810&gt;16000, "High", IF(I810&gt;=12000, IF(I810&lt;=15000, "Medium", "High"), "Low"))</f>
        <v>High</v>
      </c>
      <c r="K810" t="b">
        <v>0</v>
      </c>
      <c r="L810" t="b">
        <v>0</v>
      </c>
      <c r="M810" t="b">
        <v>1</v>
      </c>
    </row>
    <row r="811" spans="1:13" hidden="1" x14ac:dyDescent="0.3">
      <c r="A811">
        <v>34</v>
      </c>
      <c r="B811" t="s">
        <v>25</v>
      </c>
      <c r="C811" s="1">
        <v>2</v>
      </c>
      <c r="D811" t="s">
        <v>28</v>
      </c>
      <c r="E811" t="s">
        <v>26</v>
      </c>
      <c r="F811" t="s">
        <v>22</v>
      </c>
      <c r="G811" t="s">
        <v>23</v>
      </c>
      <c r="H811" t="s">
        <v>24</v>
      </c>
      <c r="I811" s="3">
        <v>18067</v>
      </c>
      <c r="J811" s="3" t="str">
        <f>IF(I811&gt;16000, "High", IF(I811&gt;=12000, IF(I811&lt;=15000, "Medium", "High"), "Low"))</f>
        <v>High</v>
      </c>
      <c r="K811" t="b">
        <v>1</v>
      </c>
      <c r="L811" t="b">
        <v>0</v>
      </c>
      <c r="M811" t="b">
        <v>1</v>
      </c>
    </row>
    <row r="812" spans="1:13" hidden="1" x14ac:dyDescent="0.3">
      <c r="A812">
        <v>27</v>
      </c>
      <c r="B812" t="s">
        <v>25</v>
      </c>
      <c r="C812" s="1">
        <v>2</v>
      </c>
      <c r="D812" t="s">
        <v>19</v>
      </c>
      <c r="E812" t="s">
        <v>20</v>
      </c>
      <c r="F812" t="s">
        <v>15</v>
      </c>
      <c r="G812" t="s">
        <v>23</v>
      </c>
      <c r="H812" t="s">
        <v>24</v>
      </c>
      <c r="I812" s="3">
        <v>17642</v>
      </c>
      <c r="J812" s="3" t="str">
        <f>IF(I812&gt;16000, "High", IF(I812&gt;=12000, IF(I812&lt;=15000, "Medium", "High"), "Low"))</f>
        <v>High</v>
      </c>
      <c r="K812" t="b">
        <v>1</v>
      </c>
      <c r="L812" t="b">
        <v>0</v>
      </c>
      <c r="M812" t="b">
        <v>1</v>
      </c>
    </row>
    <row r="813" spans="1:13" hidden="1" x14ac:dyDescent="0.3">
      <c r="A813">
        <v>34</v>
      </c>
      <c r="B813" t="s">
        <v>12</v>
      </c>
      <c r="C813" s="1">
        <v>3</v>
      </c>
      <c r="D813" t="s">
        <v>13</v>
      </c>
      <c r="E813" t="s">
        <v>20</v>
      </c>
      <c r="F813" t="s">
        <v>27</v>
      </c>
      <c r="G813" t="s">
        <v>23</v>
      </c>
      <c r="H813" t="s">
        <v>21</v>
      </c>
      <c r="I813" s="3">
        <v>16404</v>
      </c>
      <c r="J813" s="3" t="str">
        <f>IF(I813&gt;16000, "High", IF(I813&gt;=12000, IF(I813&lt;=15000, "Medium", "High"), "Low"))</f>
        <v>High</v>
      </c>
      <c r="K813" t="b">
        <v>0</v>
      </c>
      <c r="L813" t="b">
        <v>0</v>
      </c>
      <c r="M813" t="b">
        <v>1</v>
      </c>
    </row>
    <row r="814" spans="1:13" x14ac:dyDescent="0.3">
      <c r="A814">
        <v>28</v>
      </c>
      <c r="B814" t="s">
        <v>18</v>
      </c>
      <c r="C814" s="1">
        <v>9</v>
      </c>
      <c r="D814" t="s">
        <v>19</v>
      </c>
      <c r="E814" t="s">
        <v>20</v>
      </c>
      <c r="F814" t="s">
        <v>22</v>
      </c>
      <c r="G814" t="s">
        <v>23</v>
      </c>
      <c r="H814" t="s">
        <v>24</v>
      </c>
      <c r="I814" s="3">
        <v>15192</v>
      </c>
      <c r="J814" s="3" t="str">
        <f>IF(I814&gt;16000, "High", IF(I814&gt;=12000, IF(I814&lt;=15000, "Medium", "High"), "Low"))</f>
        <v>High</v>
      </c>
      <c r="K814" t="b">
        <v>0</v>
      </c>
      <c r="L814" t="b">
        <v>0</v>
      </c>
      <c r="M814" t="b">
        <v>1</v>
      </c>
    </row>
    <row r="815" spans="1:13" x14ac:dyDescent="0.3">
      <c r="A815">
        <v>33</v>
      </c>
      <c r="B815" t="s">
        <v>18</v>
      </c>
      <c r="C815" s="1">
        <v>8</v>
      </c>
      <c r="D815" t="s">
        <v>19</v>
      </c>
      <c r="E815" t="s">
        <v>20</v>
      </c>
      <c r="F815" t="s">
        <v>22</v>
      </c>
      <c r="G815" t="s">
        <v>23</v>
      </c>
      <c r="H815" t="s">
        <v>24</v>
      </c>
      <c r="I815" s="3">
        <v>17339</v>
      </c>
      <c r="J815" s="3" t="str">
        <f>IF(I815&gt;16000, "High", IF(I815&gt;=12000, IF(I815&lt;=15000, "Medium", "High"), "Low"))</f>
        <v>High</v>
      </c>
      <c r="K815" t="b">
        <v>1</v>
      </c>
      <c r="L815" t="b">
        <v>1</v>
      </c>
      <c r="M815" t="b">
        <v>0</v>
      </c>
    </row>
    <row r="816" spans="1:13" hidden="1" x14ac:dyDescent="0.3">
      <c r="A816">
        <v>22</v>
      </c>
      <c r="B816" t="s">
        <v>25</v>
      </c>
      <c r="C816" s="1">
        <v>8</v>
      </c>
      <c r="D816" t="s">
        <v>28</v>
      </c>
      <c r="E816" t="s">
        <v>20</v>
      </c>
      <c r="F816" t="s">
        <v>22</v>
      </c>
      <c r="G816" t="s">
        <v>29</v>
      </c>
      <c r="H816" t="s">
        <v>17</v>
      </c>
      <c r="I816" s="3">
        <v>19569</v>
      </c>
      <c r="J816" s="3" t="str">
        <f>IF(I816&gt;16000, "High", IF(I816&gt;=12000, IF(I816&lt;=15000, "Medium", "High"), "Low"))</f>
        <v>High</v>
      </c>
      <c r="K816" t="b">
        <v>0</v>
      </c>
      <c r="L816" t="b">
        <v>1</v>
      </c>
      <c r="M816" t="b">
        <v>0</v>
      </c>
    </row>
    <row r="817" spans="1:13" x14ac:dyDescent="0.3">
      <c r="A817">
        <v>53</v>
      </c>
      <c r="B817" t="s">
        <v>18</v>
      </c>
      <c r="C817" s="1">
        <v>5</v>
      </c>
      <c r="D817" t="s">
        <v>19</v>
      </c>
      <c r="E817" t="s">
        <v>14</v>
      </c>
      <c r="F817" t="s">
        <v>15</v>
      </c>
      <c r="G817" t="s">
        <v>29</v>
      </c>
      <c r="H817" t="s">
        <v>24</v>
      </c>
      <c r="I817" s="3">
        <v>19747</v>
      </c>
      <c r="J817" s="3" t="str">
        <f>IF(I817&gt;16000, "High", IF(I817&gt;=12000, IF(I817&lt;=15000, "Medium", "High"), "Low"))</f>
        <v>High</v>
      </c>
      <c r="K817" t="b">
        <v>1</v>
      </c>
      <c r="L817" t="b">
        <v>0</v>
      </c>
      <c r="M817" t="b">
        <v>0</v>
      </c>
    </row>
    <row r="818" spans="1:13" hidden="1" x14ac:dyDescent="0.3">
      <c r="A818">
        <v>23</v>
      </c>
      <c r="B818" t="s">
        <v>12</v>
      </c>
      <c r="C818" s="1">
        <v>6</v>
      </c>
      <c r="D818" t="s">
        <v>28</v>
      </c>
      <c r="E818" t="s">
        <v>26</v>
      </c>
      <c r="F818" t="s">
        <v>22</v>
      </c>
      <c r="G818" t="s">
        <v>23</v>
      </c>
      <c r="H818" t="s">
        <v>24</v>
      </c>
      <c r="I818" s="3">
        <v>13174</v>
      </c>
      <c r="J818" s="3" t="str">
        <f>IF(I818&gt;16000, "High", IF(I818&gt;=12000, IF(I818&lt;=15000, "Medium", "High"), "Low"))</f>
        <v>Medium</v>
      </c>
      <c r="K818" t="b">
        <v>0</v>
      </c>
      <c r="L818" t="b">
        <v>0</v>
      </c>
      <c r="M818" t="b">
        <v>1</v>
      </c>
    </row>
    <row r="819" spans="1:13" hidden="1" x14ac:dyDescent="0.3">
      <c r="A819">
        <v>19</v>
      </c>
      <c r="B819" t="s">
        <v>25</v>
      </c>
      <c r="C819" s="1">
        <v>3</v>
      </c>
      <c r="D819" t="s">
        <v>13</v>
      </c>
      <c r="E819" t="s">
        <v>26</v>
      </c>
      <c r="F819" t="s">
        <v>27</v>
      </c>
      <c r="G819" t="s">
        <v>29</v>
      </c>
      <c r="H819" t="s">
        <v>17</v>
      </c>
      <c r="I819" s="3">
        <v>14782</v>
      </c>
      <c r="J819" s="3" t="str">
        <f>IF(I819&gt;16000, "High", IF(I819&gt;=12000, IF(I819&lt;=15000, "Medium", "High"), "Low"))</f>
        <v>Medium</v>
      </c>
      <c r="K819" t="b">
        <v>0</v>
      </c>
      <c r="L819" t="b">
        <v>0</v>
      </c>
      <c r="M819" t="b">
        <v>0</v>
      </c>
    </row>
    <row r="820" spans="1:13" hidden="1" x14ac:dyDescent="0.3">
      <c r="A820">
        <v>30</v>
      </c>
      <c r="B820" t="s">
        <v>12</v>
      </c>
      <c r="C820" s="1">
        <v>3</v>
      </c>
      <c r="D820" t="s">
        <v>19</v>
      </c>
      <c r="E820" t="s">
        <v>26</v>
      </c>
      <c r="F820" t="s">
        <v>15</v>
      </c>
      <c r="G820" t="s">
        <v>23</v>
      </c>
      <c r="H820" t="s">
        <v>21</v>
      </c>
      <c r="I820" s="3">
        <v>19497</v>
      </c>
      <c r="J820" s="3" t="str">
        <f>IF(I820&gt;16000, "High", IF(I820&gt;=12000, IF(I820&lt;=15000, "Medium", "High"), "Low"))</f>
        <v>High</v>
      </c>
      <c r="K820" t="b">
        <v>0</v>
      </c>
      <c r="L820" t="b">
        <v>0</v>
      </c>
      <c r="M820" t="b">
        <v>1</v>
      </c>
    </row>
    <row r="821" spans="1:13" hidden="1" x14ac:dyDescent="0.3">
      <c r="A821">
        <v>60</v>
      </c>
      <c r="B821" t="s">
        <v>12</v>
      </c>
      <c r="C821" s="1">
        <v>1</v>
      </c>
      <c r="D821" t="s">
        <v>13</v>
      </c>
      <c r="E821" t="s">
        <v>20</v>
      </c>
      <c r="F821" t="s">
        <v>15</v>
      </c>
      <c r="G821" t="s">
        <v>23</v>
      </c>
      <c r="H821" t="s">
        <v>21</v>
      </c>
      <c r="I821" s="3">
        <v>15560</v>
      </c>
      <c r="J821" s="3" t="str">
        <f>IF(I821&gt;16000, "High", IF(I821&gt;=12000, IF(I821&lt;=15000, "Medium", "High"), "Low"))</f>
        <v>High</v>
      </c>
      <c r="K821" t="b">
        <v>0</v>
      </c>
      <c r="L821" t="b">
        <v>0</v>
      </c>
      <c r="M821" t="b">
        <v>1</v>
      </c>
    </row>
    <row r="822" spans="1:13" x14ac:dyDescent="0.3">
      <c r="A822">
        <v>51</v>
      </c>
      <c r="B822" t="s">
        <v>18</v>
      </c>
      <c r="C822" s="1">
        <v>8</v>
      </c>
      <c r="D822" t="s">
        <v>19</v>
      </c>
      <c r="E822" t="s">
        <v>26</v>
      </c>
      <c r="F822" t="s">
        <v>22</v>
      </c>
      <c r="G822" t="s">
        <v>23</v>
      </c>
      <c r="H822" t="s">
        <v>24</v>
      </c>
      <c r="I822" s="3">
        <v>18012</v>
      </c>
      <c r="J822" s="3" t="str">
        <f>IF(I822&gt;16000, "High", IF(I822&gt;=12000, IF(I822&lt;=15000, "Medium", "High"), "Low"))</f>
        <v>High</v>
      </c>
      <c r="K822" t="b">
        <v>1</v>
      </c>
      <c r="L822" t="b">
        <v>0</v>
      </c>
      <c r="M822" t="b">
        <v>0</v>
      </c>
    </row>
    <row r="823" spans="1:13" hidden="1" x14ac:dyDescent="0.3">
      <c r="A823">
        <v>28</v>
      </c>
      <c r="B823" t="s">
        <v>25</v>
      </c>
      <c r="C823" s="1">
        <v>5</v>
      </c>
      <c r="D823" t="s">
        <v>13</v>
      </c>
      <c r="E823" t="s">
        <v>26</v>
      </c>
      <c r="F823" t="s">
        <v>22</v>
      </c>
      <c r="G823" t="s">
        <v>16</v>
      </c>
      <c r="H823" t="s">
        <v>21</v>
      </c>
      <c r="I823" s="3">
        <v>13078</v>
      </c>
      <c r="J823" s="3" t="str">
        <f>IF(I823&gt;16000, "High", IF(I823&gt;=12000, IF(I823&lt;=15000, "Medium", "High"), "Low"))</f>
        <v>Medium</v>
      </c>
      <c r="K823" t="b">
        <v>0</v>
      </c>
      <c r="L823" t="b">
        <v>0</v>
      </c>
      <c r="M823" t="b">
        <v>1</v>
      </c>
    </row>
    <row r="824" spans="1:13" hidden="1" x14ac:dyDescent="0.3">
      <c r="A824">
        <v>64</v>
      </c>
      <c r="B824" t="s">
        <v>25</v>
      </c>
      <c r="C824" s="1">
        <v>4</v>
      </c>
      <c r="D824" t="s">
        <v>19</v>
      </c>
      <c r="E824" t="s">
        <v>14</v>
      </c>
      <c r="F824" t="s">
        <v>27</v>
      </c>
      <c r="G824" t="s">
        <v>23</v>
      </c>
      <c r="H824" t="s">
        <v>21</v>
      </c>
      <c r="I824" s="3">
        <v>12983</v>
      </c>
      <c r="J824" s="3" t="str">
        <f>IF(I824&gt;16000, "High", IF(I824&gt;=12000, IF(I824&lt;=15000, "Medium", "High"), "Low"))</f>
        <v>Medium</v>
      </c>
      <c r="K824" t="b">
        <v>0</v>
      </c>
      <c r="L824" t="b">
        <v>0</v>
      </c>
      <c r="M824" t="b">
        <v>0</v>
      </c>
    </row>
    <row r="825" spans="1:13" x14ac:dyDescent="0.3">
      <c r="A825">
        <v>21</v>
      </c>
      <c r="B825" t="s">
        <v>18</v>
      </c>
      <c r="C825" s="1">
        <v>7</v>
      </c>
      <c r="D825" t="s">
        <v>19</v>
      </c>
      <c r="E825" t="s">
        <v>14</v>
      </c>
      <c r="F825" t="s">
        <v>22</v>
      </c>
      <c r="G825" t="s">
        <v>29</v>
      </c>
      <c r="H825" t="s">
        <v>24</v>
      </c>
      <c r="I825" s="3">
        <v>17329</v>
      </c>
      <c r="J825" s="3" t="str">
        <f>IF(I825&gt;16000, "High", IF(I825&gt;=12000, IF(I825&lt;=15000, "Medium", "High"), "Low"))</f>
        <v>High</v>
      </c>
      <c r="K825" t="b">
        <v>0</v>
      </c>
      <c r="L825" t="b">
        <v>0</v>
      </c>
      <c r="M825" t="b">
        <v>0</v>
      </c>
    </row>
    <row r="826" spans="1:13" hidden="1" x14ac:dyDescent="0.3">
      <c r="A826">
        <v>33</v>
      </c>
      <c r="B826" t="s">
        <v>12</v>
      </c>
      <c r="C826" s="1">
        <v>4</v>
      </c>
      <c r="D826" t="s">
        <v>19</v>
      </c>
      <c r="E826" t="s">
        <v>14</v>
      </c>
      <c r="F826" t="s">
        <v>22</v>
      </c>
      <c r="G826" t="s">
        <v>23</v>
      </c>
      <c r="H826" t="s">
        <v>24</v>
      </c>
      <c r="I826" s="3">
        <v>16054</v>
      </c>
      <c r="J826" s="3" t="str">
        <f>IF(I826&gt;16000, "High", IF(I826&gt;=12000, IF(I826&lt;=15000, "Medium", "High"), "Low"))</f>
        <v>High</v>
      </c>
      <c r="K826" t="b">
        <v>0</v>
      </c>
      <c r="L826" t="b">
        <v>0</v>
      </c>
      <c r="M826" t="b">
        <v>1</v>
      </c>
    </row>
    <row r="827" spans="1:13" hidden="1" x14ac:dyDescent="0.3">
      <c r="A827">
        <v>48</v>
      </c>
      <c r="B827" t="s">
        <v>12</v>
      </c>
      <c r="C827" s="1">
        <v>6</v>
      </c>
      <c r="D827" t="s">
        <v>19</v>
      </c>
      <c r="E827" t="s">
        <v>20</v>
      </c>
      <c r="F827" t="s">
        <v>27</v>
      </c>
      <c r="G827" t="s">
        <v>29</v>
      </c>
      <c r="H827" t="s">
        <v>24</v>
      </c>
      <c r="I827" s="3">
        <v>12523</v>
      </c>
      <c r="J827" s="3" t="str">
        <f>IF(I827&gt;16000, "High", IF(I827&gt;=12000, IF(I827&lt;=15000, "Medium", "High"), "Low"))</f>
        <v>Medium</v>
      </c>
      <c r="K827" t="b">
        <v>0</v>
      </c>
      <c r="L827" t="b">
        <v>1</v>
      </c>
      <c r="M827" t="b">
        <v>0</v>
      </c>
    </row>
    <row r="828" spans="1:13" hidden="1" x14ac:dyDescent="0.3">
      <c r="A828">
        <v>28</v>
      </c>
      <c r="B828" t="s">
        <v>12</v>
      </c>
      <c r="C828" s="1">
        <v>8</v>
      </c>
      <c r="D828" t="s">
        <v>19</v>
      </c>
      <c r="E828" t="s">
        <v>26</v>
      </c>
      <c r="F828" t="s">
        <v>15</v>
      </c>
      <c r="G828" t="s">
        <v>16</v>
      </c>
      <c r="H828" t="s">
        <v>24</v>
      </c>
      <c r="I828" s="3">
        <v>19677</v>
      </c>
      <c r="J828" s="3" t="str">
        <f>IF(I828&gt;16000, "High", IF(I828&gt;=12000, IF(I828&lt;=15000, "Medium", "High"), "Low"))</f>
        <v>High</v>
      </c>
      <c r="K828" t="b">
        <v>0</v>
      </c>
      <c r="L828" t="b">
        <v>0</v>
      </c>
      <c r="M828" t="b">
        <v>1</v>
      </c>
    </row>
    <row r="829" spans="1:13" hidden="1" x14ac:dyDescent="0.3">
      <c r="A829">
        <v>33</v>
      </c>
      <c r="B829" t="s">
        <v>12</v>
      </c>
      <c r="C829" s="1">
        <v>8</v>
      </c>
      <c r="D829" t="s">
        <v>19</v>
      </c>
      <c r="E829" t="s">
        <v>14</v>
      </c>
      <c r="F829" t="s">
        <v>15</v>
      </c>
      <c r="G829" t="s">
        <v>16</v>
      </c>
      <c r="H829" t="s">
        <v>24</v>
      </c>
      <c r="I829" s="3">
        <v>14581</v>
      </c>
      <c r="J829" s="3" t="str">
        <f>IF(I829&gt;16000, "High", IF(I829&gt;=12000, IF(I829&lt;=15000, "Medium", "High"), "Low"))</f>
        <v>Medium</v>
      </c>
      <c r="K829" t="b">
        <v>1</v>
      </c>
      <c r="L829" t="b">
        <v>1</v>
      </c>
      <c r="M829" t="b">
        <v>1</v>
      </c>
    </row>
    <row r="830" spans="1:13" hidden="1" x14ac:dyDescent="0.3">
      <c r="A830">
        <v>25</v>
      </c>
      <c r="B830" t="s">
        <v>25</v>
      </c>
      <c r="C830" s="1">
        <v>5</v>
      </c>
      <c r="D830" t="s">
        <v>19</v>
      </c>
      <c r="E830" t="s">
        <v>14</v>
      </c>
      <c r="F830" t="s">
        <v>15</v>
      </c>
      <c r="G830" t="s">
        <v>23</v>
      </c>
      <c r="H830" t="s">
        <v>17</v>
      </c>
      <c r="I830" s="3">
        <v>15609</v>
      </c>
      <c r="J830" s="3" t="str">
        <f>IF(I830&gt;16000, "High", IF(I830&gt;=12000, IF(I830&lt;=15000, "Medium", "High"), "Low"))</f>
        <v>High</v>
      </c>
      <c r="K830" t="b">
        <v>1</v>
      </c>
      <c r="L830" t="b">
        <v>0</v>
      </c>
      <c r="M830" t="b">
        <v>1</v>
      </c>
    </row>
    <row r="831" spans="1:13" hidden="1" x14ac:dyDescent="0.3">
      <c r="A831">
        <v>21</v>
      </c>
      <c r="B831" t="s">
        <v>25</v>
      </c>
      <c r="C831" s="1">
        <v>6</v>
      </c>
      <c r="D831" t="s">
        <v>19</v>
      </c>
      <c r="E831" t="s">
        <v>14</v>
      </c>
      <c r="F831" t="s">
        <v>27</v>
      </c>
      <c r="G831" t="s">
        <v>23</v>
      </c>
      <c r="H831" t="s">
        <v>24</v>
      </c>
      <c r="I831" s="3">
        <v>12001</v>
      </c>
      <c r="J831" s="3" t="str">
        <f>IF(I831&gt;16000, "High", IF(I831&gt;=12000, IF(I831&lt;=15000, "Medium", "High"), "Low"))</f>
        <v>Medium</v>
      </c>
      <c r="K831" t="b">
        <v>1</v>
      </c>
      <c r="L831" t="b">
        <v>1</v>
      </c>
      <c r="M831" t="b">
        <v>0</v>
      </c>
    </row>
    <row r="832" spans="1:13" x14ac:dyDescent="0.3">
      <c r="A832">
        <v>44</v>
      </c>
      <c r="B832" t="s">
        <v>18</v>
      </c>
      <c r="C832" s="1">
        <v>7</v>
      </c>
      <c r="D832" t="s">
        <v>19</v>
      </c>
      <c r="E832" t="s">
        <v>20</v>
      </c>
      <c r="F832" t="s">
        <v>27</v>
      </c>
      <c r="G832" t="s">
        <v>16</v>
      </c>
      <c r="H832" t="s">
        <v>24</v>
      </c>
      <c r="I832" s="3">
        <v>19544</v>
      </c>
      <c r="J832" s="3" t="str">
        <f>IF(I832&gt;16000, "High", IF(I832&gt;=12000, IF(I832&lt;=15000, "Medium", "High"), "Low"))</f>
        <v>High</v>
      </c>
      <c r="K832" t="b">
        <v>1</v>
      </c>
      <c r="L832" t="b">
        <v>0</v>
      </c>
      <c r="M832" t="b">
        <v>1</v>
      </c>
    </row>
    <row r="833" spans="1:13" hidden="1" x14ac:dyDescent="0.3">
      <c r="A833">
        <v>21</v>
      </c>
      <c r="B833" t="s">
        <v>18</v>
      </c>
      <c r="C833" s="1">
        <v>9</v>
      </c>
      <c r="D833" t="s">
        <v>13</v>
      </c>
      <c r="E833" t="s">
        <v>26</v>
      </c>
      <c r="F833" t="s">
        <v>15</v>
      </c>
      <c r="G833" t="s">
        <v>29</v>
      </c>
      <c r="H833" t="s">
        <v>24</v>
      </c>
      <c r="I833" s="3">
        <v>16552</v>
      </c>
      <c r="J833" s="3" t="str">
        <f>IF(I833&gt;16000, "High", IF(I833&gt;=12000, IF(I833&lt;=15000, "Medium", "High"), "Low"))</f>
        <v>High</v>
      </c>
      <c r="K833" t="b">
        <v>0</v>
      </c>
      <c r="L833" t="b">
        <v>1</v>
      </c>
      <c r="M833" t="b">
        <v>1</v>
      </c>
    </row>
    <row r="834" spans="1:13" hidden="1" x14ac:dyDescent="0.3">
      <c r="A834">
        <v>42</v>
      </c>
      <c r="B834" t="s">
        <v>25</v>
      </c>
      <c r="C834" s="1">
        <v>8</v>
      </c>
      <c r="D834" t="s">
        <v>28</v>
      </c>
      <c r="E834" t="s">
        <v>26</v>
      </c>
      <c r="F834" t="s">
        <v>15</v>
      </c>
      <c r="G834" t="s">
        <v>29</v>
      </c>
      <c r="H834" t="s">
        <v>24</v>
      </c>
      <c r="I834" s="3">
        <v>11030</v>
      </c>
      <c r="J834" s="3" t="str">
        <f>IF(I834&gt;16000, "High", IF(I834&gt;=12000, IF(I834&lt;=15000, "Medium", "High"), "Low"))</f>
        <v>Low</v>
      </c>
      <c r="K834" t="b">
        <v>0</v>
      </c>
      <c r="L834" t="b">
        <v>1</v>
      </c>
      <c r="M834" t="b">
        <v>1</v>
      </c>
    </row>
    <row r="835" spans="1:13" hidden="1" x14ac:dyDescent="0.3">
      <c r="A835">
        <v>20</v>
      </c>
      <c r="B835" t="s">
        <v>25</v>
      </c>
      <c r="C835" s="1">
        <v>1</v>
      </c>
      <c r="D835" t="s">
        <v>19</v>
      </c>
      <c r="E835" t="s">
        <v>20</v>
      </c>
      <c r="F835" t="s">
        <v>15</v>
      </c>
      <c r="G835" t="s">
        <v>23</v>
      </c>
      <c r="H835" t="s">
        <v>21</v>
      </c>
      <c r="I835" s="3">
        <v>19957</v>
      </c>
      <c r="J835" s="3" t="str">
        <f>IF(I835&gt;16000, "High", IF(I835&gt;=12000, IF(I835&lt;=15000, "Medium", "High"), "Low"))</f>
        <v>High</v>
      </c>
      <c r="K835" t="b">
        <v>1</v>
      </c>
      <c r="L835" t="b">
        <v>1</v>
      </c>
      <c r="M835" t="b">
        <v>0</v>
      </c>
    </row>
    <row r="836" spans="1:13" hidden="1" x14ac:dyDescent="0.3">
      <c r="A836">
        <v>49</v>
      </c>
      <c r="B836" t="s">
        <v>12</v>
      </c>
      <c r="C836" s="1">
        <v>2</v>
      </c>
      <c r="D836" t="s">
        <v>28</v>
      </c>
      <c r="E836" t="s">
        <v>20</v>
      </c>
      <c r="F836" t="s">
        <v>15</v>
      </c>
      <c r="G836" t="s">
        <v>29</v>
      </c>
      <c r="H836" t="s">
        <v>24</v>
      </c>
      <c r="I836" s="3">
        <v>11220</v>
      </c>
      <c r="J836" s="3" t="str">
        <f>IF(I836&gt;16000, "High", IF(I836&gt;=12000, IF(I836&lt;=15000, "Medium", "High"), "Low"))</f>
        <v>Low</v>
      </c>
      <c r="K836" t="b">
        <v>0</v>
      </c>
      <c r="L836" t="b">
        <v>0</v>
      </c>
      <c r="M836" t="b">
        <v>0</v>
      </c>
    </row>
    <row r="837" spans="1:13" hidden="1" x14ac:dyDescent="0.3">
      <c r="A837">
        <v>20</v>
      </c>
      <c r="B837" t="s">
        <v>12</v>
      </c>
      <c r="C837" s="1">
        <v>9</v>
      </c>
      <c r="D837" t="s">
        <v>19</v>
      </c>
      <c r="E837" t="s">
        <v>14</v>
      </c>
      <c r="F837" t="s">
        <v>15</v>
      </c>
      <c r="G837" t="s">
        <v>29</v>
      </c>
      <c r="H837" t="s">
        <v>24</v>
      </c>
      <c r="I837" s="3">
        <v>16035</v>
      </c>
      <c r="J837" s="3" t="str">
        <f>IF(I837&gt;16000, "High", IF(I837&gt;=12000, IF(I837&lt;=15000, "Medium", "High"), "Low"))</f>
        <v>High</v>
      </c>
      <c r="K837" t="b">
        <v>1</v>
      </c>
      <c r="L837" t="b">
        <v>1</v>
      </c>
      <c r="M837" t="b">
        <v>0</v>
      </c>
    </row>
    <row r="838" spans="1:13" x14ac:dyDescent="0.3">
      <c r="A838">
        <v>33</v>
      </c>
      <c r="B838" t="s">
        <v>18</v>
      </c>
      <c r="C838" s="1">
        <v>2</v>
      </c>
      <c r="D838" t="s">
        <v>19</v>
      </c>
      <c r="E838" t="s">
        <v>26</v>
      </c>
      <c r="F838" t="s">
        <v>22</v>
      </c>
      <c r="G838" t="s">
        <v>29</v>
      </c>
      <c r="H838" t="s">
        <v>24</v>
      </c>
      <c r="I838" s="3">
        <v>14898</v>
      </c>
      <c r="J838" s="3" t="str">
        <f>IF(I838&gt;16000, "High", IF(I838&gt;=12000, IF(I838&lt;=15000, "Medium", "High"), "Low"))</f>
        <v>Medium</v>
      </c>
      <c r="K838" t="b">
        <v>1</v>
      </c>
      <c r="L838" t="b">
        <v>1</v>
      </c>
      <c r="M838" t="b">
        <v>0</v>
      </c>
    </row>
    <row r="839" spans="1:13" hidden="1" x14ac:dyDescent="0.3">
      <c r="A839">
        <v>46</v>
      </c>
      <c r="B839" t="s">
        <v>25</v>
      </c>
      <c r="C839" s="1">
        <v>3</v>
      </c>
      <c r="D839" t="s">
        <v>13</v>
      </c>
      <c r="E839" t="s">
        <v>14</v>
      </c>
      <c r="F839" t="s">
        <v>15</v>
      </c>
      <c r="G839" t="s">
        <v>29</v>
      </c>
      <c r="H839" t="s">
        <v>17</v>
      </c>
      <c r="I839" s="3">
        <v>19455</v>
      </c>
      <c r="J839" s="3" t="str">
        <f>IF(I839&gt;16000, "High", IF(I839&gt;=12000, IF(I839&lt;=15000, "Medium", "High"), "Low"))</f>
        <v>High</v>
      </c>
      <c r="K839" t="b">
        <v>1</v>
      </c>
      <c r="L839" t="b">
        <v>1</v>
      </c>
      <c r="M839" t="b">
        <v>0</v>
      </c>
    </row>
    <row r="840" spans="1:13" hidden="1" x14ac:dyDescent="0.3">
      <c r="A840">
        <v>49</v>
      </c>
      <c r="B840" t="s">
        <v>18</v>
      </c>
      <c r="C840" s="1">
        <v>8</v>
      </c>
      <c r="D840" t="s">
        <v>13</v>
      </c>
      <c r="E840" t="s">
        <v>26</v>
      </c>
      <c r="F840" t="s">
        <v>15</v>
      </c>
      <c r="G840" t="s">
        <v>23</v>
      </c>
      <c r="H840" t="s">
        <v>24</v>
      </c>
      <c r="I840" s="3">
        <v>16523</v>
      </c>
      <c r="J840" s="3" t="str">
        <f>IF(I840&gt;16000, "High", IF(I840&gt;=12000, IF(I840&lt;=15000, "Medium", "High"), "Low"))</f>
        <v>High</v>
      </c>
      <c r="K840" t="b">
        <v>1</v>
      </c>
      <c r="L840" t="b">
        <v>1</v>
      </c>
      <c r="M840" t="b">
        <v>1</v>
      </c>
    </row>
    <row r="841" spans="1:13" hidden="1" x14ac:dyDescent="0.3">
      <c r="A841">
        <v>36</v>
      </c>
      <c r="B841" t="s">
        <v>25</v>
      </c>
      <c r="C841" s="1">
        <v>1</v>
      </c>
      <c r="D841" t="s">
        <v>28</v>
      </c>
      <c r="E841" t="s">
        <v>26</v>
      </c>
      <c r="F841" t="s">
        <v>22</v>
      </c>
      <c r="G841" t="s">
        <v>16</v>
      </c>
      <c r="H841" t="s">
        <v>21</v>
      </c>
      <c r="I841" s="3">
        <v>18074</v>
      </c>
      <c r="J841" s="3" t="str">
        <f>IF(I841&gt;16000, "High", IF(I841&gt;=12000, IF(I841&lt;=15000, "Medium", "High"), "Low"))</f>
        <v>High</v>
      </c>
      <c r="K841" t="b">
        <v>1</v>
      </c>
      <c r="L841" t="b">
        <v>0</v>
      </c>
      <c r="M841" t="b">
        <v>0</v>
      </c>
    </row>
    <row r="842" spans="1:13" hidden="1" x14ac:dyDescent="0.3">
      <c r="A842">
        <v>38</v>
      </c>
      <c r="B842" t="s">
        <v>12</v>
      </c>
      <c r="C842" s="1">
        <v>4</v>
      </c>
      <c r="D842" t="s">
        <v>13</v>
      </c>
      <c r="E842" t="s">
        <v>26</v>
      </c>
      <c r="F842" t="s">
        <v>27</v>
      </c>
      <c r="G842" t="s">
        <v>23</v>
      </c>
      <c r="H842" t="s">
        <v>21</v>
      </c>
      <c r="I842" s="3">
        <v>19063</v>
      </c>
      <c r="J842" s="3" t="str">
        <f>IF(I842&gt;16000, "High", IF(I842&gt;=12000, IF(I842&lt;=15000, "Medium", "High"), "Low"))</f>
        <v>High</v>
      </c>
      <c r="K842" t="b">
        <v>0</v>
      </c>
      <c r="L842" t="b">
        <v>1</v>
      </c>
      <c r="M842" t="b">
        <v>0</v>
      </c>
    </row>
    <row r="843" spans="1:13" hidden="1" x14ac:dyDescent="0.3">
      <c r="A843">
        <v>22</v>
      </c>
      <c r="B843" t="s">
        <v>18</v>
      </c>
      <c r="C843" s="1">
        <v>3</v>
      </c>
      <c r="D843" t="s">
        <v>13</v>
      </c>
      <c r="E843" t="s">
        <v>20</v>
      </c>
      <c r="F843" t="s">
        <v>27</v>
      </c>
      <c r="G843" t="s">
        <v>16</v>
      </c>
      <c r="H843" t="s">
        <v>24</v>
      </c>
      <c r="I843" s="3">
        <v>10834</v>
      </c>
      <c r="J843" s="3" t="str">
        <f>IF(I843&gt;16000, "High", IF(I843&gt;=12000, IF(I843&lt;=15000, "Medium", "High"), "Low"))</f>
        <v>Low</v>
      </c>
      <c r="K843" t="b">
        <v>0</v>
      </c>
      <c r="L843" t="b">
        <v>1</v>
      </c>
      <c r="M843" t="b">
        <v>1</v>
      </c>
    </row>
    <row r="844" spans="1:13" hidden="1" x14ac:dyDescent="0.3">
      <c r="A844">
        <v>35</v>
      </c>
      <c r="B844" t="s">
        <v>18</v>
      </c>
      <c r="C844" s="1">
        <v>6</v>
      </c>
      <c r="D844" t="s">
        <v>28</v>
      </c>
      <c r="E844" t="s">
        <v>20</v>
      </c>
      <c r="F844" t="s">
        <v>27</v>
      </c>
      <c r="G844" t="s">
        <v>16</v>
      </c>
      <c r="H844" t="s">
        <v>24</v>
      </c>
      <c r="I844" s="3">
        <v>19110</v>
      </c>
      <c r="J844" s="3" t="str">
        <f>IF(I844&gt;16000, "High", IF(I844&gt;=12000, IF(I844&lt;=15000, "Medium", "High"), "Low"))</f>
        <v>High</v>
      </c>
      <c r="K844" t="b">
        <v>1</v>
      </c>
      <c r="L844" t="b">
        <v>1</v>
      </c>
      <c r="M844" t="b">
        <v>0</v>
      </c>
    </row>
    <row r="845" spans="1:13" hidden="1" x14ac:dyDescent="0.3">
      <c r="A845">
        <v>45</v>
      </c>
      <c r="B845" t="s">
        <v>25</v>
      </c>
      <c r="C845" s="1">
        <v>7</v>
      </c>
      <c r="D845" t="s">
        <v>13</v>
      </c>
      <c r="E845" t="s">
        <v>26</v>
      </c>
      <c r="F845" t="s">
        <v>27</v>
      </c>
      <c r="G845" t="s">
        <v>29</v>
      </c>
      <c r="H845" t="s">
        <v>24</v>
      </c>
      <c r="I845" s="3">
        <v>11724</v>
      </c>
      <c r="J845" s="3" t="str">
        <f>IF(I845&gt;16000, "High", IF(I845&gt;=12000, IF(I845&lt;=15000, "Medium", "High"), "Low"))</f>
        <v>Low</v>
      </c>
      <c r="K845" t="b">
        <v>0</v>
      </c>
      <c r="L845" t="b">
        <v>1</v>
      </c>
      <c r="M845" t="b">
        <v>1</v>
      </c>
    </row>
    <row r="846" spans="1:13" hidden="1" x14ac:dyDescent="0.3">
      <c r="A846">
        <v>59</v>
      </c>
      <c r="B846" t="s">
        <v>12</v>
      </c>
      <c r="C846" s="1">
        <v>4</v>
      </c>
      <c r="D846" t="s">
        <v>19</v>
      </c>
      <c r="E846" t="s">
        <v>14</v>
      </c>
      <c r="F846" t="s">
        <v>15</v>
      </c>
      <c r="G846" t="s">
        <v>29</v>
      </c>
      <c r="H846" t="s">
        <v>21</v>
      </c>
      <c r="I846" s="3">
        <v>16598</v>
      </c>
      <c r="J846" s="3" t="str">
        <f>IF(I846&gt;16000, "High", IF(I846&gt;=12000, IF(I846&lt;=15000, "Medium", "High"), "Low"))</f>
        <v>High</v>
      </c>
      <c r="K846" t="b">
        <v>0</v>
      </c>
      <c r="L846" t="b">
        <v>0</v>
      </c>
      <c r="M846" t="b">
        <v>0</v>
      </c>
    </row>
    <row r="847" spans="1:13" hidden="1" x14ac:dyDescent="0.3">
      <c r="A847">
        <v>39</v>
      </c>
      <c r="B847" t="s">
        <v>18</v>
      </c>
      <c r="C847" s="1">
        <v>7</v>
      </c>
      <c r="D847" t="s">
        <v>28</v>
      </c>
      <c r="E847" t="s">
        <v>26</v>
      </c>
      <c r="F847" t="s">
        <v>15</v>
      </c>
      <c r="G847" t="s">
        <v>29</v>
      </c>
      <c r="H847" t="s">
        <v>21</v>
      </c>
      <c r="I847" s="3">
        <v>12413</v>
      </c>
      <c r="J847" s="3" t="str">
        <f>IF(I847&gt;16000, "High", IF(I847&gt;=12000, IF(I847&lt;=15000, "Medium", "High"), "Low"))</f>
        <v>Medium</v>
      </c>
      <c r="K847" t="b">
        <v>1</v>
      </c>
      <c r="L847" t="b">
        <v>1</v>
      </c>
      <c r="M847" t="b">
        <v>1</v>
      </c>
    </row>
    <row r="848" spans="1:13" hidden="1" x14ac:dyDescent="0.3">
      <c r="A848">
        <v>38</v>
      </c>
      <c r="B848" t="s">
        <v>12</v>
      </c>
      <c r="C848" s="1">
        <v>9</v>
      </c>
      <c r="D848" t="s">
        <v>28</v>
      </c>
      <c r="E848" t="s">
        <v>26</v>
      </c>
      <c r="F848" t="s">
        <v>22</v>
      </c>
      <c r="G848" t="s">
        <v>23</v>
      </c>
      <c r="H848" t="s">
        <v>17</v>
      </c>
      <c r="I848" s="3">
        <v>19505</v>
      </c>
      <c r="J848" s="3" t="str">
        <f>IF(I848&gt;16000, "High", IF(I848&gt;=12000, IF(I848&lt;=15000, "Medium", "High"), "Low"))</f>
        <v>High</v>
      </c>
      <c r="K848" t="b">
        <v>1</v>
      </c>
      <c r="L848" t="b">
        <v>1</v>
      </c>
      <c r="M848" t="b">
        <v>1</v>
      </c>
    </row>
    <row r="849" spans="1:13" x14ac:dyDescent="0.3">
      <c r="A849">
        <v>33</v>
      </c>
      <c r="B849" t="s">
        <v>18</v>
      </c>
      <c r="C849" s="1">
        <v>5</v>
      </c>
      <c r="D849" t="s">
        <v>19</v>
      </c>
      <c r="E849" t="s">
        <v>14</v>
      </c>
      <c r="F849" t="s">
        <v>22</v>
      </c>
      <c r="G849" t="s">
        <v>16</v>
      </c>
      <c r="H849" t="s">
        <v>24</v>
      </c>
      <c r="I849" s="3">
        <v>14710</v>
      </c>
      <c r="J849" s="3" t="str">
        <f>IF(I849&gt;16000, "High", IF(I849&gt;=12000, IF(I849&lt;=15000, "Medium", "High"), "Low"))</f>
        <v>Medium</v>
      </c>
      <c r="K849" t="b">
        <v>0</v>
      </c>
      <c r="L849" t="b">
        <v>1</v>
      </c>
      <c r="M849" t="b">
        <v>1</v>
      </c>
    </row>
    <row r="850" spans="1:13" hidden="1" x14ac:dyDescent="0.3">
      <c r="A850">
        <v>18</v>
      </c>
      <c r="B850" t="s">
        <v>12</v>
      </c>
      <c r="C850" s="1">
        <v>3</v>
      </c>
      <c r="D850" t="s">
        <v>13</v>
      </c>
      <c r="E850" t="s">
        <v>26</v>
      </c>
      <c r="F850" t="s">
        <v>27</v>
      </c>
      <c r="G850" t="s">
        <v>16</v>
      </c>
      <c r="H850" t="s">
        <v>17</v>
      </c>
      <c r="I850" s="3">
        <v>14498</v>
      </c>
      <c r="J850" s="3" t="str">
        <f>IF(I850&gt;16000, "High", IF(I850&gt;=12000, IF(I850&lt;=15000, "Medium", "High"), "Low"))</f>
        <v>Medium</v>
      </c>
      <c r="K850" t="b">
        <v>0</v>
      </c>
      <c r="L850" t="b">
        <v>0</v>
      </c>
      <c r="M850" t="b">
        <v>0</v>
      </c>
    </row>
    <row r="851" spans="1:13" hidden="1" x14ac:dyDescent="0.3">
      <c r="A851">
        <v>22</v>
      </c>
      <c r="B851" t="s">
        <v>25</v>
      </c>
      <c r="C851" s="1">
        <v>5</v>
      </c>
      <c r="D851" t="s">
        <v>28</v>
      </c>
      <c r="E851" t="s">
        <v>14</v>
      </c>
      <c r="F851" t="s">
        <v>22</v>
      </c>
      <c r="G851" t="s">
        <v>29</v>
      </c>
      <c r="H851" t="s">
        <v>21</v>
      </c>
      <c r="I851" s="3">
        <v>12105</v>
      </c>
      <c r="J851" s="3" t="str">
        <f>IF(I851&gt;16000, "High", IF(I851&gt;=12000, IF(I851&lt;=15000, "Medium", "High"), "Low"))</f>
        <v>Medium</v>
      </c>
      <c r="K851" t="b">
        <v>0</v>
      </c>
      <c r="L851" t="b">
        <v>1</v>
      </c>
      <c r="M851" t="b">
        <v>1</v>
      </c>
    </row>
    <row r="852" spans="1:13" hidden="1" x14ac:dyDescent="0.3">
      <c r="A852">
        <v>58</v>
      </c>
      <c r="B852" t="s">
        <v>18</v>
      </c>
      <c r="C852" s="1">
        <v>3</v>
      </c>
      <c r="D852" t="s">
        <v>28</v>
      </c>
      <c r="E852" t="s">
        <v>20</v>
      </c>
      <c r="F852" t="s">
        <v>22</v>
      </c>
      <c r="G852" t="s">
        <v>29</v>
      </c>
      <c r="H852" t="s">
        <v>17</v>
      </c>
      <c r="I852" s="3">
        <v>12568</v>
      </c>
      <c r="J852" s="3" t="str">
        <f>IF(I852&gt;16000, "High", IF(I852&gt;=12000, IF(I852&lt;=15000, "Medium", "High"), "Low"))</f>
        <v>Medium</v>
      </c>
      <c r="K852" t="b">
        <v>0</v>
      </c>
      <c r="L852" t="b">
        <v>1</v>
      </c>
      <c r="M852" t="b">
        <v>1</v>
      </c>
    </row>
    <row r="853" spans="1:13" x14ac:dyDescent="0.3">
      <c r="A853">
        <v>33</v>
      </c>
      <c r="B853" t="s">
        <v>18</v>
      </c>
      <c r="C853" s="1">
        <v>5</v>
      </c>
      <c r="D853" t="s">
        <v>19</v>
      </c>
      <c r="E853" t="s">
        <v>20</v>
      </c>
      <c r="F853" t="s">
        <v>15</v>
      </c>
      <c r="G853" t="s">
        <v>16</v>
      </c>
      <c r="H853" t="s">
        <v>24</v>
      </c>
      <c r="I853" s="3">
        <v>16865</v>
      </c>
      <c r="J853" s="3" t="str">
        <f>IF(I853&gt;16000, "High", IF(I853&gt;=12000, IF(I853&lt;=15000, "Medium", "High"), "Low"))</f>
        <v>High</v>
      </c>
      <c r="K853" t="b">
        <v>0</v>
      </c>
      <c r="L853" t="b">
        <v>1</v>
      </c>
      <c r="M853" t="b">
        <v>0</v>
      </c>
    </row>
    <row r="854" spans="1:13" hidden="1" x14ac:dyDescent="0.3">
      <c r="A854">
        <v>43</v>
      </c>
      <c r="B854" t="s">
        <v>12</v>
      </c>
      <c r="C854" s="1">
        <v>8</v>
      </c>
      <c r="D854" t="s">
        <v>19</v>
      </c>
      <c r="E854" t="s">
        <v>14</v>
      </c>
      <c r="F854" t="s">
        <v>27</v>
      </c>
      <c r="G854" t="s">
        <v>23</v>
      </c>
      <c r="H854" t="s">
        <v>24</v>
      </c>
      <c r="I854" s="3">
        <v>10209</v>
      </c>
      <c r="J854" s="3" t="str">
        <f>IF(I854&gt;16000, "High", IF(I854&gt;=12000, IF(I854&lt;=15000, "Medium", "High"), "Low"))</f>
        <v>Low</v>
      </c>
      <c r="K854" t="b">
        <v>0</v>
      </c>
      <c r="L854" t="b">
        <v>1</v>
      </c>
      <c r="M854" t="b">
        <v>1</v>
      </c>
    </row>
    <row r="855" spans="1:13" hidden="1" x14ac:dyDescent="0.3">
      <c r="A855">
        <v>63</v>
      </c>
      <c r="B855" t="s">
        <v>12</v>
      </c>
      <c r="C855" s="1">
        <v>8</v>
      </c>
      <c r="D855" t="s">
        <v>13</v>
      </c>
      <c r="E855" t="s">
        <v>20</v>
      </c>
      <c r="F855" t="s">
        <v>22</v>
      </c>
      <c r="G855" t="s">
        <v>16</v>
      </c>
      <c r="H855" t="s">
        <v>21</v>
      </c>
      <c r="I855" s="3">
        <v>19256</v>
      </c>
      <c r="J855" s="3" t="str">
        <f>IF(I855&gt;16000, "High", IF(I855&gt;=12000, IF(I855&lt;=15000, "Medium", "High"), "Low"))</f>
        <v>High</v>
      </c>
      <c r="K855" t="b">
        <v>1</v>
      </c>
      <c r="L855" t="b">
        <v>0</v>
      </c>
      <c r="M855" t="b">
        <v>1</v>
      </c>
    </row>
    <row r="856" spans="1:13" hidden="1" x14ac:dyDescent="0.3">
      <c r="A856">
        <v>51</v>
      </c>
      <c r="B856" t="s">
        <v>18</v>
      </c>
      <c r="C856" s="1">
        <v>9</v>
      </c>
      <c r="D856" t="s">
        <v>28</v>
      </c>
      <c r="E856" t="s">
        <v>20</v>
      </c>
      <c r="F856" t="s">
        <v>15</v>
      </c>
      <c r="G856" t="s">
        <v>23</v>
      </c>
      <c r="H856" t="s">
        <v>17</v>
      </c>
      <c r="I856" s="3">
        <v>14911</v>
      </c>
      <c r="J856" s="3" t="str">
        <f>IF(I856&gt;16000, "High", IF(I856&gt;=12000, IF(I856&lt;=15000, "Medium", "High"), "Low"))</f>
        <v>Medium</v>
      </c>
      <c r="K856" t="b">
        <v>1</v>
      </c>
      <c r="L856" t="b">
        <v>1</v>
      </c>
      <c r="M856" t="b">
        <v>1</v>
      </c>
    </row>
    <row r="857" spans="1:13" hidden="1" x14ac:dyDescent="0.3">
      <c r="A857">
        <v>31</v>
      </c>
      <c r="B857" t="s">
        <v>25</v>
      </c>
      <c r="C857" s="1">
        <v>4</v>
      </c>
      <c r="D857" t="s">
        <v>13</v>
      </c>
      <c r="E857" t="s">
        <v>14</v>
      </c>
      <c r="F857" t="s">
        <v>22</v>
      </c>
      <c r="G857" t="s">
        <v>29</v>
      </c>
      <c r="H857" t="s">
        <v>24</v>
      </c>
      <c r="I857" s="3">
        <v>12220</v>
      </c>
      <c r="J857" s="3" t="str">
        <f>IF(I857&gt;16000, "High", IF(I857&gt;=12000, IF(I857&lt;=15000, "Medium", "High"), "Low"))</f>
        <v>Medium</v>
      </c>
      <c r="K857" t="b">
        <v>0</v>
      </c>
      <c r="L857" t="b">
        <v>0</v>
      </c>
      <c r="M857" t="b">
        <v>1</v>
      </c>
    </row>
    <row r="858" spans="1:13" hidden="1" x14ac:dyDescent="0.3">
      <c r="A858">
        <v>43</v>
      </c>
      <c r="B858" t="s">
        <v>12</v>
      </c>
      <c r="C858" s="1">
        <v>5</v>
      </c>
      <c r="D858" t="s">
        <v>13</v>
      </c>
      <c r="E858" t="s">
        <v>20</v>
      </c>
      <c r="F858" t="s">
        <v>22</v>
      </c>
      <c r="G858" t="s">
        <v>23</v>
      </c>
      <c r="H858" t="s">
        <v>21</v>
      </c>
      <c r="I858" s="3">
        <v>10233</v>
      </c>
      <c r="J858" s="3" t="str">
        <f>IF(I858&gt;16000, "High", IF(I858&gt;=12000, IF(I858&lt;=15000, "Medium", "High"), "Low"))</f>
        <v>Low</v>
      </c>
      <c r="K858" t="b">
        <v>0</v>
      </c>
      <c r="L858" t="b">
        <v>0</v>
      </c>
      <c r="M858" t="b">
        <v>0</v>
      </c>
    </row>
    <row r="859" spans="1:13" hidden="1" x14ac:dyDescent="0.3">
      <c r="A859">
        <v>62</v>
      </c>
      <c r="B859" t="s">
        <v>12</v>
      </c>
      <c r="C859" s="1">
        <v>5</v>
      </c>
      <c r="D859" t="s">
        <v>19</v>
      </c>
      <c r="E859" t="s">
        <v>26</v>
      </c>
      <c r="F859" t="s">
        <v>15</v>
      </c>
      <c r="G859" t="s">
        <v>16</v>
      </c>
      <c r="H859" t="s">
        <v>17</v>
      </c>
      <c r="I859" s="3">
        <v>10792</v>
      </c>
      <c r="J859" s="3" t="str">
        <f>IF(I859&gt;16000, "High", IF(I859&gt;=12000, IF(I859&lt;=15000, "Medium", "High"), "Low"))</f>
        <v>Low</v>
      </c>
      <c r="K859" t="b">
        <v>0</v>
      </c>
      <c r="L859" t="b">
        <v>0</v>
      </c>
      <c r="M859" t="b">
        <v>1</v>
      </c>
    </row>
    <row r="860" spans="1:13" hidden="1" x14ac:dyDescent="0.3">
      <c r="A860">
        <v>44</v>
      </c>
      <c r="B860" t="s">
        <v>12</v>
      </c>
      <c r="C860" s="1">
        <v>8</v>
      </c>
      <c r="D860" t="s">
        <v>28</v>
      </c>
      <c r="E860" t="s">
        <v>26</v>
      </c>
      <c r="F860" t="s">
        <v>15</v>
      </c>
      <c r="G860" t="s">
        <v>29</v>
      </c>
      <c r="H860" t="s">
        <v>24</v>
      </c>
      <c r="I860" s="3">
        <v>13110</v>
      </c>
      <c r="J860" s="3" t="str">
        <f>IF(I860&gt;16000, "High", IF(I860&gt;=12000, IF(I860&lt;=15000, "Medium", "High"), "Low"))</f>
        <v>Medium</v>
      </c>
      <c r="K860" t="b">
        <v>1</v>
      </c>
      <c r="L860" t="b">
        <v>1</v>
      </c>
      <c r="M860" t="b">
        <v>0</v>
      </c>
    </row>
    <row r="861" spans="1:13" hidden="1" x14ac:dyDescent="0.3">
      <c r="A861">
        <v>26</v>
      </c>
      <c r="B861" t="s">
        <v>18</v>
      </c>
      <c r="C861" s="1">
        <v>7</v>
      </c>
      <c r="D861" t="s">
        <v>28</v>
      </c>
      <c r="E861" t="s">
        <v>14</v>
      </c>
      <c r="F861" t="s">
        <v>27</v>
      </c>
      <c r="G861" t="s">
        <v>16</v>
      </c>
      <c r="H861" t="s">
        <v>17</v>
      </c>
      <c r="I861" s="3">
        <v>12166</v>
      </c>
      <c r="J861" s="3" t="str">
        <f>IF(I861&gt;16000, "High", IF(I861&gt;=12000, IF(I861&lt;=15000, "Medium", "High"), "Low"))</f>
        <v>Medium</v>
      </c>
      <c r="K861" t="b">
        <v>1</v>
      </c>
      <c r="L861" t="b">
        <v>1</v>
      </c>
      <c r="M861" t="b">
        <v>0</v>
      </c>
    </row>
    <row r="862" spans="1:13" hidden="1" x14ac:dyDescent="0.3">
      <c r="A862">
        <v>43</v>
      </c>
      <c r="B862" t="s">
        <v>18</v>
      </c>
      <c r="C862" s="1">
        <v>9</v>
      </c>
      <c r="D862" t="s">
        <v>28</v>
      </c>
      <c r="E862" t="s">
        <v>20</v>
      </c>
      <c r="F862" t="s">
        <v>27</v>
      </c>
      <c r="G862" t="s">
        <v>23</v>
      </c>
      <c r="H862" t="s">
        <v>21</v>
      </c>
      <c r="I862" s="3">
        <v>18526</v>
      </c>
      <c r="J862" s="3" t="str">
        <f>IF(I862&gt;16000, "High", IF(I862&gt;=12000, IF(I862&lt;=15000, "Medium", "High"), "Low"))</f>
        <v>High</v>
      </c>
      <c r="K862" t="b">
        <v>1</v>
      </c>
      <c r="L862" t="b">
        <v>1</v>
      </c>
      <c r="M862" t="b">
        <v>1</v>
      </c>
    </row>
    <row r="863" spans="1:13" x14ac:dyDescent="0.3">
      <c r="A863">
        <v>22</v>
      </c>
      <c r="B863" t="s">
        <v>18</v>
      </c>
      <c r="C863" s="1">
        <v>9</v>
      </c>
      <c r="D863" t="s">
        <v>19</v>
      </c>
      <c r="E863" t="s">
        <v>14</v>
      </c>
      <c r="F863" t="s">
        <v>27</v>
      </c>
      <c r="G863" t="s">
        <v>29</v>
      </c>
      <c r="H863" t="s">
        <v>24</v>
      </c>
      <c r="I863" s="3">
        <v>13735</v>
      </c>
      <c r="J863" s="3" t="str">
        <f>IF(I863&gt;16000, "High", IF(I863&gt;=12000, IF(I863&lt;=15000, "Medium", "High"), "Low"))</f>
        <v>Medium</v>
      </c>
      <c r="K863" t="b">
        <v>1</v>
      </c>
      <c r="L863" t="b">
        <v>0</v>
      </c>
      <c r="M863" t="b">
        <v>0</v>
      </c>
    </row>
    <row r="864" spans="1:13" x14ac:dyDescent="0.3">
      <c r="A864">
        <v>57</v>
      </c>
      <c r="B864" t="s">
        <v>18</v>
      </c>
      <c r="C864" s="1">
        <v>8</v>
      </c>
      <c r="D864" t="s">
        <v>19</v>
      </c>
      <c r="E864" t="s">
        <v>20</v>
      </c>
      <c r="F864" t="s">
        <v>15</v>
      </c>
      <c r="G864" t="s">
        <v>16</v>
      </c>
      <c r="H864" t="s">
        <v>24</v>
      </c>
      <c r="I864" s="3">
        <v>12686</v>
      </c>
      <c r="J864" s="3" t="str">
        <f>IF(I864&gt;16000, "High", IF(I864&gt;=12000, IF(I864&lt;=15000, "Medium", "High"), "Low"))</f>
        <v>Medium</v>
      </c>
      <c r="K864" t="b">
        <v>1</v>
      </c>
      <c r="L864" t="b">
        <v>1</v>
      </c>
      <c r="M864" t="b">
        <v>1</v>
      </c>
    </row>
    <row r="865" spans="1:13" hidden="1" x14ac:dyDescent="0.3">
      <c r="A865">
        <v>64</v>
      </c>
      <c r="B865" t="s">
        <v>25</v>
      </c>
      <c r="C865" s="1">
        <v>4</v>
      </c>
      <c r="D865" t="s">
        <v>19</v>
      </c>
      <c r="E865" t="s">
        <v>20</v>
      </c>
      <c r="F865" t="s">
        <v>27</v>
      </c>
      <c r="G865" t="s">
        <v>29</v>
      </c>
      <c r="H865" t="s">
        <v>17</v>
      </c>
      <c r="I865" s="3">
        <v>11214</v>
      </c>
      <c r="J865" s="3" t="str">
        <f>IF(I865&gt;16000, "High", IF(I865&gt;=12000, IF(I865&lt;=15000, "Medium", "High"), "Low"))</f>
        <v>Low</v>
      </c>
      <c r="K865" t="b">
        <v>1</v>
      </c>
      <c r="L865" t="b">
        <v>0</v>
      </c>
      <c r="M865" t="b">
        <v>1</v>
      </c>
    </row>
    <row r="866" spans="1:13" hidden="1" x14ac:dyDescent="0.3">
      <c r="A866">
        <v>47</v>
      </c>
      <c r="B866" t="s">
        <v>25</v>
      </c>
      <c r="C866" s="1">
        <v>6</v>
      </c>
      <c r="D866" t="s">
        <v>19</v>
      </c>
      <c r="E866" t="s">
        <v>20</v>
      </c>
      <c r="F866" t="s">
        <v>22</v>
      </c>
      <c r="G866" t="s">
        <v>23</v>
      </c>
      <c r="H866" t="s">
        <v>24</v>
      </c>
      <c r="I866" s="3">
        <v>14419</v>
      </c>
      <c r="J866" s="3" t="str">
        <f>IF(I866&gt;16000, "High", IF(I866&gt;=12000, IF(I866&lt;=15000, "Medium", "High"), "Low"))</f>
        <v>Medium</v>
      </c>
      <c r="K866" t="b">
        <v>1</v>
      </c>
      <c r="L866" t="b">
        <v>0</v>
      </c>
      <c r="M866" t="b">
        <v>1</v>
      </c>
    </row>
    <row r="867" spans="1:13" x14ac:dyDescent="0.3">
      <c r="A867">
        <v>49</v>
      </c>
      <c r="B867" t="s">
        <v>18</v>
      </c>
      <c r="C867" s="1">
        <v>8</v>
      </c>
      <c r="D867" t="s">
        <v>19</v>
      </c>
      <c r="E867" t="s">
        <v>20</v>
      </c>
      <c r="F867" t="s">
        <v>15</v>
      </c>
      <c r="G867" t="s">
        <v>16</v>
      </c>
      <c r="H867" t="s">
        <v>24</v>
      </c>
      <c r="I867" s="3">
        <v>19848</v>
      </c>
      <c r="J867" s="3" t="str">
        <f>IF(I867&gt;16000, "High", IF(I867&gt;=12000, IF(I867&lt;=15000, "Medium", "High"), "Low"))</f>
        <v>High</v>
      </c>
      <c r="K867" t="b">
        <v>1</v>
      </c>
      <c r="L867" t="b">
        <v>1</v>
      </c>
      <c r="M867" t="b">
        <v>1</v>
      </c>
    </row>
    <row r="868" spans="1:13" hidden="1" x14ac:dyDescent="0.3">
      <c r="A868">
        <v>34</v>
      </c>
      <c r="B868" t="s">
        <v>25</v>
      </c>
      <c r="C868" s="1">
        <v>7</v>
      </c>
      <c r="D868" t="s">
        <v>28</v>
      </c>
      <c r="E868" t="s">
        <v>26</v>
      </c>
      <c r="F868" t="s">
        <v>22</v>
      </c>
      <c r="G868" t="s">
        <v>29</v>
      </c>
      <c r="H868" t="s">
        <v>21</v>
      </c>
      <c r="I868" s="3">
        <v>18475</v>
      </c>
      <c r="J868" s="3" t="str">
        <f>IF(I868&gt;16000, "High", IF(I868&gt;=12000, IF(I868&lt;=15000, "Medium", "High"), "Low"))</f>
        <v>High</v>
      </c>
      <c r="K868" t="b">
        <v>1</v>
      </c>
      <c r="L868" t="b">
        <v>1</v>
      </c>
      <c r="M868" t="b">
        <v>0</v>
      </c>
    </row>
    <row r="869" spans="1:13" hidden="1" x14ac:dyDescent="0.3">
      <c r="A869">
        <v>43</v>
      </c>
      <c r="B869" t="s">
        <v>12</v>
      </c>
      <c r="C869" s="1">
        <v>3</v>
      </c>
      <c r="D869" t="s">
        <v>13</v>
      </c>
      <c r="E869" t="s">
        <v>14</v>
      </c>
      <c r="F869" t="s">
        <v>27</v>
      </c>
      <c r="G869" t="s">
        <v>23</v>
      </c>
      <c r="H869" t="s">
        <v>21</v>
      </c>
      <c r="I869" s="3">
        <v>10212</v>
      </c>
      <c r="J869" s="3" t="str">
        <f>IF(I869&gt;16000, "High", IF(I869&gt;=12000, IF(I869&lt;=15000, "Medium", "High"), "Low"))</f>
        <v>Low</v>
      </c>
      <c r="K869" t="b">
        <v>1</v>
      </c>
      <c r="L869" t="b">
        <v>1</v>
      </c>
      <c r="M869" t="b">
        <v>0</v>
      </c>
    </row>
    <row r="870" spans="1:13" hidden="1" x14ac:dyDescent="0.3">
      <c r="A870">
        <v>53</v>
      </c>
      <c r="B870" t="s">
        <v>12</v>
      </c>
      <c r="C870" s="1">
        <v>3</v>
      </c>
      <c r="D870" t="s">
        <v>28</v>
      </c>
      <c r="E870" t="s">
        <v>14</v>
      </c>
      <c r="F870" t="s">
        <v>27</v>
      </c>
      <c r="G870" t="s">
        <v>16</v>
      </c>
      <c r="H870" t="s">
        <v>17</v>
      </c>
      <c r="I870" s="3">
        <v>11658</v>
      </c>
      <c r="J870" s="3" t="str">
        <f>IF(I870&gt;16000, "High", IF(I870&gt;=12000, IF(I870&lt;=15000, "Medium", "High"), "Low"))</f>
        <v>Low</v>
      </c>
      <c r="K870" t="b">
        <v>0</v>
      </c>
      <c r="L870" t="b">
        <v>0</v>
      </c>
      <c r="M870" t="b">
        <v>1</v>
      </c>
    </row>
    <row r="871" spans="1:13" hidden="1" x14ac:dyDescent="0.3">
      <c r="A871">
        <v>18</v>
      </c>
      <c r="B871" t="s">
        <v>12</v>
      </c>
      <c r="C871" s="1">
        <v>2</v>
      </c>
      <c r="D871" t="s">
        <v>13</v>
      </c>
      <c r="E871" t="s">
        <v>26</v>
      </c>
      <c r="F871" t="s">
        <v>15</v>
      </c>
      <c r="G871" t="s">
        <v>23</v>
      </c>
      <c r="H871" t="s">
        <v>17</v>
      </c>
      <c r="I871" s="3">
        <v>15024</v>
      </c>
      <c r="J871" s="3" t="str">
        <f>IF(I871&gt;16000, "High", IF(I871&gt;=12000, IF(I871&lt;=15000, "Medium", "High"), "Low"))</f>
        <v>High</v>
      </c>
      <c r="K871" t="b">
        <v>1</v>
      </c>
      <c r="L871" t="b">
        <v>1</v>
      </c>
      <c r="M871" t="b">
        <v>1</v>
      </c>
    </row>
    <row r="872" spans="1:13" x14ac:dyDescent="0.3">
      <c r="A872">
        <v>42</v>
      </c>
      <c r="B872" t="s">
        <v>18</v>
      </c>
      <c r="C872" s="1">
        <v>1</v>
      </c>
      <c r="D872" t="s">
        <v>19</v>
      </c>
      <c r="E872" t="s">
        <v>26</v>
      </c>
      <c r="F872" t="s">
        <v>27</v>
      </c>
      <c r="G872" t="s">
        <v>23</v>
      </c>
      <c r="H872" t="s">
        <v>24</v>
      </c>
      <c r="I872" s="3">
        <v>18184</v>
      </c>
      <c r="J872" s="3" t="str">
        <f>IF(I872&gt;16000, "High", IF(I872&gt;=12000, IF(I872&lt;=15000, "Medium", "High"), "Low"))</f>
        <v>High</v>
      </c>
      <c r="K872" t="b">
        <v>1</v>
      </c>
      <c r="L872" t="b">
        <v>1</v>
      </c>
      <c r="M872" t="b">
        <v>1</v>
      </c>
    </row>
    <row r="873" spans="1:13" hidden="1" x14ac:dyDescent="0.3">
      <c r="A873">
        <v>52</v>
      </c>
      <c r="B873" t="s">
        <v>12</v>
      </c>
      <c r="C873" s="1">
        <v>6</v>
      </c>
      <c r="D873" t="s">
        <v>13</v>
      </c>
      <c r="E873" t="s">
        <v>26</v>
      </c>
      <c r="F873" t="s">
        <v>15</v>
      </c>
      <c r="G873" t="s">
        <v>29</v>
      </c>
      <c r="H873" t="s">
        <v>21</v>
      </c>
      <c r="I873" s="3">
        <v>15917</v>
      </c>
      <c r="J873" s="3" t="str">
        <f>IF(I873&gt;16000, "High", IF(I873&gt;=12000, IF(I873&lt;=15000, "Medium", "High"), "Low"))</f>
        <v>High</v>
      </c>
      <c r="K873" t="b">
        <v>1</v>
      </c>
      <c r="L873" t="b">
        <v>0</v>
      </c>
      <c r="M873" t="b">
        <v>1</v>
      </c>
    </row>
    <row r="874" spans="1:13" hidden="1" x14ac:dyDescent="0.3">
      <c r="A874">
        <v>32</v>
      </c>
      <c r="B874" t="s">
        <v>25</v>
      </c>
      <c r="C874" s="1">
        <v>1</v>
      </c>
      <c r="D874" t="s">
        <v>28</v>
      </c>
      <c r="E874" t="s">
        <v>26</v>
      </c>
      <c r="F874" t="s">
        <v>27</v>
      </c>
      <c r="G874" t="s">
        <v>16</v>
      </c>
      <c r="H874" t="s">
        <v>21</v>
      </c>
      <c r="I874" s="3">
        <v>15141</v>
      </c>
      <c r="J874" s="3" t="str">
        <f>IF(I874&gt;16000, "High", IF(I874&gt;=12000, IF(I874&lt;=15000, "Medium", "High"), "Low"))</f>
        <v>High</v>
      </c>
      <c r="K874" t="b">
        <v>1</v>
      </c>
      <c r="L874" t="b">
        <v>0</v>
      </c>
      <c r="M874" t="b">
        <v>0</v>
      </c>
    </row>
    <row r="875" spans="1:13" hidden="1" x14ac:dyDescent="0.3">
      <c r="A875">
        <v>64</v>
      </c>
      <c r="B875" t="s">
        <v>18</v>
      </c>
      <c r="C875" s="1">
        <v>1</v>
      </c>
      <c r="D875" t="s">
        <v>28</v>
      </c>
      <c r="E875" t="s">
        <v>14</v>
      </c>
      <c r="F875" t="s">
        <v>27</v>
      </c>
      <c r="G875" t="s">
        <v>29</v>
      </c>
      <c r="H875" t="s">
        <v>17</v>
      </c>
      <c r="I875" s="3">
        <v>11794</v>
      </c>
      <c r="J875" s="3" t="str">
        <f>IF(I875&gt;16000, "High", IF(I875&gt;=12000, IF(I875&lt;=15000, "Medium", "High"), "Low"))</f>
        <v>Low</v>
      </c>
      <c r="K875" t="b">
        <v>0</v>
      </c>
      <c r="L875" t="b">
        <v>1</v>
      </c>
      <c r="M875" t="b">
        <v>1</v>
      </c>
    </row>
    <row r="876" spans="1:13" hidden="1" x14ac:dyDescent="0.3">
      <c r="A876">
        <v>39</v>
      </c>
      <c r="B876" t="s">
        <v>25</v>
      </c>
      <c r="C876" s="1">
        <v>7</v>
      </c>
      <c r="D876" t="s">
        <v>13</v>
      </c>
      <c r="E876" t="s">
        <v>14</v>
      </c>
      <c r="F876" t="s">
        <v>22</v>
      </c>
      <c r="G876" t="s">
        <v>23</v>
      </c>
      <c r="H876" t="s">
        <v>17</v>
      </c>
      <c r="I876" s="3">
        <v>15988</v>
      </c>
      <c r="J876" s="3" t="str">
        <f>IF(I876&gt;16000, "High", IF(I876&gt;=12000, IF(I876&lt;=15000, "Medium", "High"), "Low"))</f>
        <v>High</v>
      </c>
      <c r="K876" t="b">
        <v>1</v>
      </c>
      <c r="L876" t="b">
        <v>0</v>
      </c>
      <c r="M876" t="b">
        <v>0</v>
      </c>
    </row>
    <row r="877" spans="1:13" hidden="1" x14ac:dyDescent="0.3">
      <c r="A877">
        <v>31</v>
      </c>
      <c r="B877" t="s">
        <v>12</v>
      </c>
      <c r="C877" s="1">
        <v>8</v>
      </c>
      <c r="D877" t="s">
        <v>19</v>
      </c>
      <c r="E877" t="s">
        <v>20</v>
      </c>
      <c r="F877" t="s">
        <v>22</v>
      </c>
      <c r="G877" t="s">
        <v>23</v>
      </c>
      <c r="H877" t="s">
        <v>24</v>
      </c>
      <c r="I877" s="3">
        <v>18296</v>
      </c>
      <c r="J877" s="3" t="str">
        <f>IF(I877&gt;16000, "High", IF(I877&gt;=12000, IF(I877&lt;=15000, "Medium", "High"), "Low"))</f>
        <v>High</v>
      </c>
      <c r="K877" t="b">
        <v>0</v>
      </c>
      <c r="L877" t="b">
        <v>1</v>
      </c>
      <c r="M877" t="b">
        <v>1</v>
      </c>
    </row>
    <row r="878" spans="1:13" hidden="1" x14ac:dyDescent="0.3">
      <c r="A878">
        <v>43</v>
      </c>
      <c r="B878" t="s">
        <v>12</v>
      </c>
      <c r="C878" s="1">
        <v>5</v>
      </c>
      <c r="D878" t="s">
        <v>19</v>
      </c>
      <c r="E878" t="s">
        <v>20</v>
      </c>
      <c r="F878" t="s">
        <v>22</v>
      </c>
      <c r="G878" t="s">
        <v>29</v>
      </c>
      <c r="H878" t="s">
        <v>24</v>
      </c>
      <c r="I878" s="3">
        <v>15578</v>
      </c>
      <c r="J878" s="3" t="str">
        <f>IF(I878&gt;16000, "High", IF(I878&gt;=12000, IF(I878&lt;=15000, "Medium", "High"), "Low"))</f>
        <v>High</v>
      </c>
      <c r="K878" t="b">
        <v>1</v>
      </c>
      <c r="L878" t="b">
        <v>0</v>
      </c>
      <c r="M878" t="b">
        <v>0</v>
      </c>
    </row>
    <row r="879" spans="1:13" hidden="1" x14ac:dyDescent="0.3">
      <c r="A879">
        <v>45</v>
      </c>
      <c r="B879" t="s">
        <v>12</v>
      </c>
      <c r="C879" s="1">
        <v>5</v>
      </c>
      <c r="D879" t="s">
        <v>28</v>
      </c>
      <c r="E879" t="s">
        <v>20</v>
      </c>
      <c r="F879" t="s">
        <v>15</v>
      </c>
      <c r="G879" t="s">
        <v>29</v>
      </c>
      <c r="H879" t="s">
        <v>17</v>
      </c>
      <c r="I879" s="3">
        <v>15551</v>
      </c>
      <c r="J879" s="3" t="str">
        <f>IF(I879&gt;16000, "High", IF(I879&gt;=12000, IF(I879&lt;=15000, "Medium", "High"), "Low"))</f>
        <v>High</v>
      </c>
      <c r="K879" t="b">
        <v>0</v>
      </c>
      <c r="L879" t="b">
        <v>0</v>
      </c>
      <c r="M879" t="b">
        <v>1</v>
      </c>
    </row>
    <row r="880" spans="1:13" hidden="1" x14ac:dyDescent="0.3">
      <c r="A880">
        <v>40</v>
      </c>
      <c r="B880" t="s">
        <v>18</v>
      </c>
      <c r="C880" s="1">
        <v>4</v>
      </c>
      <c r="D880" t="s">
        <v>13</v>
      </c>
      <c r="E880" t="s">
        <v>26</v>
      </c>
      <c r="F880" t="s">
        <v>22</v>
      </c>
      <c r="G880" t="s">
        <v>29</v>
      </c>
      <c r="H880" t="s">
        <v>21</v>
      </c>
      <c r="I880" s="3">
        <v>13845</v>
      </c>
      <c r="J880" s="3" t="str">
        <f>IF(I880&gt;16000, "High", IF(I880&gt;=12000, IF(I880&lt;=15000, "Medium", "High"), "Low"))</f>
        <v>Medium</v>
      </c>
      <c r="K880" t="b">
        <v>0</v>
      </c>
      <c r="L880" t="b">
        <v>0</v>
      </c>
      <c r="M880" t="b">
        <v>1</v>
      </c>
    </row>
    <row r="881" spans="1:13" hidden="1" x14ac:dyDescent="0.3">
      <c r="A881">
        <v>31</v>
      </c>
      <c r="B881" t="s">
        <v>25</v>
      </c>
      <c r="C881" s="1">
        <v>6</v>
      </c>
      <c r="D881" t="s">
        <v>19</v>
      </c>
      <c r="E881" t="s">
        <v>14</v>
      </c>
      <c r="F881" t="s">
        <v>22</v>
      </c>
      <c r="G881" t="s">
        <v>16</v>
      </c>
      <c r="H881" t="s">
        <v>24</v>
      </c>
      <c r="I881" s="3">
        <v>16906</v>
      </c>
      <c r="J881" s="3" t="str">
        <f>IF(I881&gt;16000, "High", IF(I881&gt;=12000, IF(I881&lt;=15000, "Medium", "High"), "Low"))</f>
        <v>High</v>
      </c>
      <c r="K881" t="b">
        <v>0</v>
      </c>
      <c r="L881" t="b">
        <v>1</v>
      </c>
      <c r="M881" t="b">
        <v>0</v>
      </c>
    </row>
    <row r="882" spans="1:13" x14ac:dyDescent="0.3">
      <c r="A882">
        <v>57</v>
      </c>
      <c r="B882" t="s">
        <v>18</v>
      </c>
      <c r="C882" s="1">
        <v>1</v>
      </c>
      <c r="D882" t="s">
        <v>19</v>
      </c>
      <c r="E882" t="s">
        <v>14</v>
      </c>
      <c r="F882" t="s">
        <v>22</v>
      </c>
      <c r="G882" t="s">
        <v>23</v>
      </c>
      <c r="H882" t="s">
        <v>24</v>
      </c>
      <c r="I882" s="3">
        <v>16617</v>
      </c>
      <c r="J882" s="3" t="str">
        <f>IF(I882&gt;16000, "High", IF(I882&gt;=12000, IF(I882&lt;=15000, "Medium", "High"), "Low"))</f>
        <v>High</v>
      </c>
      <c r="K882" t="b">
        <v>0</v>
      </c>
      <c r="L882" t="b">
        <v>0</v>
      </c>
      <c r="M882" t="b">
        <v>0</v>
      </c>
    </row>
    <row r="883" spans="1:13" hidden="1" x14ac:dyDescent="0.3">
      <c r="A883">
        <v>19</v>
      </c>
      <c r="B883" t="s">
        <v>18</v>
      </c>
      <c r="C883" s="1">
        <v>3</v>
      </c>
      <c r="D883" t="s">
        <v>28</v>
      </c>
      <c r="E883" t="s">
        <v>14</v>
      </c>
      <c r="F883" t="s">
        <v>27</v>
      </c>
      <c r="G883" t="s">
        <v>29</v>
      </c>
      <c r="H883" t="s">
        <v>17</v>
      </c>
      <c r="I883" s="3">
        <v>13293</v>
      </c>
      <c r="J883" s="3" t="str">
        <f>IF(I883&gt;16000, "High", IF(I883&gt;=12000, IF(I883&lt;=15000, "Medium", "High"), "Low"))</f>
        <v>Medium</v>
      </c>
      <c r="K883" t="b">
        <v>1</v>
      </c>
      <c r="L883" t="b">
        <v>1</v>
      </c>
      <c r="M883" t="b">
        <v>1</v>
      </c>
    </row>
    <row r="884" spans="1:13" hidden="1" x14ac:dyDescent="0.3">
      <c r="A884">
        <v>62</v>
      </c>
      <c r="B884" t="s">
        <v>12</v>
      </c>
      <c r="C884" s="1">
        <v>9</v>
      </c>
      <c r="D884" t="s">
        <v>19</v>
      </c>
      <c r="E884" t="s">
        <v>26</v>
      </c>
      <c r="F884" t="s">
        <v>22</v>
      </c>
      <c r="G884" t="s">
        <v>23</v>
      </c>
      <c r="H884" t="s">
        <v>21</v>
      </c>
      <c r="I884" s="3">
        <v>13329</v>
      </c>
      <c r="J884" s="3" t="str">
        <f>IF(I884&gt;16000, "High", IF(I884&gt;=12000, IF(I884&lt;=15000, "Medium", "High"), "Low"))</f>
        <v>Medium</v>
      </c>
      <c r="K884" t="b">
        <v>1</v>
      </c>
      <c r="L884" t="b">
        <v>0</v>
      </c>
      <c r="M884" t="b">
        <v>0</v>
      </c>
    </row>
    <row r="885" spans="1:13" hidden="1" x14ac:dyDescent="0.3">
      <c r="A885">
        <v>43</v>
      </c>
      <c r="B885" t="s">
        <v>18</v>
      </c>
      <c r="C885" s="1">
        <v>7</v>
      </c>
      <c r="D885" t="s">
        <v>13</v>
      </c>
      <c r="E885" t="s">
        <v>20</v>
      </c>
      <c r="F885" t="s">
        <v>22</v>
      </c>
      <c r="G885" t="s">
        <v>16</v>
      </c>
      <c r="H885" t="s">
        <v>17</v>
      </c>
      <c r="I885" s="3">
        <v>14808</v>
      </c>
      <c r="J885" s="3" t="str">
        <f>IF(I885&gt;16000, "High", IF(I885&gt;=12000, IF(I885&lt;=15000, "Medium", "High"), "Low"))</f>
        <v>Medium</v>
      </c>
      <c r="K885" t="b">
        <v>0</v>
      </c>
      <c r="L885" t="b">
        <v>0</v>
      </c>
      <c r="M885" t="b">
        <v>1</v>
      </c>
    </row>
    <row r="886" spans="1:13" hidden="1" x14ac:dyDescent="0.3">
      <c r="A886">
        <v>31</v>
      </c>
      <c r="B886" t="s">
        <v>18</v>
      </c>
      <c r="C886" s="1">
        <v>1</v>
      </c>
      <c r="D886" t="s">
        <v>28</v>
      </c>
      <c r="E886" t="s">
        <v>20</v>
      </c>
      <c r="F886" t="s">
        <v>27</v>
      </c>
      <c r="G886" t="s">
        <v>16</v>
      </c>
      <c r="H886" t="s">
        <v>17</v>
      </c>
      <c r="I886" s="3">
        <v>17937</v>
      </c>
      <c r="J886" s="3" t="str">
        <f>IF(I886&gt;16000, "High", IF(I886&gt;=12000, IF(I886&lt;=15000, "Medium", "High"), "Low"))</f>
        <v>High</v>
      </c>
      <c r="K886" t="b">
        <v>1</v>
      </c>
      <c r="L886" t="b">
        <v>0</v>
      </c>
      <c r="M886" t="b">
        <v>1</v>
      </c>
    </row>
    <row r="887" spans="1:13" hidden="1" x14ac:dyDescent="0.3">
      <c r="A887">
        <v>24</v>
      </c>
      <c r="B887" t="s">
        <v>12</v>
      </c>
      <c r="C887" s="1">
        <v>7</v>
      </c>
      <c r="D887" t="s">
        <v>28</v>
      </c>
      <c r="E887" t="s">
        <v>20</v>
      </c>
      <c r="F887" t="s">
        <v>22</v>
      </c>
      <c r="G887" t="s">
        <v>16</v>
      </c>
      <c r="H887" t="s">
        <v>24</v>
      </c>
      <c r="I887" s="3">
        <v>10224</v>
      </c>
      <c r="J887" s="3" t="str">
        <f>IF(I887&gt;16000, "High", IF(I887&gt;=12000, IF(I887&lt;=15000, "Medium", "High"), "Low"))</f>
        <v>Low</v>
      </c>
      <c r="K887" t="b">
        <v>1</v>
      </c>
      <c r="L887" t="b">
        <v>0</v>
      </c>
      <c r="M887" t="b">
        <v>1</v>
      </c>
    </row>
    <row r="888" spans="1:13" hidden="1" x14ac:dyDescent="0.3">
      <c r="A888">
        <v>20</v>
      </c>
      <c r="B888" t="s">
        <v>18</v>
      </c>
      <c r="C888" s="1">
        <v>5</v>
      </c>
      <c r="D888" t="s">
        <v>13</v>
      </c>
      <c r="E888" t="s">
        <v>26</v>
      </c>
      <c r="F888" t="s">
        <v>15</v>
      </c>
      <c r="G888" t="s">
        <v>16</v>
      </c>
      <c r="H888" t="s">
        <v>17</v>
      </c>
      <c r="I888" s="3">
        <v>10737</v>
      </c>
      <c r="J888" s="3" t="str">
        <f>IF(I888&gt;16000, "High", IF(I888&gt;=12000, IF(I888&lt;=15000, "Medium", "High"), "Low"))</f>
        <v>Low</v>
      </c>
      <c r="K888" t="b">
        <v>1</v>
      </c>
      <c r="L888" t="b">
        <v>1</v>
      </c>
      <c r="M888" t="b">
        <v>0</v>
      </c>
    </row>
    <row r="889" spans="1:13" hidden="1" x14ac:dyDescent="0.3">
      <c r="A889">
        <v>64</v>
      </c>
      <c r="B889" t="s">
        <v>12</v>
      </c>
      <c r="C889" s="1">
        <v>5</v>
      </c>
      <c r="D889" t="s">
        <v>28</v>
      </c>
      <c r="E889" t="s">
        <v>14</v>
      </c>
      <c r="F889" t="s">
        <v>15</v>
      </c>
      <c r="G889" t="s">
        <v>23</v>
      </c>
      <c r="H889" t="s">
        <v>17</v>
      </c>
      <c r="I889" s="3">
        <v>10235</v>
      </c>
      <c r="J889" s="3" t="str">
        <f>IF(I889&gt;16000, "High", IF(I889&gt;=12000, IF(I889&lt;=15000, "Medium", "High"), "Low"))</f>
        <v>Low</v>
      </c>
      <c r="K889" t="b">
        <v>1</v>
      </c>
      <c r="L889" t="b">
        <v>1</v>
      </c>
      <c r="M889" t="b">
        <v>0</v>
      </c>
    </row>
    <row r="890" spans="1:13" hidden="1" x14ac:dyDescent="0.3">
      <c r="A890">
        <v>40</v>
      </c>
      <c r="B890" t="s">
        <v>12</v>
      </c>
      <c r="C890" s="1">
        <v>2</v>
      </c>
      <c r="D890" t="s">
        <v>19</v>
      </c>
      <c r="E890" t="s">
        <v>14</v>
      </c>
      <c r="F890" t="s">
        <v>15</v>
      </c>
      <c r="G890" t="s">
        <v>16</v>
      </c>
      <c r="H890" t="s">
        <v>24</v>
      </c>
      <c r="I890" s="3">
        <v>10711</v>
      </c>
      <c r="J890" s="3" t="str">
        <f>IF(I890&gt;16000, "High", IF(I890&gt;=12000, IF(I890&lt;=15000, "Medium", "High"), "Low"))</f>
        <v>Low</v>
      </c>
      <c r="K890" t="b">
        <v>0</v>
      </c>
      <c r="L890" t="b">
        <v>1</v>
      </c>
      <c r="M890" t="b">
        <v>0</v>
      </c>
    </row>
    <row r="891" spans="1:13" hidden="1" x14ac:dyDescent="0.3">
      <c r="A891">
        <v>63</v>
      </c>
      <c r="B891" t="s">
        <v>12</v>
      </c>
      <c r="C891" s="1">
        <v>4</v>
      </c>
      <c r="D891" t="s">
        <v>19</v>
      </c>
      <c r="E891" t="s">
        <v>20</v>
      </c>
      <c r="F891" t="s">
        <v>22</v>
      </c>
      <c r="G891" t="s">
        <v>16</v>
      </c>
      <c r="H891" t="s">
        <v>21</v>
      </c>
      <c r="I891" s="3">
        <v>15988</v>
      </c>
      <c r="J891" s="3" t="str">
        <f>IF(I891&gt;16000, "High", IF(I891&gt;=12000, IF(I891&lt;=15000, "Medium", "High"), "Low"))</f>
        <v>High</v>
      </c>
      <c r="K891" t="b">
        <v>0</v>
      </c>
      <c r="L891" t="b">
        <v>0</v>
      </c>
      <c r="M891" t="b">
        <v>0</v>
      </c>
    </row>
    <row r="892" spans="1:13" hidden="1" x14ac:dyDescent="0.3">
      <c r="A892">
        <v>60</v>
      </c>
      <c r="B892" t="s">
        <v>12</v>
      </c>
      <c r="C892" s="1">
        <v>6</v>
      </c>
      <c r="D892" t="s">
        <v>13</v>
      </c>
      <c r="E892" t="s">
        <v>20</v>
      </c>
      <c r="F892" t="s">
        <v>27</v>
      </c>
      <c r="G892" t="s">
        <v>29</v>
      </c>
      <c r="H892" t="s">
        <v>21</v>
      </c>
      <c r="I892" s="3">
        <v>11888</v>
      </c>
      <c r="J892" s="3" t="str">
        <f>IF(I892&gt;16000, "High", IF(I892&gt;=12000, IF(I892&lt;=15000, "Medium", "High"), "Low"))</f>
        <v>Low</v>
      </c>
      <c r="K892" t="b">
        <v>1</v>
      </c>
      <c r="L892" t="b">
        <v>0</v>
      </c>
      <c r="M892" t="b">
        <v>0</v>
      </c>
    </row>
    <row r="893" spans="1:13" x14ac:dyDescent="0.3">
      <c r="A893">
        <v>53</v>
      </c>
      <c r="B893" t="s">
        <v>18</v>
      </c>
      <c r="C893" s="1">
        <v>9</v>
      </c>
      <c r="D893" t="s">
        <v>19</v>
      </c>
      <c r="E893" t="s">
        <v>20</v>
      </c>
      <c r="F893" t="s">
        <v>22</v>
      </c>
      <c r="G893" t="s">
        <v>16</v>
      </c>
      <c r="H893" t="s">
        <v>24</v>
      </c>
      <c r="I893" s="3">
        <v>13870</v>
      </c>
      <c r="J893" s="3" t="str">
        <f>IF(I893&gt;16000, "High", IF(I893&gt;=12000, IF(I893&lt;=15000, "Medium", "High"), "Low"))</f>
        <v>Medium</v>
      </c>
      <c r="K893" t="b">
        <v>0</v>
      </c>
      <c r="L893" t="b">
        <v>1</v>
      </c>
      <c r="M893" t="b">
        <v>0</v>
      </c>
    </row>
    <row r="894" spans="1:13" hidden="1" x14ac:dyDescent="0.3">
      <c r="A894">
        <v>62</v>
      </c>
      <c r="B894" t="s">
        <v>12</v>
      </c>
      <c r="C894" s="1">
        <v>5</v>
      </c>
      <c r="D894" t="s">
        <v>13</v>
      </c>
      <c r="E894" t="s">
        <v>20</v>
      </c>
      <c r="F894" t="s">
        <v>22</v>
      </c>
      <c r="G894" t="s">
        <v>29</v>
      </c>
      <c r="H894" t="s">
        <v>24</v>
      </c>
      <c r="I894" s="3">
        <v>11259</v>
      </c>
      <c r="J894" s="3" t="str">
        <f>IF(I894&gt;16000, "High", IF(I894&gt;=12000, IF(I894&lt;=15000, "Medium", "High"), "Low"))</f>
        <v>Low</v>
      </c>
      <c r="K894" t="b">
        <v>1</v>
      </c>
      <c r="L894" t="b">
        <v>0</v>
      </c>
      <c r="M894" t="b">
        <v>1</v>
      </c>
    </row>
    <row r="895" spans="1:13" hidden="1" x14ac:dyDescent="0.3">
      <c r="A895">
        <v>35</v>
      </c>
      <c r="B895" t="s">
        <v>12</v>
      </c>
      <c r="C895" s="1">
        <v>9</v>
      </c>
      <c r="D895" t="s">
        <v>13</v>
      </c>
      <c r="E895" t="s">
        <v>14</v>
      </c>
      <c r="F895" t="s">
        <v>27</v>
      </c>
      <c r="G895" t="s">
        <v>16</v>
      </c>
      <c r="H895" t="s">
        <v>21</v>
      </c>
      <c r="I895" s="3">
        <v>15246</v>
      </c>
      <c r="J895" s="3" t="str">
        <f>IF(I895&gt;16000, "High", IF(I895&gt;=12000, IF(I895&lt;=15000, "Medium", "High"), "Low"))</f>
        <v>High</v>
      </c>
      <c r="K895" t="b">
        <v>0</v>
      </c>
      <c r="L895" t="b">
        <v>1</v>
      </c>
      <c r="M895" t="b">
        <v>0</v>
      </c>
    </row>
    <row r="896" spans="1:13" x14ac:dyDescent="0.3">
      <c r="A896">
        <v>49</v>
      </c>
      <c r="B896" t="s">
        <v>18</v>
      </c>
      <c r="C896" s="1">
        <v>3</v>
      </c>
      <c r="D896" t="s">
        <v>19</v>
      </c>
      <c r="E896" t="s">
        <v>14</v>
      </c>
      <c r="F896" t="s">
        <v>27</v>
      </c>
      <c r="G896" t="s">
        <v>16</v>
      </c>
      <c r="H896" t="s">
        <v>24</v>
      </c>
      <c r="I896" s="3">
        <v>12486</v>
      </c>
      <c r="J896" s="3" t="str">
        <f>IF(I896&gt;16000, "High", IF(I896&gt;=12000, IF(I896&lt;=15000, "Medium", "High"), "Low"))</f>
        <v>Medium</v>
      </c>
      <c r="K896" t="b">
        <v>0</v>
      </c>
      <c r="L896" t="b">
        <v>0</v>
      </c>
      <c r="M896" t="b">
        <v>0</v>
      </c>
    </row>
    <row r="897" spans="1:13" hidden="1" x14ac:dyDescent="0.3">
      <c r="A897">
        <v>52</v>
      </c>
      <c r="B897" t="s">
        <v>18</v>
      </c>
      <c r="C897" s="1">
        <v>1</v>
      </c>
      <c r="D897" t="s">
        <v>13</v>
      </c>
      <c r="E897" t="s">
        <v>26</v>
      </c>
      <c r="F897" t="s">
        <v>27</v>
      </c>
      <c r="G897" t="s">
        <v>29</v>
      </c>
      <c r="H897" t="s">
        <v>21</v>
      </c>
      <c r="I897" s="3">
        <v>10748</v>
      </c>
      <c r="J897" s="3" t="str">
        <f>IF(I897&gt;16000, "High", IF(I897&gt;=12000, IF(I897&lt;=15000, "Medium", "High"), "Low"))</f>
        <v>Low</v>
      </c>
      <c r="K897" t="b">
        <v>0</v>
      </c>
      <c r="L897" t="b">
        <v>0</v>
      </c>
      <c r="M897" t="b">
        <v>1</v>
      </c>
    </row>
    <row r="898" spans="1:13" hidden="1" x14ac:dyDescent="0.3">
      <c r="A898">
        <v>32</v>
      </c>
      <c r="B898" t="s">
        <v>25</v>
      </c>
      <c r="C898" s="1">
        <v>4</v>
      </c>
      <c r="D898" t="s">
        <v>19</v>
      </c>
      <c r="E898" t="s">
        <v>26</v>
      </c>
      <c r="F898" t="s">
        <v>15</v>
      </c>
      <c r="G898" t="s">
        <v>16</v>
      </c>
      <c r="H898" t="s">
        <v>21</v>
      </c>
      <c r="I898" s="3">
        <v>13551</v>
      </c>
      <c r="J898" s="3" t="str">
        <f>IF(I898&gt;16000, "High", IF(I898&gt;=12000, IF(I898&lt;=15000, "Medium", "High"), "Low"))</f>
        <v>Medium</v>
      </c>
      <c r="K898" t="b">
        <v>0</v>
      </c>
      <c r="L898" t="b">
        <v>1</v>
      </c>
      <c r="M898" t="b">
        <v>1</v>
      </c>
    </row>
    <row r="899" spans="1:13" hidden="1" x14ac:dyDescent="0.3">
      <c r="A899">
        <v>42</v>
      </c>
      <c r="B899" t="s">
        <v>18</v>
      </c>
      <c r="C899" s="1">
        <v>9</v>
      </c>
      <c r="D899" t="s">
        <v>28</v>
      </c>
      <c r="E899" t="s">
        <v>26</v>
      </c>
      <c r="F899" t="s">
        <v>22</v>
      </c>
      <c r="G899" t="s">
        <v>23</v>
      </c>
      <c r="H899" t="s">
        <v>21</v>
      </c>
      <c r="I899" s="3">
        <v>16400</v>
      </c>
      <c r="J899" s="3" t="str">
        <f>IF(I899&gt;16000, "High", IF(I899&gt;=12000, IF(I899&lt;=15000, "Medium", "High"), "Low"))</f>
        <v>High</v>
      </c>
      <c r="K899" t="b">
        <v>1</v>
      </c>
      <c r="L899" t="b">
        <v>1</v>
      </c>
      <c r="M899" t="b">
        <v>1</v>
      </c>
    </row>
    <row r="900" spans="1:13" hidden="1" x14ac:dyDescent="0.3">
      <c r="A900">
        <v>54</v>
      </c>
      <c r="B900" t="s">
        <v>18</v>
      </c>
      <c r="C900" s="1">
        <v>4</v>
      </c>
      <c r="D900" t="s">
        <v>28</v>
      </c>
      <c r="E900" t="s">
        <v>20</v>
      </c>
      <c r="F900" t="s">
        <v>27</v>
      </c>
      <c r="G900" t="s">
        <v>23</v>
      </c>
      <c r="H900" t="s">
        <v>24</v>
      </c>
      <c r="I900" s="3">
        <v>16643</v>
      </c>
      <c r="J900" s="3" t="str">
        <f>IF(I900&gt;16000, "High", IF(I900&gt;=12000, IF(I900&lt;=15000, "Medium", "High"), "Low"))</f>
        <v>High</v>
      </c>
      <c r="K900" t="b">
        <v>1</v>
      </c>
      <c r="L900" t="b">
        <v>0</v>
      </c>
      <c r="M900" t="b">
        <v>0</v>
      </c>
    </row>
    <row r="901" spans="1:13" hidden="1" x14ac:dyDescent="0.3">
      <c r="A901">
        <v>45</v>
      </c>
      <c r="B901" t="s">
        <v>25</v>
      </c>
      <c r="C901" s="1">
        <v>2</v>
      </c>
      <c r="D901" t="s">
        <v>13</v>
      </c>
      <c r="E901" t="s">
        <v>20</v>
      </c>
      <c r="F901" t="s">
        <v>22</v>
      </c>
      <c r="G901" t="s">
        <v>16</v>
      </c>
      <c r="H901" t="s">
        <v>17</v>
      </c>
      <c r="I901" s="3">
        <v>18701</v>
      </c>
      <c r="J901" s="3" t="str">
        <f>IF(I901&gt;16000, "High", IF(I901&gt;=12000, IF(I901&lt;=15000, "Medium", "High"), "Low"))</f>
        <v>High</v>
      </c>
      <c r="K901" t="b">
        <v>1</v>
      </c>
      <c r="L901" t="b">
        <v>1</v>
      </c>
      <c r="M901" t="b">
        <v>0</v>
      </c>
    </row>
    <row r="902" spans="1:13" x14ac:dyDescent="0.3">
      <c r="A902">
        <v>62</v>
      </c>
      <c r="B902" t="s">
        <v>18</v>
      </c>
      <c r="C902" s="1">
        <v>2</v>
      </c>
      <c r="D902" t="s">
        <v>19</v>
      </c>
      <c r="E902" t="s">
        <v>20</v>
      </c>
      <c r="F902" t="s">
        <v>15</v>
      </c>
      <c r="G902" t="s">
        <v>16</v>
      </c>
      <c r="H902" t="s">
        <v>24</v>
      </c>
      <c r="I902" s="3">
        <v>12765</v>
      </c>
      <c r="J902" s="3" t="str">
        <f>IF(I902&gt;16000, "High", IF(I902&gt;=12000, IF(I902&lt;=15000, "Medium", "High"), "Low"))</f>
        <v>Medium</v>
      </c>
      <c r="K902" t="b">
        <v>1</v>
      </c>
      <c r="L902" t="b">
        <v>0</v>
      </c>
      <c r="M902" t="b">
        <v>1</v>
      </c>
    </row>
    <row r="903" spans="1:13" x14ac:dyDescent="0.3">
      <c r="A903">
        <v>37</v>
      </c>
      <c r="B903" t="s">
        <v>18</v>
      </c>
      <c r="C903" s="1">
        <v>7</v>
      </c>
      <c r="D903" t="s">
        <v>19</v>
      </c>
      <c r="E903" t="s">
        <v>26</v>
      </c>
      <c r="F903" t="s">
        <v>22</v>
      </c>
      <c r="G903" t="s">
        <v>23</v>
      </c>
      <c r="H903" t="s">
        <v>24</v>
      </c>
      <c r="I903" s="3">
        <v>10992</v>
      </c>
      <c r="J903" s="3" t="str">
        <f>IF(I903&gt;16000, "High", IF(I903&gt;=12000, IF(I903&lt;=15000, "Medium", "High"), "Low"))</f>
        <v>Low</v>
      </c>
      <c r="K903" t="b">
        <v>0</v>
      </c>
      <c r="L903" t="b">
        <v>1</v>
      </c>
      <c r="M903" t="b">
        <v>1</v>
      </c>
    </row>
    <row r="904" spans="1:13" hidden="1" x14ac:dyDescent="0.3">
      <c r="A904">
        <v>34</v>
      </c>
      <c r="B904" t="s">
        <v>18</v>
      </c>
      <c r="C904" s="1">
        <v>9</v>
      </c>
      <c r="D904" t="s">
        <v>28</v>
      </c>
      <c r="E904" t="s">
        <v>20</v>
      </c>
      <c r="F904" t="s">
        <v>27</v>
      </c>
      <c r="G904" t="s">
        <v>16</v>
      </c>
      <c r="H904" t="s">
        <v>17</v>
      </c>
      <c r="I904" s="3">
        <v>17777</v>
      </c>
      <c r="J904" s="3" t="str">
        <f>IF(I904&gt;16000, "High", IF(I904&gt;=12000, IF(I904&lt;=15000, "Medium", "High"), "Low"))</f>
        <v>High</v>
      </c>
      <c r="K904" t="b">
        <v>1</v>
      </c>
      <c r="L904" t="b">
        <v>0</v>
      </c>
      <c r="M904" t="b">
        <v>0</v>
      </c>
    </row>
    <row r="905" spans="1:13" hidden="1" x14ac:dyDescent="0.3">
      <c r="A905">
        <v>56</v>
      </c>
      <c r="B905" t="s">
        <v>18</v>
      </c>
      <c r="C905" s="1">
        <v>4</v>
      </c>
      <c r="D905" t="s">
        <v>28</v>
      </c>
      <c r="E905" t="s">
        <v>20</v>
      </c>
      <c r="F905" t="s">
        <v>27</v>
      </c>
      <c r="G905" t="s">
        <v>16</v>
      </c>
      <c r="H905" t="s">
        <v>17</v>
      </c>
      <c r="I905" s="3">
        <v>14232</v>
      </c>
      <c r="J905" s="3" t="str">
        <f>IF(I905&gt;16000, "High", IF(I905&gt;=12000, IF(I905&lt;=15000, "Medium", "High"), "Low"))</f>
        <v>Medium</v>
      </c>
      <c r="K905" t="b">
        <v>0</v>
      </c>
      <c r="L905" t="b">
        <v>0</v>
      </c>
      <c r="M905" t="b">
        <v>1</v>
      </c>
    </row>
    <row r="906" spans="1:13" hidden="1" x14ac:dyDescent="0.3">
      <c r="A906">
        <v>39</v>
      </c>
      <c r="B906" t="s">
        <v>25</v>
      </c>
      <c r="C906" s="1">
        <v>6</v>
      </c>
      <c r="D906" t="s">
        <v>19</v>
      </c>
      <c r="E906" t="s">
        <v>14</v>
      </c>
      <c r="F906" t="s">
        <v>22</v>
      </c>
      <c r="G906" t="s">
        <v>29</v>
      </c>
      <c r="H906" t="s">
        <v>17</v>
      </c>
      <c r="I906" s="3">
        <v>16519</v>
      </c>
      <c r="J906" s="3" t="str">
        <f>IF(I906&gt;16000, "High", IF(I906&gt;=12000, IF(I906&lt;=15000, "Medium", "High"), "Low"))</f>
        <v>High</v>
      </c>
      <c r="K906" t="b">
        <v>1</v>
      </c>
      <c r="L906" t="b">
        <v>1</v>
      </c>
      <c r="M906" t="b">
        <v>1</v>
      </c>
    </row>
    <row r="907" spans="1:13" hidden="1" x14ac:dyDescent="0.3">
      <c r="A907">
        <v>43</v>
      </c>
      <c r="B907" t="s">
        <v>18</v>
      </c>
      <c r="C907" s="1">
        <v>2</v>
      </c>
      <c r="D907" t="s">
        <v>13</v>
      </c>
      <c r="E907" t="s">
        <v>14</v>
      </c>
      <c r="F907" t="s">
        <v>27</v>
      </c>
      <c r="G907" t="s">
        <v>29</v>
      </c>
      <c r="H907" t="s">
        <v>17</v>
      </c>
      <c r="I907" s="3">
        <v>11777</v>
      </c>
      <c r="J907" s="3" t="str">
        <f>IF(I907&gt;16000, "High", IF(I907&gt;=12000, IF(I907&lt;=15000, "Medium", "High"), "Low"))</f>
        <v>Low</v>
      </c>
      <c r="K907" t="b">
        <v>1</v>
      </c>
      <c r="L907" t="b">
        <v>0</v>
      </c>
      <c r="M907" t="b">
        <v>1</v>
      </c>
    </row>
    <row r="908" spans="1:13" hidden="1" x14ac:dyDescent="0.3">
      <c r="A908">
        <v>61</v>
      </c>
      <c r="B908" t="s">
        <v>18</v>
      </c>
      <c r="C908" s="1">
        <v>6</v>
      </c>
      <c r="D908" t="s">
        <v>28</v>
      </c>
      <c r="E908" t="s">
        <v>20</v>
      </c>
      <c r="F908" t="s">
        <v>22</v>
      </c>
      <c r="G908" t="s">
        <v>29</v>
      </c>
      <c r="H908" t="s">
        <v>17</v>
      </c>
      <c r="I908" s="3">
        <v>11222</v>
      </c>
      <c r="J908" s="3" t="str">
        <f>IF(I908&gt;16000, "High", IF(I908&gt;=12000, IF(I908&lt;=15000, "Medium", "High"), "Low"))</f>
        <v>Low</v>
      </c>
      <c r="K908" t="b">
        <v>0</v>
      </c>
      <c r="L908" t="b">
        <v>0</v>
      </c>
      <c r="M908" t="b">
        <v>0</v>
      </c>
    </row>
    <row r="909" spans="1:13" hidden="1" x14ac:dyDescent="0.3">
      <c r="A909">
        <v>42</v>
      </c>
      <c r="B909" t="s">
        <v>25</v>
      </c>
      <c r="C909" s="1">
        <v>3</v>
      </c>
      <c r="D909" t="s">
        <v>13</v>
      </c>
      <c r="E909" t="s">
        <v>14</v>
      </c>
      <c r="F909" t="s">
        <v>27</v>
      </c>
      <c r="G909" t="s">
        <v>16</v>
      </c>
      <c r="H909" t="s">
        <v>17</v>
      </c>
      <c r="I909" s="3">
        <v>17630</v>
      </c>
      <c r="J909" s="3" t="str">
        <f>IF(I909&gt;16000, "High", IF(I909&gt;=12000, IF(I909&lt;=15000, "Medium", "High"), "Low"))</f>
        <v>High</v>
      </c>
      <c r="K909" t="b">
        <v>0</v>
      </c>
      <c r="L909" t="b">
        <v>0</v>
      </c>
      <c r="M909" t="b">
        <v>0</v>
      </c>
    </row>
    <row r="910" spans="1:13" hidden="1" x14ac:dyDescent="0.3">
      <c r="A910">
        <v>34</v>
      </c>
      <c r="B910" t="s">
        <v>12</v>
      </c>
      <c r="C910" s="1">
        <v>9</v>
      </c>
      <c r="D910" t="s">
        <v>13</v>
      </c>
      <c r="E910" t="s">
        <v>14</v>
      </c>
      <c r="F910" t="s">
        <v>22</v>
      </c>
      <c r="G910" t="s">
        <v>29</v>
      </c>
      <c r="H910" t="s">
        <v>24</v>
      </c>
      <c r="I910" s="3">
        <v>11777</v>
      </c>
      <c r="J910" s="3" t="str">
        <f>IF(I910&gt;16000, "High", IF(I910&gt;=12000, IF(I910&lt;=15000, "Medium", "High"), "Low"))</f>
        <v>Low</v>
      </c>
      <c r="K910" t="b">
        <v>0</v>
      </c>
      <c r="L910" t="b">
        <v>0</v>
      </c>
      <c r="M910" t="b">
        <v>1</v>
      </c>
    </row>
    <row r="911" spans="1:13" hidden="1" x14ac:dyDescent="0.3">
      <c r="A911">
        <v>30</v>
      </c>
      <c r="B911" t="s">
        <v>25</v>
      </c>
      <c r="C911" s="1">
        <v>2</v>
      </c>
      <c r="D911" t="s">
        <v>28</v>
      </c>
      <c r="E911" t="s">
        <v>20</v>
      </c>
      <c r="F911" t="s">
        <v>22</v>
      </c>
      <c r="G911" t="s">
        <v>29</v>
      </c>
      <c r="H911" t="s">
        <v>17</v>
      </c>
      <c r="I911" s="3">
        <v>19496</v>
      </c>
      <c r="J911" s="3" t="str">
        <f>IF(I911&gt;16000, "High", IF(I911&gt;=12000, IF(I911&lt;=15000, "Medium", "High"), "Low"))</f>
        <v>High</v>
      </c>
      <c r="K911" t="b">
        <v>0</v>
      </c>
      <c r="L911" t="b">
        <v>0</v>
      </c>
      <c r="M911" t="b">
        <v>1</v>
      </c>
    </row>
    <row r="912" spans="1:13" hidden="1" x14ac:dyDescent="0.3">
      <c r="A912">
        <v>37</v>
      </c>
      <c r="B912" t="s">
        <v>12</v>
      </c>
      <c r="C912" s="1">
        <v>9</v>
      </c>
      <c r="D912" t="s">
        <v>13</v>
      </c>
      <c r="E912" t="s">
        <v>20</v>
      </c>
      <c r="F912" t="s">
        <v>22</v>
      </c>
      <c r="G912" t="s">
        <v>23</v>
      </c>
      <c r="H912" t="s">
        <v>17</v>
      </c>
      <c r="I912" s="3">
        <v>17490</v>
      </c>
      <c r="J912" s="3" t="str">
        <f>IF(I912&gt;16000, "High", IF(I912&gt;=12000, IF(I912&lt;=15000, "Medium", "High"), "Low"))</f>
        <v>High</v>
      </c>
      <c r="K912" t="b">
        <v>1</v>
      </c>
      <c r="L912" t="b">
        <v>1</v>
      </c>
      <c r="M912" t="b">
        <v>1</v>
      </c>
    </row>
    <row r="913" spans="1:13" hidden="1" x14ac:dyDescent="0.3">
      <c r="A913">
        <v>42</v>
      </c>
      <c r="B913" t="s">
        <v>25</v>
      </c>
      <c r="C913" s="1">
        <v>5</v>
      </c>
      <c r="D913" t="s">
        <v>13</v>
      </c>
      <c r="E913" t="s">
        <v>20</v>
      </c>
      <c r="F913" t="s">
        <v>22</v>
      </c>
      <c r="G913" t="s">
        <v>23</v>
      </c>
      <c r="H913" t="s">
        <v>24</v>
      </c>
      <c r="I913" s="3">
        <v>14859</v>
      </c>
      <c r="J913" s="3" t="str">
        <f>IF(I913&gt;16000, "High", IF(I913&gt;=12000, IF(I913&lt;=15000, "Medium", "High"), "Low"))</f>
        <v>Medium</v>
      </c>
      <c r="K913" t="b">
        <v>1</v>
      </c>
      <c r="L913" t="b">
        <v>0</v>
      </c>
      <c r="M913" t="b">
        <v>1</v>
      </c>
    </row>
    <row r="914" spans="1:13" hidden="1" x14ac:dyDescent="0.3">
      <c r="A914">
        <v>21</v>
      </c>
      <c r="B914" t="s">
        <v>25</v>
      </c>
      <c r="C914" s="1">
        <v>8</v>
      </c>
      <c r="D914" t="s">
        <v>19</v>
      </c>
      <c r="E914" t="s">
        <v>20</v>
      </c>
      <c r="F914" t="s">
        <v>15</v>
      </c>
      <c r="G914" t="s">
        <v>16</v>
      </c>
      <c r="H914" t="s">
        <v>17</v>
      </c>
      <c r="I914" s="3">
        <v>18893</v>
      </c>
      <c r="J914" s="3" t="str">
        <f>IF(I914&gt;16000, "High", IF(I914&gt;=12000, IF(I914&lt;=15000, "Medium", "High"), "Low"))</f>
        <v>High</v>
      </c>
      <c r="K914" t="b">
        <v>1</v>
      </c>
      <c r="L914" t="b">
        <v>0</v>
      </c>
      <c r="M914" t="b">
        <v>1</v>
      </c>
    </row>
    <row r="915" spans="1:13" hidden="1" x14ac:dyDescent="0.3">
      <c r="A915">
        <v>27</v>
      </c>
      <c r="B915" t="s">
        <v>18</v>
      </c>
      <c r="C915" s="1">
        <v>2</v>
      </c>
      <c r="D915" t="s">
        <v>13</v>
      </c>
      <c r="E915" t="s">
        <v>26</v>
      </c>
      <c r="F915" t="s">
        <v>22</v>
      </c>
      <c r="G915" t="s">
        <v>23</v>
      </c>
      <c r="H915" t="s">
        <v>21</v>
      </c>
      <c r="I915" s="3">
        <v>18118</v>
      </c>
      <c r="J915" s="3" t="str">
        <f>IF(I915&gt;16000, "High", IF(I915&gt;=12000, IF(I915&lt;=15000, "Medium", "High"), "Low"))</f>
        <v>High</v>
      </c>
      <c r="K915" t="b">
        <v>0</v>
      </c>
      <c r="L915" t="b">
        <v>1</v>
      </c>
      <c r="M915" t="b">
        <v>1</v>
      </c>
    </row>
    <row r="916" spans="1:13" hidden="1" x14ac:dyDescent="0.3">
      <c r="A916">
        <v>20</v>
      </c>
      <c r="B916" t="s">
        <v>12</v>
      </c>
      <c r="C916" s="1">
        <v>6</v>
      </c>
      <c r="D916" t="s">
        <v>19</v>
      </c>
      <c r="E916" t="s">
        <v>26</v>
      </c>
      <c r="F916" t="s">
        <v>27</v>
      </c>
      <c r="G916" t="s">
        <v>23</v>
      </c>
      <c r="H916" t="s">
        <v>21</v>
      </c>
      <c r="I916" s="3">
        <v>12989</v>
      </c>
      <c r="J916" s="3" t="str">
        <f>IF(I916&gt;16000, "High", IF(I916&gt;=12000, IF(I916&lt;=15000, "Medium", "High"), "Low"))</f>
        <v>Medium</v>
      </c>
      <c r="K916" t="b">
        <v>1</v>
      </c>
      <c r="L916" t="b">
        <v>0</v>
      </c>
      <c r="M916" t="b">
        <v>0</v>
      </c>
    </row>
    <row r="917" spans="1:13" hidden="1" x14ac:dyDescent="0.3">
      <c r="A917">
        <v>58</v>
      </c>
      <c r="B917" t="s">
        <v>18</v>
      </c>
      <c r="C917" s="1">
        <v>3</v>
      </c>
      <c r="D917" t="s">
        <v>28</v>
      </c>
      <c r="E917" t="s">
        <v>20</v>
      </c>
      <c r="F917" t="s">
        <v>15</v>
      </c>
      <c r="G917" t="s">
        <v>29</v>
      </c>
      <c r="H917" t="s">
        <v>17</v>
      </c>
      <c r="I917" s="3">
        <v>18343</v>
      </c>
      <c r="J917" s="3" t="str">
        <f>IF(I917&gt;16000, "High", IF(I917&gt;=12000, IF(I917&lt;=15000, "Medium", "High"), "Low"))</f>
        <v>High</v>
      </c>
      <c r="K917" t="b">
        <v>0</v>
      </c>
      <c r="L917" t="b">
        <v>0</v>
      </c>
      <c r="M917" t="b">
        <v>0</v>
      </c>
    </row>
    <row r="918" spans="1:13" hidden="1" x14ac:dyDescent="0.3">
      <c r="A918">
        <v>62</v>
      </c>
      <c r="B918" t="s">
        <v>12</v>
      </c>
      <c r="C918" s="1">
        <v>5</v>
      </c>
      <c r="D918" t="s">
        <v>28</v>
      </c>
      <c r="E918" t="s">
        <v>14</v>
      </c>
      <c r="F918" t="s">
        <v>15</v>
      </c>
      <c r="G918" t="s">
        <v>29</v>
      </c>
      <c r="H918" t="s">
        <v>24</v>
      </c>
      <c r="I918" s="3">
        <v>11325</v>
      </c>
      <c r="J918" s="3" t="str">
        <f>IF(I918&gt;16000, "High", IF(I918&gt;=12000, IF(I918&lt;=15000, "Medium", "High"), "Low"))</f>
        <v>Low</v>
      </c>
      <c r="K918" t="b">
        <v>0</v>
      </c>
      <c r="L918" t="b">
        <v>1</v>
      </c>
      <c r="M918" t="b">
        <v>1</v>
      </c>
    </row>
    <row r="919" spans="1:13" hidden="1" x14ac:dyDescent="0.3">
      <c r="A919">
        <v>35</v>
      </c>
      <c r="B919" t="s">
        <v>25</v>
      </c>
      <c r="C919" s="1">
        <v>8</v>
      </c>
      <c r="D919" t="s">
        <v>19</v>
      </c>
      <c r="E919" t="s">
        <v>20</v>
      </c>
      <c r="F919" t="s">
        <v>22</v>
      </c>
      <c r="G919" t="s">
        <v>23</v>
      </c>
      <c r="H919" t="s">
        <v>21</v>
      </c>
      <c r="I919" s="3">
        <v>19493</v>
      </c>
      <c r="J919" s="3" t="str">
        <f>IF(I919&gt;16000, "High", IF(I919&gt;=12000, IF(I919&lt;=15000, "Medium", "High"), "Low"))</f>
        <v>High</v>
      </c>
      <c r="K919" t="b">
        <v>0</v>
      </c>
      <c r="L919" t="b">
        <v>0</v>
      </c>
      <c r="M919" t="b">
        <v>0</v>
      </c>
    </row>
    <row r="920" spans="1:13" hidden="1" x14ac:dyDescent="0.3">
      <c r="A920">
        <v>64</v>
      </c>
      <c r="B920" t="s">
        <v>25</v>
      </c>
      <c r="C920" s="1">
        <v>1</v>
      </c>
      <c r="D920" t="s">
        <v>28</v>
      </c>
      <c r="E920" t="s">
        <v>20</v>
      </c>
      <c r="F920" t="s">
        <v>15</v>
      </c>
      <c r="G920" t="s">
        <v>23</v>
      </c>
      <c r="H920" t="s">
        <v>24</v>
      </c>
      <c r="I920" s="3">
        <v>19903</v>
      </c>
      <c r="J920" s="3" t="str">
        <f>IF(I920&gt;16000, "High", IF(I920&gt;=12000, IF(I920&lt;=15000, "Medium", "High"), "Low"))</f>
        <v>High</v>
      </c>
      <c r="K920" t="b">
        <v>1</v>
      </c>
      <c r="L920" t="b">
        <v>1</v>
      </c>
      <c r="M920" t="b">
        <v>1</v>
      </c>
    </row>
    <row r="921" spans="1:13" hidden="1" x14ac:dyDescent="0.3">
      <c r="A921">
        <v>53</v>
      </c>
      <c r="B921" t="s">
        <v>12</v>
      </c>
      <c r="C921" s="1">
        <v>5</v>
      </c>
      <c r="D921" t="s">
        <v>13</v>
      </c>
      <c r="E921" t="s">
        <v>14</v>
      </c>
      <c r="F921" t="s">
        <v>22</v>
      </c>
      <c r="G921" t="s">
        <v>23</v>
      </c>
      <c r="H921" t="s">
        <v>21</v>
      </c>
      <c r="I921" s="3">
        <v>15127</v>
      </c>
      <c r="J921" s="3" t="str">
        <f>IF(I921&gt;16000, "High", IF(I921&gt;=12000, IF(I921&lt;=15000, "Medium", "High"), "Low"))</f>
        <v>High</v>
      </c>
      <c r="K921" t="b">
        <v>0</v>
      </c>
      <c r="L921" t="b">
        <v>0</v>
      </c>
      <c r="M921" t="b">
        <v>1</v>
      </c>
    </row>
    <row r="922" spans="1:13" hidden="1" x14ac:dyDescent="0.3">
      <c r="A922">
        <v>64</v>
      </c>
      <c r="B922" t="s">
        <v>18</v>
      </c>
      <c r="C922" s="1">
        <v>3</v>
      </c>
      <c r="D922" t="s">
        <v>13</v>
      </c>
      <c r="E922" t="s">
        <v>26</v>
      </c>
      <c r="F922" t="s">
        <v>27</v>
      </c>
      <c r="G922" t="s">
        <v>16</v>
      </c>
      <c r="H922" t="s">
        <v>17</v>
      </c>
      <c r="I922" s="3">
        <v>18998</v>
      </c>
      <c r="J922" s="3" t="str">
        <f>IF(I922&gt;16000, "High", IF(I922&gt;=12000, IF(I922&lt;=15000, "Medium", "High"), "Low"))</f>
        <v>High</v>
      </c>
      <c r="K922" t="b">
        <v>0</v>
      </c>
      <c r="L922" t="b">
        <v>1</v>
      </c>
      <c r="M922" t="b">
        <v>0</v>
      </c>
    </row>
    <row r="923" spans="1:13" hidden="1" x14ac:dyDescent="0.3">
      <c r="A923">
        <v>39</v>
      </c>
      <c r="B923" t="s">
        <v>18</v>
      </c>
      <c r="C923" s="1">
        <v>4</v>
      </c>
      <c r="D923" t="s">
        <v>13</v>
      </c>
      <c r="E923" t="s">
        <v>20</v>
      </c>
      <c r="F923" t="s">
        <v>22</v>
      </c>
      <c r="G923" t="s">
        <v>16</v>
      </c>
      <c r="H923" t="s">
        <v>24</v>
      </c>
      <c r="I923" s="3">
        <v>12722</v>
      </c>
      <c r="J923" s="3" t="str">
        <f>IF(I923&gt;16000, "High", IF(I923&gt;=12000, IF(I923&lt;=15000, "Medium", "High"), "Low"))</f>
        <v>Medium</v>
      </c>
      <c r="K923" t="b">
        <v>0</v>
      </c>
      <c r="L923" t="b">
        <v>1</v>
      </c>
      <c r="M923" t="b">
        <v>0</v>
      </c>
    </row>
    <row r="924" spans="1:13" hidden="1" x14ac:dyDescent="0.3">
      <c r="A924">
        <v>51</v>
      </c>
      <c r="B924" t="s">
        <v>18</v>
      </c>
      <c r="C924" s="1">
        <v>2</v>
      </c>
      <c r="D924" t="s">
        <v>28</v>
      </c>
      <c r="E924" t="s">
        <v>20</v>
      </c>
      <c r="F924" t="s">
        <v>15</v>
      </c>
      <c r="G924" t="s">
        <v>16</v>
      </c>
      <c r="H924" t="s">
        <v>24</v>
      </c>
      <c r="I924" s="3">
        <v>14656</v>
      </c>
      <c r="J924" s="3" t="str">
        <f>IF(I924&gt;16000, "High", IF(I924&gt;=12000, IF(I924&lt;=15000, "Medium", "High"), "Low"))</f>
        <v>Medium</v>
      </c>
      <c r="K924" t="b">
        <v>0</v>
      </c>
      <c r="L924" t="b">
        <v>0</v>
      </c>
      <c r="M924" t="b">
        <v>1</v>
      </c>
    </row>
    <row r="925" spans="1:13" hidden="1" x14ac:dyDescent="0.3">
      <c r="A925">
        <v>64</v>
      </c>
      <c r="B925" t="s">
        <v>18</v>
      </c>
      <c r="C925" s="1">
        <v>9</v>
      </c>
      <c r="D925" t="s">
        <v>13</v>
      </c>
      <c r="E925" t="s">
        <v>26</v>
      </c>
      <c r="F925" t="s">
        <v>27</v>
      </c>
      <c r="G925" t="s">
        <v>23</v>
      </c>
      <c r="H925" t="s">
        <v>24</v>
      </c>
      <c r="I925" s="3">
        <v>11325</v>
      </c>
      <c r="J925" s="3" t="str">
        <f>IF(I925&gt;16000, "High", IF(I925&gt;=12000, IF(I925&lt;=15000, "Medium", "High"), "Low"))</f>
        <v>Low</v>
      </c>
      <c r="K925" t="b">
        <v>0</v>
      </c>
      <c r="L925" t="b">
        <v>1</v>
      </c>
      <c r="M925" t="b">
        <v>1</v>
      </c>
    </row>
    <row r="926" spans="1:13" hidden="1" x14ac:dyDescent="0.3">
      <c r="A926">
        <v>25</v>
      </c>
      <c r="B926" t="s">
        <v>25</v>
      </c>
      <c r="C926" s="1">
        <v>3</v>
      </c>
      <c r="D926" t="s">
        <v>28</v>
      </c>
      <c r="E926" t="s">
        <v>26</v>
      </c>
      <c r="F926" t="s">
        <v>22</v>
      </c>
      <c r="G926" t="s">
        <v>23</v>
      </c>
      <c r="H926" t="s">
        <v>21</v>
      </c>
      <c r="I926" s="3">
        <v>14133</v>
      </c>
      <c r="J926" s="3" t="str">
        <f>IF(I926&gt;16000, "High", IF(I926&gt;=12000, IF(I926&lt;=15000, "Medium", "High"), "Low"))</f>
        <v>Medium</v>
      </c>
      <c r="K926" t="b">
        <v>0</v>
      </c>
      <c r="L926" t="b">
        <v>1</v>
      </c>
      <c r="M926" t="b">
        <v>0</v>
      </c>
    </row>
    <row r="927" spans="1:13" hidden="1" x14ac:dyDescent="0.3">
      <c r="A927">
        <v>57</v>
      </c>
      <c r="B927" t="s">
        <v>25</v>
      </c>
      <c r="C927" s="1">
        <v>2</v>
      </c>
      <c r="D927" t="s">
        <v>13</v>
      </c>
      <c r="E927" t="s">
        <v>14</v>
      </c>
      <c r="F927" t="s">
        <v>27</v>
      </c>
      <c r="G927" t="s">
        <v>16</v>
      </c>
      <c r="H927" t="s">
        <v>21</v>
      </c>
      <c r="I927" s="3">
        <v>19351</v>
      </c>
      <c r="J927" s="3" t="str">
        <f>IF(I927&gt;16000, "High", IF(I927&gt;=12000, IF(I927&lt;=15000, "Medium", "High"), "Low"))</f>
        <v>High</v>
      </c>
      <c r="K927" t="b">
        <v>0</v>
      </c>
      <c r="L927" t="b">
        <v>0</v>
      </c>
      <c r="M927" t="b">
        <v>0</v>
      </c>
    </row>
    <row r="928" spans="1:13" hidden="1" x14ac:dyDescent="0.3">
      <c r="A928">
        <v>61</v>
      </c>
      <c r="B928" t="s">
        <v>25</v>
      </c>
      <c r="C928" s="1">
        <v>9</v>
      </c>
      <c r="D928" t="s">
        <v>19</v>
      </c>
      <c r="E928" t="s">
        <v>26</v>
      </c>
      <c r="F928" t="s">
        <v>27</v>
      </c>
      <c r="G928" t="s">
        <v>16</v>
      </c>
      <c r="H928" t="s">
        <v>21</v>
      </c>
      <c r="I928" s="3">
        <v>12869</v>
      </c>
      <c r="J928" s="3" t="str">
        <f>IF(I928&gt;16000, "High", IF(I928&gt;=12000, IF(I928&lt;=15000, "Medium", "High"), "Low"))</f>
        <v>Medium</v>
      </c>
      <c r="K928" t="b">
        <v>0</v>
      </c>
      <c r="L928" t="b">
        <v>0</v>
      </c>
      <c r="M928" t="b">
        <v>1</v>
      </c>
    </row>
    <row r="929" spans="1:13" hidden="1" x14ac:dyDescent="0.3">
      <c r="A929">
        <v>36</v>
      </c>
      <c r="B929" t="s">
        <v>25</v>
      </c>
      <c r="C929" s="1">
        <v>7</v>
      </c>
      <c r="D929" t="s">
        <v>28</v>
      </c>
      <c r="E929" t="s">
        <v>26</v>
      </c>
      <c r="F929" t="s">
        <v>15</v>
      </c>
      <c r="G929" t="s">
        <v>23</v>
      </c>
      <c r="H929" t="s">
        <v>17</v>
      </c>
      <c r="I929" s="3">
        <v>11242</v>
      </c>
      <c r="J929" s="3" t="str">
        <f>IF(I929&gt;16000, "High", IF(I929&gt;=12000, IF(I929&lt;=15000, "Medium", "High"), "Low"))</f>
        <v>Low</v>
      </c>
      <c r="K929" t="b">
        <v>0</v>
      </c>
      <c r="L929" t="b">
        <v>1</v>
      </c>
      <c r="M929" t="b">
        <v>1</v>
      </c>
    </row>
    <row r="930" spans="1:13" hidden="1" x14ac:dyDescent="0.3">
      <c r="A930">
        <v>59</v>
      </c>
      <c r="B930" t="s">
        <v>25</v>
      </c>
      <c r="C930" s="1">
        <v>6</v>
      </c>
      <c r="D930" t="s">
        <v>28</v>
      </c>
      <c r="E930" t="s">
        <v>26</v>
      </c>
      <c r="F930" t="s">
        <v>27</v>
      </c>
      <c r="G930" t="s">
        <v>29</v>
      </c>
      <c r="H930" t="s">
        <v>21</v>
      </c>
      <c r="I930" s="3">
        <v>18539</v>
      </c>
      <c r="J930" s="3" t="str">
        <f>IF(I930&gt;16000, "High", IF(I930&gt;=12000, IF(I930&lt;=15000, "Medium", "High"), "Low"))</f>
        <v>High</v>
      </c>
      <c r="K930" t="b">
        <v>0</v>
      </c>
      <c r="L930" t="b">
        <v>0</v>
      </c>
      <c r="M930" t="b">
        <v>1</v>
      </c>
    </row>
    <row r="931" spans="1:13" hidden="1" x14ac:dyDescent="0.3">
      <c r="A931">
        <v>58</v>
      </c>
      <c r="B931" t="s">
        <v>18</v>
      </c>
      <c r="C931" s="1">
        <v>1</v>
      </c>
      <c r="D931" t="s">
        <v>13</v>
      </c>
      <c r="E931" t="s">
        <v>14</v>
      </c>
      <c r="F931" t="s">
        <v>15</v>
      </c>
      <c r="G931" t="s">
        <v>16</v>
      </c>
      <c r="H931" t="s">
        <v>17</v>
      </c>
      <c r="I931" s="3">
        <v>11831</v>
      </c>
      <c r="J931" s="3" t="str">
        <f>IF(I931&gt;16000, "High", IF(I931&gt;=12000, IF(I931&lt;=15000, "Medium", "High"), "Low"))</f>
        <v>Low</v>
      </c>
      <c r="K931" t="b">
        <v>0</v>
      </c>
      <c r="L931" t="b">
        <v>1</v>
      </c>
      <c r="M931" t="b">
        <v>0</v>
      </c>
    </row>
    <row r="932" spans="1:13" hidden="1" x14ac:dyDescent="0.3">
      <c r="A932">
        <v>54</v>
      </c>
      <c r="B932" t="s">
        <v>18</v>
      </c>
      <c r="C932" s="1">
        <v>5</v>
      </c>
      <c r="D932" t="s">
        <v>28</v>
      </c>
      <c r="E932" t="s">
        <v>26</v>
      </c>
      <c r="F932" t="s">
        <v>27</v>
      </c>
      <c r="G932" t="s">
        <v>23</v>
      </c>
      <c r="H932" t="s">
        <v>24</v>
      </c>
      <c r="I932" s="3">
        <v>11569</v>
      </c>
      <c r="J932" s="3" t="str">
        <f>IF(I932&gt;16000, "High", IF(I932&gt;=12000, IF(I932&lt;=15000, "Medium", "High"), "Low"))</f>
        <v>Low</v>
      </c>
      <c r="K932" t="b">
        <v>0</v>
      </c>
      <c r="L932" t="b">
        <v>1</v>
      </c>
      <c r="M932" t="b">
        <v>1</v>
      </c>
    </row>
    <row r="933" spans="1:13" hidden="1" x14ac:dyDescent="0.3">
      <c r="A933">
        <v>23</v>
      </c>
      <c r="B933" t="s">
        <v>18</v>
      </c>
      <c r="C933" s="1">
        <v>3</v>
      </c>
      <c r="D933" t="s">
        <v>28</v>
      </c>
      <c r="E933" t="s">
        <v>26</v>
      </c>
      <c r="F933" t="s">
        <v>22</v>
      </c>
      <c r="G933" t="s">
        <v>23</v>
      </c>
      <c r="H933" t="s">
        <v>24</v>
      </c>
      <c r="I933" s="3">
        <v>17246</v>
      </c>
      <c r="J933" s="3" t="str">
        <f>IF(I933&gt;16000, "High", IF(I933&gt;=12000, IF(I933&lt;=15000, "Medium", "High"), "Low"))</f>
        <v>High</v>
      </c>
      <c r="K933" t="b">
        <v>1</v>
      </c>
      <c r="L933" t="b">
        <v>0</v>
      </c>
      <c r="M933" t="b">
        <v>0</v>
      </c>
    </row>
    <row r="934" spans="1:13" x14ac:dyDescent="0.3">
      <c r="A934">
        <v>41</v>
      </c>
      <c r="B934" t="s">
        <v>18</v>
      </c>
      <c r="C934" s="1">
        <v>6</v>
      </c>
      <c r="D934" t="s">
        <v>19</v>
      </c>
      <c r="E934" t="s">
        <v>20</v>
      </c>
      <c r="F934" t="s">
        <v>15</v>
      </c>
      <c r="G934" t="s">
        <v>29</v>
      </c>
      <c r="H934" t="s">
        <v>24</v>
      </c>
      <c r="I934" s="3">
        <v>15424</v>
      </c>
      <c r="J934" s="3" t="str">
        <f>IF(I934&gt;16000, "High", IF(I934&gt;=12000, IF(I934&lt;=15000, "Medium", "High"), "Low"))</f>
        <v>High</v>
      </c>
      <c r="K934" t="b">
        <v>0</v>
      </c>
      <c r="L934" t="b">
        <v>0</v>
      </c>
      <c r="M934" t="b">
        <v>1</v>
      </c>
    </row>
    <row r="935" spans="1:13" hidden="1" x14ac:dyDescent="0.3">
      <c r="A935">
        <v>51</v>
      </c>
      <c r="B935" t="s">
        <v>25</v>
      </c>
      <c r="C935" s="1">
        <v>4</v>
      </c>
      <c r="D935" t="s">
        <v>19</v>
      </c>
      <c r="E935" t="s">
        <v>26</v>
      </c>
      <c r="F935" t="s">
        <v>22</v>
      </c>
      <c r="G935" t="s">
        <v>23</v>
      </c>
      <c r="H935" t="s">
        <v>21</v>
      </c>
      <c r="I935" s="3">
        <v>16416</v>
      </c>
      <c r="J935" s="3" t="str">
        <f>IF(I935&gt;16000, "High", IF(I935&gt;=12000, IF(I935&lt;=15000, "Medium", "High"), "Low"))</f>
        <v>High</v>
      </c>
      <c r="K935" t="b">
        <v>0</v>
      </c>
      <c r="L935" t="b">
        <v>1</v>
      </c>
      <c r="M935" t="b">
        <v>0</v>
      </c>
    </row>
    <row r="936" spans="1:13" hidden="1" x14ac:dyDescent="0.3">
      <c r="A936">
        <v>62</v>
      </c>
      <c r="B936" t="s">
        <v>25</v>
      </c>
      <c r="C936" s="1">
        <v>2</v>
      </c>
      <c r="D936" t="s">
        <v>13</v>
      </c>
      <c r="E936" t="s">
        <v>26</v>
      </c>
      <c r="F936" t="s">
        <v>22</v>
      </c>
      <c r="G936" t="s">
        <v>23</v>
      </c>
      <c r="H936" t="s">
        <v>17</v>
      </c>
      <c r="I936" s="3">
        <v>13232</v>
      </c>
      <c r="J936" s="3" t="str">
        <f>IF(I936&gt;16000, "High", IF(I936&gt;=12000, IF(I936&lt;=15000, "Medium", "High"), "Low"))</f>
        <v>Medium</v>
      </c>
      <c r="K936" t="b">
        <v>0</v>
      </c>
      <c r="L936" t="b">
        <v>0</v>
      </c>
      <c r="M936" t="b">
        <v>0</v>
      </c>
    </row>
    <row r="937" spans="1:13" hidden="1" x14ac:dyDescent="0.3">
      <c r="A937">
        <v>23</v>
      </c>
      <c r="B937" t="s">
        <v>25</v>
      </c>
      <c r="C937" s="1">
        <v>2</v>
      </c>
      <c r="D937" t="s">
        <v>19</v>
      </c>
      <c r="E937" t="s">
        <v>14</v>
      </c>
      <c r="F937" t="s">
        <v>27</v>
      </c>
      <c r="G937" t="s">
        <v>16</v>
      </c>
      <c r="H937" t="s">
        <v>24</v>
      </c>
      <c r="I937" s="3">
        <v>13758</v>
      </c>
      <c r="J937" s="3" t="str">
        <f>IF(I937&gt;16000, "High", IF(I937&gt;=12000, IF(I937&lt;=15000, "Medium", "High"), "Low"))</f>
        <v>Medium</v>
      </c>
      <c r="K937" t="b">
        <v>0</v>
      </c>
      <c r="L937" t="b">
        <v>0</v>
      </c>
      <c r="M937" t="b">
        <v>0</v>
      </c>
    </row>
    <row r="938" spans="1:13" hidden="1" x14ac:dyDescent="0.3">
      <c r="A938">
        <v>54</v>
      </c>
      <c r="B938" t="s">
        <v>12</v>
      </c>
      <c r="C938" s="1">
        <v>3</v>
      </c>
      <c r="D938" t="s">
        <v>13</v>
      </c>
      <c r="E938" t="s">
        <v>20</v>
      </c>
      <c r="F938" t="s">
        <v>22</v>
      </c>
      <c r="G938" t="s">
        <v>16</v>
      </c>
      <c r="H938" t="s">
        <v>24</v>
      </c>
      <c r="I938" s="3">
        <v>15997</v>
      </c>
      <c r="J938" s="3" t="str">
        <f>IF(I938&gt;16000, "High", IF(I938&gt;=12000, IF(I938&lt;=15000, "Medium", "High"), "Low"))</f>
        <v>High</v>
      </c>
      <c r="K938" t="b">
        <v>1</v>
      </c>
      <c r="L938" t="b">
        <v>1</v>
      </c>
      <c r="M938" t="b">
        <v>0</v>
      </c>
    </row>
    <row r="939" spans="1:13" hidden="1" x14ac:dyDescent="0.3">
      <c r="A939">
        <v>50</v>
      </c>
      <c r="B939" t="s">
        <v>18</v>
      </c>
      <c r="C939" s="1">
        <v>8</v>
      </c>
      <c r="D939" t="s">
        <v>13</v>
      </c>
      <c r="E939" t="s">
        <v>14</v>
      </c>
      <c r="F939" t="s">
        <v>27</v>
      </c>
      <c r="G939" t="s">
        <v>29</v>
      </c>
      <c r="H939" t="s">
        <v>17</v>
      </c>
      <c r="I939" s="3">
        <v>12355</v>
      </c>
      <c r="J939" s="3" t="str">
        <f>IF(I939&gt;16000, "High", IF(I939&gt;=12000, IF(I939&lt;=15000, "Medium", "High"), "Low"))</f>
        <v>Medium</v>
      </c>
      <c r="K939" t="b">
        <v>1</v>
      </c>
      <c r="L939" t="b">
        <v>1</v>
      </c>
      <c r="M939" t="b">
        <v>1</v>
      </c>
    </row>
    <row r="940" spans="1:13" hidden="1" x14ac:dyDescent="0.3">
      <c r="A940">
        <v>39</v>
      </c>
      <c r="B940" t="s">
        <v>18</v>
      </c>
      <c r="C940" s="1">
        <v>8</v>
      </c>
      <c r="D940" t="s">
        <v>13</v>
      </c>
      <c r="E940" t="s">
        <v>26</v>
      </c>
      <c r="F940" t="s">
        <v>27</v>
      </c>
      <c r="G940" t="s">
        <v>29</v>
      </c>
      <c r="H940" t="s">
        <v>21</v>
      </c>
      <c r="I940" s="3">
        <v>19589</v>
      </c>
      <c r="J940" s="3" t="str">
        <f>IF(I940&gt;16000, "High", IF(I940&gt;=12000, IF(I940&lt;=15000, "Medium", "High"), "Low"))</f>
        <v>High</v>
      </c>
      <c r="K940" t="b">
        <v>1</v>
      </c>
      <c r="L940" t="b">
        <v>1</v>
      </c>
      <c r="M940" t="b">
        <v>0</v>
      </c>
    </row>
    <row r="941" spans="1:13" hidden="1" x14ac:dyDescent="0.3">
      <c r="A941">
        <v>38</v>
      </c>
      <c r="B941" t="s">
        <v>25</v>
      </c>
      <c r="C941" s="1">
        <v>7</v>
      </c>
      <c r="D941" t="s">
        <v>28</v>
      </c>
      <c r="E941" t="s">
        <v>26</v>
      </c>
      <c r="F941" t="s">
        <v>22</v>
      </c>
      <c r="G941" t="s">
        <v>23</v>
      </c>
      <c r="H941" t="s">
        <v>21</v>
      </c>
      <c r="I941" s="3">
        <v>11824</v>
      </c>
      <c r="J941" s="3" t="str">
        <f>IF(I941&gt;16000, "High", IF(I941&gt;=12000, IF(I941&lt;=15000, "Medium", "High"), "Low"))</f>
        <v>Low</v>
      </c>
      <c r="K941" t="b">
        <v>0</v>
      </c>
      <c r="L941" t="b">
        <v>1</v>
      </c>
      <c r="M941" t="b">
        <v>0</v>
      </c>
    </row>
    <row r="942" spans="1:13" x14ac:dyDescent="0.3">
      <c r="A942">
        <v>44</v>
      </c>
      <c r="B942" t="s">
        <v>18</v>
      </c>
      <c r="C942" s="1">
        <v>8</v>
      </c>
      <c r="D942" t="s">
        <v>19</v>
      </c>
      <c r="E942" t="s">
        <v>26</v>
      </c>
      <c r="F942" t="s">
        <v>27</v>
      </c>
      <c r="G942" t="s">
        <v>23</v>
      </c>
      <c r="H942" t="s">
        <v>24</v>
      </c>
      <c r="I942" s="3">
        <v>19810</v>
      </c>
      <c r="J942" s="3" t="str">
        <f>IF(I942&gt;16000, "High", IF(I942&gt;=12000, IF(I942&lt;=15000, "Medium", "High"), "Low"))</f>
        <v>High</v>
      </c>
      <c r="K942" t="b">
        <v>1</v>
      </c>
      <c r="L942" t="b">
        <v>0</v>
      </c>
      <c r="M942" t="b">
        <v>0</v>
      </c>
    </row>
    <row r="943" spans="1:13" hidden="1" x14ac:dyDescent="0.3">
      <c r="A943">
        <v>23</v>
      </c>
      <c r="B943" t="s">
        <v>18</v>
      </c>
      <c r="C943" s="1">
        <v>9</v>
      </c>
      <c r="D943" t="s">
        <v>13</v>
      </c>
      <c r="E943" t="s">
        <v>14</v>
      </c>
      <c r="F943" t="s">
        <v>15</v>
      </c>
      <c r="G943" t="s">
        <v>29</v>
      </c>
      <c r="H943" t="s">
        <v>17</v>
      </c>
      <c r="I943" s="3">
        <v>14060</v>
      </c>
      <c r="J943" s="3" t="str">
        <f>IF(I943&gt;16000, "High", IF(I943&gt;=12000, IF(I943&lt;=15000, "Medium", "High"), "Low"))</f>
        <v>Medium</v>
      </c>
      <c r="K943" t="b">
        <v>0</v>
      </c>
      <c r="L943" t="b">
        <v>1</v>
      </c>
      <c r="M943" t="b">
        <v>1</v>
      </c>
    </row>
    <row r="944" spans="1:13" hidden="1" x14ac:dyDescent="0.3">
      <c r="A944">
        <v>21</v>
      </c>
      <c r="B944" t="s">
        <v>25</v>
      </c>
      <c r="C944" s="1">
        <v>4</v>
      </c>
      <c r="D944" t="s">
        <v>19</v>
      </c>
      <c r="E944" t="s">
        <v>26</v>
      </c>
      <c r="F944" t="s">
        <v>22</v>
      </c>
      <c r="G944" t="s">
        <v>29</v>
      </c>
      <c r="H944" t="s">
        <v>21</v>
      </c>
      <c r="I944" s="3">
        <v>15324</v>
      </c>
      <c r="J944" s="3" t="str">
        <f>IF(I944&gt;16000, "High", IF(I944&gt;=12000, IF(I944&lt;=15000, "Medium", "High"), "Low"))</f>
        <v>High</v>
      </c>
      <c r="K944" t="b">
        <v>0</v>
      </c>
      <c r="L944" t="b">
        <v>0</v>
      </c>
      <c r="M944" t="b">
        <v>1</v>
      </c>
    </row>
    <row r="945" spans="1:13" hidden="1" x14ac:dyDescent="0.3">
      <c r="A945">
        <v>47</v>
      </c>
      <c r="B945" t="s">
        <v>12</v>
      </c>
      <c r="C945" s="1">
        <v>1</v>
      </c>
      <c r="D945" t="s">
        <v>13</v>
      </c>
      <c r="E945" t="s">
        <v>26</v>
      </c>
      <c r="F945" t="s">
        <v>15</v>
      </c>
      <c r="G945" t="s">
        <v>29</v>
      </c>
      <c r="H945" t="s">
        <v>24</v>
      </c>
      <c r="I945" s="3">
        <v>10404</v>
      </c>
      <c r="J945" s="3" t="str">
        <f>IF(I945&gt;16000, "High", IF(I945&gt;=12000, IF(I945&lt;=15000, "Medium", "High"), "Low"))</f>
        <v>Low</v>
      </c>
      <c r="K945" t="b">
        <v>1</v>
      </c>
      <c r="L945" t="b">
        <v>1</v>
      </c>
      <c r="M945" t="b">
        <v>1</v>
      </c>
    </row>
    <row r="946" spans="1:13" hidden="1" x14ac:dyDescent="0.3">
      <c r="A946">
        <v>28</v>
      </c>
      <c r="B946" t="s">
        <v>12</v>
      </c>
      <c r="C946" s="1">
        <v>8</v>
      </c>
      <c r="D946" t="s">
        <v>19</v>
      </c>
      <c r="E946" t="s">
        <v>14</v>
      </c>
      <c r="F946" t="s">
        <v>22</v>
      </c>
      <c r="G946" t="s">
        <v>23</v>
      </c>
      <c r="H946" t="s">
        <v>17</v>
      </c>
      <c r="I946" s="3">
        <v>11721</v>
      </c>
      <c r="J946" s="3" t="str">
        <f>IF(I946&gt;16000, "High", IF(I946&gt;=12000, IF(I946&lt;=15000, "Medium", "High"), "Low"))</f>
        <v>Low</v>
      </c>
      <c r="K946" t="b">
        <v>0</v>
      </c>
      <c r="L946" t="b">
        <v>0</v>
      </c>
      <c r="M946" t="b">
        <v>1</v>
      </c>
    </row>
    <row r="947" spans="1:13" hidden="1" x14ac:dyDescent="0.3">
      <c r="A947">
        <v>47</v>
      </c>
      <c r="B947" t="s">
        <v>12</v>
      </c>
      <c r="C947" s="1">
        <v>7</v>
      </c>
      <c r="D947" t="s">
        <v>19</v>
      </c>
      <c r="E947" t="s">
        <v>20</v>
      </c>
      <c r="F947" t="s">
        <v>27</v>
      </c>
      <c r="G947" t="s">
        <v>16</v>
      </c>
      <c r="H947" t="s">
        <v>21</v>
      </c>
      <c r="I947" s="3">
        <v>15316</v>
      </c>
      <c r="J947" s="3" t="str">
        <f>IF(I947&gt;16000, "High", IF(I947&gt;=12000, IF(I947&lt;=15000, "Medium", "High"), "Low"))</f>
        <v>High</v>
      </c>
      <c r="K947" t="b">
        <v>1</v>
      </c>
      <c r="L947" t="b">
        <v>0</v>
      </c>
      <c r="M947" t="b">
        <v>1</v>
      </c>
    </row>
    <row r="948" spans="1:13" hidden="1" x14ac:dyDescent="0.3">
      <c r="A948">
        <v>48</v>
      </c>
      <c r="B948" t="s">
        <v>25</v>
      </c>
      <c r="C948" s="1">
        <v>7</v>
      </c>
      <c r="D948" t="s">
        <v>13</v>
      </c>
      <c r="E948" t="s">
        <v>20</v>
      </c>
      <c r="F948" t="s">
        <v>22</v>
      </c>
      <c r="G948" t="s">
        <v>29</v>
      </c>
      <c r="H948" t="s">
        <v>21</v>
      </c>
      <c r="I948" s="3">
        <v>13845</v>
      </c>
      <c r="J948" s="3" t="str">
        <f>IF(I948&gt;16000, "High", IF(I948&gt;=12000, IF(I948&lt;=15000, "Medium", "High"), "Low"))</f>
        <v>Medium</v>
      </c>
      <c r="K948" t="b">
        <v>1</v>
      </c>
      <c r="L948" t="b">
        <v>1</v>
      </c>
      <c r="M948" t="b">
        <v>1</v>
      </c>
    </row>
    <row r="949" spans="1:13" hidden="1" x14ac:dyDescent="0.3">
      <c r="A949">
        <v>41</v>
      </c>
      <c r="B949" t="s">
        <v>18</v>
      </c>
      <c r="C949" s="1">
        <v>3</v>
      </c>
      <c r="D949" t="s">
        <v>28</v>
      </c>
      <c r="E949" t="s">
        <v>26</v>
      </c>
      <c r="F949" t="s">
        <v>27</v>
      </c>
      <c r="G949" t="s">
        <v>16</v>
      </c>
      <c r="H949" t="s">
        <v>24</v>
      </c>
      <c r="I949" s="3">
        <v>14210</v>
      </c>
      <c r="J949" s="3" t="str">
        <f>IF(I949&gt;16000, "High", IF(I949&gt;=12000, IF(I949&lt;=15000, "Medium", "High"), "Low"))</f>
        <v>Medium</v>
      </c>
      <c r="K949" t="b">
        <v>0</v>
      </c>
      <c r="L949" t="b">
        <v>0</v>
      </c>
      <c r="M949" t="b">
        <v>0</v>
      </c>
    </row>
    <row r="950" spans="1:13" hidden="1" x14ac:dyDescent="0.3">
      <c r="A950">
        <v>26</v>
      </c>
      <c r="B950" t="s">
        <v>25</v>
      </c>
      <c r="C950" s="1">
        <v>4</v>
      </c>
      <c r="D950" t="s">
        <v>19</v>
      </c>
      <c r="E950" t="s">
        <v>14</v>
      </c>
      <c r="F950" t="s">
        <v>27</v>
      </c>
      <c r="G950" t="s">
        <v>29</v>
      </c>
      <c r="H950" t="s">
        <v>24</v>
      </c>
      <c r="I950" s="3">
        <v>10064</v>
      </c>
      <c r="J950" s="3" t="str">
        <f>IF(I950&gt;16000, "High", IF(I950&gt;=12000, IF(I950&lt;=15000, "Medium", "High"), "Low"))</f>
        <v>Low</v>
      </c>
      <c r="K950" t="b">
        <v>1</v>
      </c>
      <c r="L950" t="b">
        <v>1</v>
      </c>
      <c r="M950" t="b">
        <v>0</v>
      </c>
    </row>
    <row r="951" spans="1:13" hidden="1" x14ac:dyDescent="0.3">
      <c r="A951">
        <v>20</v>
      </c>
      <c r="B951" t="s">
        <v>25</v>
      </c>
      <c r="C951" s="1">
        <v>9</v>
      </c>
      <c r="D951" t="s">
        <v>28</v>
      </c>
      <c r="E951" t="s">
        <v>26</v>
      </c>
      <c r="F951" t="s">
        <v>27</v>
      </c>
      <c r="G951" t="s">
        <v>29</v>
      </c>
      <c r="H951" t="s">
        <v>24</v>
      </c>
      <c r="I951" s="3">
        <v>19491</v>
      </c>
      <c r="J951" s="3" t="str">
        <f>IF(I951&gt;16000, "High", IF(I951&gt;=12000, IF(I951&lt;=15000, "Medium", "High"), "Low"))</f>
        <v>High</v>
      </c>
      <c r="K951" t="b">
        <v>1</v>
      </c>
      <c r="L951" t="b">
        <v>0</v>
      </c>
      <c r="M951" t="b">
        <v>0</v>
      </c>
    </row>
    <row r="952" spans="1:13" hidden="1" x14ac:dyDescent="0.3">
      <c r="A952">
        <v>48</v>
      </c>
      <c r="B952" t="s">
        <v>18</v>
      </c>
      <c r="C952" s="1">
        <v>6</v>
      </c>
      <c r="D952" t="s">
        <v>28</v>
      </c>
      <c r="E952" t="s">
        <v>14</v>
      </c>
      <c r="F952" t="s">
        <v>15</v>
      </c>
      <c r="G952" t="s">
        <v>16</v>
      </c>
      <c r="H952" t="s">
        <v>24</v>
      </c>
      <c r="I952" s="3">
        <v>16382</v>
      </c>
      <c r="J952" s="3" t="str">
        <f>IF(I952&gt;16000, "High", IF(I952&gt;=12000, IF(I952&lt;=15000, "Medium", "High"), "Low"))</f>
        <v>High</v>
      </c>
      <c r="K952" t="b">
        <v>1</v>
      </c>
      <c r="L952" t="b">
        <v>1</v>
      </c>
      <c r="M952" t="b">
        <v>1</v>
      </c>
    </row>
    <row r="953" spans="1:13" hidden="1" x14ac:dyDescent="0.3">
      <c r="A953">
        <v>57</v>
      </c>
      <c r="B953" t="s">
        <v>12</v>
      </c>
      <c r="C953" s="1">
        <v>5</v>
      </c>
      <c r="D953" t="s">
        <v>13</v>
      </c>
      <c r="E953" t="s">
        <v>14</v>
      </c>
      <c r="F953" t="s">
        <v>22</v>
      </c>
      <c r="G953" t="s">
        <v>16</v>
      </c>
      <c r="H953" t="s">
        <v>24</v>
      </c>
      <c r="I953" s="3">
        <v>19607</v>
      </c>
      <c r="J953" s="3" t="str">
        <f>IF(I953&gt;16000, "High", IF(I953&gt;=12000, IF(I953&lt;=15000, "Medium", "High"), "Low"))</f>
        <v>High</v>
      </c>
      <c r="K953" t="b">
        <v>1</v>
      </c>
      <c r="L953" t="b">
        <v>1</v>
      </c>
      <c r="M953" t="b">
        <v>0</v>
      </c>
    </row>
    <row r="954" spans="1:13" hidden="1" x14ac:dyDescent="0.3">
      <c r="A954">
        <v>54</v>
      </c>
      <c r="B954" t="s">
        <v>12</v>
      </c>
      <c r="C954" s="1">
        <v>3</v>
      </c>
      <c r="D954" t="s">
        <v>13</v>
      </c>
      <c r="E954" t="s">
        <v>20</v>
      </c>
      <c r="F954" t="s">
        <v>27</v>
      </c>
      <c r="G954" t="s">
        <v>16</v>
      </c>
      <c r="H954" t="s">
        <v>17</v>
      </c>
      <c r="I954" s="3">
        <v>10968</v>
      </c>
      <c r="J954" s="3" t="str">
        <f>IF(I954&gt;16000, "High", IF(I954&gt;=12000, IF(I954&lt;=15000, "Medium", "High"), "Low"))</f>
        <v>Low</v>
      </c>
      <c r="K954" t="b">
        <v>0</v>
      </c>
      <c r="L954" t="b">
        <v>1</v>
      </c>
      <c r="M954" t="b">
        <v>0</v>
      </c>
    </row>
    <row r="955" spans="1:13" hidden="1" x14ac:dyDescent="0.3">
      <c r="A955">
        <v>53</v>
      </c>
      <c r="B955" t="s">
        <v>25</v>
      </c>
      <c r="C955" s="1">
        <v>9</v>
      </c>
      <c r="D955" t="s">
        <v>13</v>
      </c>
      <c r="E955" t="s">
        <v>20</v>
      </c>
      <c r="F955" t="s">
        <v>27</v>
      </c>
      <c r="G955" t="s">
        <v>23</v>
      </c>
      <c r="H955" t="s">
        <v>21</v>
      </c>
      <c r="I955" s="3">
        <v>10368</v>
      </c>
      <c r="J955" s="3" t="str">
        <f>IF(I955&gt;16000, "High", IF(I955&gt;=12000, IF(I955&lt;=15000, "Medium", "High"), "Low"))</f>
        <v>Low</v>
      </c>
      <c r="K955" t="b">
        <v>0</v>
      </c>
      <c r="L955" t="b">
        <v>1</v>
      </c>
      <c r="M955" t="b">
        <v>1</v>
      </c>
    </row>
    <row r="956" spans="1:13" hidden="1" x14ac:dyDescent="0.3">
      <c r="A956">
        <v>41</v>
      </c>
      <c r="B956" t="s">
        <v>12</v>
      </c>
      <c r="C956" s="1">
        <v>5</v>
      </c>
      <c r="D956" t="s">
        <v>19</v>
      </c>
      <c r="E956" t="s">
        <v>14</v>
      </c>
      <c r="F956" t="s">
        <v>15</v>
      </c>
      <c r="G956" t="s">
        <v>29</v>
      </c>
      <c r="H956" t="s">
        <v>17</v>
      </c>
      <c r="I956" s="3">
        <v>18424</v>
      </c>
      <c r="J956" s="3" t="str">
        <f>IF(I956&gt;16000, "High", IF(I956&gt;=12000, IF(I956&lt;=15000, "Medium", "High"), "Low"))</f>
        <v>High</v>
      </c>
      <c r="K956" t="b">
        <v>1</v>
      </c>
      <c r="L956" t="b">
        <v>0</v>
      </c>
      <c r="M956" t="b">
        <v>0</v>
      </c>
    </row>
    <row r="957" spans="1:13" hidden="1" x14ac:dyDescent="0.3">
      <c r="A957">
        <v>48</v>
      </c>
      <c r="B957" t="s">
        <v>25</v>
      </c>
      <c r="C957" s="1">
        <v>5</v>
      </c>
      <c r="D957" t="s">
        <v>13</v>
      </c>
      <c r="E957" t="s">
        <v>26</v>
      </c>
      <c r="F957" t="s">
        <v>22</v>
      </c>
      <c r="G957" t="s">
        <v>23</v>
      </c>
      <c r="H957" t="s">
        <v>17</v>
      </c>
      <c r="I957" s="3">
        <v>12242</v>
      </c>
      <c r="J957" s="3" t="str">
        <f>IF(I957&gt;16000, "High", IF(I957&gt;=12000, IF(I957&lt;=15000, "Medium", "High"), "Low"))</f>
        <v>Medium</v>
      </c>
      <c r="K957" t="b">
        <v>0</v>
      </c>
      <c r="L957" t="b">
        <v>0</v>
      </c>
      <c r="M957" t="b">
        <v>1</v>
      </c>
    </row>
    <row r="958" spans="1:13" hidden="1" x14ac:dyDescent="0.3">
      <c r="A958">
        <v>23</v>
      </c>
      <c r="B958" t="s">
        <v>25</v>
      </c>
      <c r="C958" s="1">
        <v>4</v>
      </c>
      <c r="D958" t="s">
        <v>13</v>
      </c>
      <c r="E958" t="s">
        <v>20</v>
      </c>
      <c r="F958" t="s">
        <v>22</v>
      </c>
      <c r="G958" t="s">
        <v>16</v>
      </c>
      <c r="H958" t="s">
        <v>17</v>
      </c>
      <c r="I958" s="3">
        <v>15002</v>
      </c>
      <c r="J958" s="3" t="str">
        <f>IF(I958&gt;16000, "High", IF(I958&gt;=12000, IF(I958&lt;=15000, "Medium", "High"), "Low"))</f>
        <v>High</v>
      </c>
      <c r="K958" t="b">
        <v>1</v>
      </c>
      <c r="L958" t="b">
        <v>0</v>
      </c>
      <c r="M958" t="b">
        <v>0</v>
      </c>
    </row>
    <row r="959" spans="1:13" x14ac:dyDescent="0.3">
      <c r="A959">
        <v>29</v>
      </c>
      <c r="B959" t="s">
        <v>18</v>
      </c>
      <c r="C959" s="1">
        <v>8</v>
      </c>
      <c r="D959" t="s">
        <v>19</v>
      </c>
      <c r="E959" t="s">
        <v>20</v>
      </c>
      <c r="F959" t="s">
        <v>27</v>
      </c>
      <c r="G959" t="s">
        <v>23</v>
      </c>
      <c r="H959" t="s">
        <v>24</v>
      </c>
      <c r="I959" s="3">
        <v>19330</v>
      </c>
      <c r="J959" s="3" t="str">
        <f>IF(I959&gt;16000, "High", IF(I959&gt;=12000, IF(I959&lt;=15000, "Medium", "High"), "Low"))</f>
        <v>High</v>
      </c>
      <c r="K959" t="b">
        <v>1</v>
      </c>
      <c r="L959" t="b">
        <v>0</v>
      </c>
      <c r="M959" t="b">
        <v>1</v>
      </c>
    </row>
    <row r="960" spans="1:13" x14ac:dyDescent="0.3">
      <c r="A960">
        <v>25</v>
      </c>
      <c r="B960" t="s">
        <v>18</v>
      </c>
      <c r="C960" s="1">
        <v>8</v>
      </c>
      <c r="D960" t="s">
        <v>19</v>
      </c>
      <c r="E960" t="s">
        <v>14</v>
      </c>
      <c r="F960" t="s">
        <v>22</v>
      </c>
      <c r="G960" t="s">
        <v>23</v>
      </c>
      <c r="H960" t="s">
        <v>24</v>
      </c>
      <c r="I960" s="3">
        <v>19609</v>
      </c>
      <c r="J960" s="3" t="str">
        <f>IF(I960&gt;16000, "High", IF(I960&gt;=12000, IF(I960&lt;=15000, "Medium", "High"), "Low"))</f>
        <v>High</v>
      </c>
      <c r="K960" t="b">
        <v>1</v>
      </c>
      <c r="L960" t="b">
        <v>1</v>
      </c>
      <c r="M960" t="b">
        <v>0</v>
      </c>
    </row>
    <row r="961" spans="1:13" hidden="1" x14ac:dyDescent="0.3">
      <c r="A961">
        <v>45</v>
      </c>
      <c r="B961" t="s">
        <v>18</v>
      </c>
      <c r="C961" s="1">
        <v>7</v>
      </c>
      <c r="D961" t="s">
        <v>13</v>
      </c>
      <c r="E961" t="s">
        <v>20</v>
      </c>
      <c r="F961" t="s">
        <v>22</v>
      </c>
      <c r="G961" t="s">
        <v>29</v>
      </c>
      <c r="H961" t="s">
        <v>24</v>
      </c>
      <c r="I961" s="3">
        <v>19112</v>
      </c>
      <c r="J961" s="3" t="str">
        <f>IF(I961&gt;16000, "High", IF(I961&gt;=12000, IF(I961&lt;=15000, "Medium", "High"), "Low"))</f>
        <v>High</v>
      </c>
      <c r="K961" t="b">
        <v>0</v>
      </c>
      <c r="L961" t="b">
        <v>1</v>
      </c>
      <c r="M961" t="b">
        <v>1</v>
      </c>
    </row>
    <row r="962" spans="1:13" hidden="1" x14ac:dyDescent="0.3">
      <c r="A962">
        <v>28</v>
      </c>
      <c r="B962" t="s">
        <v>25</v>
      </c>
      <c r="C962" s="1">
        <v>9</v>
      </c>
      <c r="D962" t="s">
        <v>13</v>
      </c>
      <c r="E962" t="s">
        <v>26</v>
      </c>
      <c r="F962" t="s">
        <v>15</v>
      </c>
      <c r="G962" t="s">
        <v>23</v>
      </c>
      <c r="H962" t="s">
        <v>24</v>
      </c>
      <c r="I962" s="3">
        <v>18880</v>
      </c>
      <c r="J962" s="3" t="str">
        <f>IF(I962&gt;16000, "High", IF(I962&gt;=12000, IF(I962&lt;=15000, "Medium", "High"), "Low"))</f>
        <v>High</v>
      </c>
      <c r="K962" t="b">
        <v>0</v>
      </c>
      <c r="L962" t="b">
        <v>1</v>
      </c>
      <c r="M962" t="b">
        <v>0</v>
      </c>
    </row>
    <row r="963" spans="1:13" hidden="1" x14ac:dyDescent="0.3">
      <c r="A963">
        <v>21</v>
      </c>
      <c r="B963" t="s">
        <v>18</v>
      </c>
      <c r="C963" s="1">
        <v>3</v>
      </c>
      <c r="D963" t="s">
        <v>13</v>
      </c>
      <c r="E963" t="s">
        <v>20</v>
      </c>
      <c r="F963" t="s">
        <v>22</v>
      </c>
      <c r="G963" t="s">
        <v>16</v>
      </c>
      <c r="H963" t="s">
        <v>21</v>
      </c>
      <c r="I963" s="3">
        <v>11469</v>
      </c>
      <c r="J963" s="3" t="str">
        <f>IF(I963&gt;16000, "High", IF(I963&gt;=12000, IF(I963&lt;=15000, "Medium", "High"), "Low"))</f>
        <v>Low</v>
      </c>
      <c r="K963" t="b">
        <v>0</v>
      </c>
      <c r="L963" t="b">
        <v>1</v>
      </c>
      <c r="M963" t="b">
        <v>0</v>
      </c>
    </row>
    <row r="964" spans="1:13" hidden="1" x14ac:dyDescent="0.3">
      <c r="A964">
        <v>32</v>
      </c>
      <c r="B964" t="s">
        <v>12</v>
      </c>
      <c r="C964" s="1">
        <v>2</v>
      </c>
      <c r="D964" t="s">
        <v>13</v>
      </c>
      <c r="E964" t="s">
        <v>20</v>
      </c>
      <c r="F964" t="s">
        <v>22</v>
      </c>
      <c r="G964" t="s">
        <v>23</v>
      </c>
      <c r="H964" t="s">
        <v>17</v>
      </c>
      <c r="I964" s="3">
        <v>14725</v>
      </c>
      <c r="J964" s="3" t="str">
        <f>IF(I964&gt;16000, "High", IF(I964&gt;=12000, IF(I964&lt;=15000, "Medium", "High"), "Low"))</f>
        <v>Medium</v>
      </c>
      <c r="K964" t="b">
        <v>1</v>
      </c>
      <c r="L964" t="b">
        <v>1</v>
      </c>
      <c r="M964" t="b">
        <v>1</v>
      </c>
    </row>
    <row r="965" spans="1:13" hidden="1" x14ac:dyDescent="0.3">
      <c r="A965">
        <v>23</v>
      </c>
      <c r="B965" t="s">
        <v>12</v>
      </c>
      <c r="C965" s="1">
        <v>3</v>
      </c>
      <c r="D965" t="s">
        <v>28</v>
      </c>
      <c r="E965" t="s">
        <v>26</v>
      </c>
      <c r="F965" t="s">
        <v>27</v>
      </c>
      <c r="G965" t="s">
        <v>29</v>
      </c>
      <c r="H965" t="s">
        <v>21</v>
      </c>
      <c r="I965" s="3">
        <v>14259</v>
      </c>
      <c r="J965" s="3" t="str">
        <f>IF(I965&gt;16000, "High", IF(I965&gt;=12000, IF(I965&lt;=15000, "Medium", "High"), "Low"))</f>
        <v>Medium</v>
      </c>
      <c r="K965" t="b">
        <v>0</v>
      </c>
      <c r="L965" t="b">
        <v>1</v>
      </c>
      <c r="M965" t="b">
        <v>1</v>
      </c>
    </row>
    <row r="966" spans="1:13" hidden="1" x14ac:dyDescent="0.3">
      <c r="A966">
        <v>47</v>
      </c>
      <c r="B966" t="s">
        <v>25</v>
      </c>
      <c r="C966" s="1">
        <v>1</v>
      </c>
      <c r="D966" t="s">
        <v>28</v>
      </c>
      <c r="E966" t="s">
        <v>20</v>
      </c>
      <c r="F966" t="s">
        <v>27</v>
      </c>
      <c r="G966" t="s">
        <v>29</v>
      </c>
      <c r="H966" t="s">
        <v>24</v>
      </c>
      <c r="I966" s="3">
        <v>13622</v>
      </c>
      <c r="J966" s="3" t="str">
        <f>IF(I966&gt;16000, "High", IF(I966&gt;=12000, IF(I966&lt;=15000, "Medium", "High"), "Low"))</f>
        <v>Medium</v>
      </c>
      <c r="K966" t="b">
        <v>1</v>
      </c>
      <c r="L966" t="b">
        <v>0</v>
      </c>
      <c r="M966" t="b">
        <v>0</v>
      </c>
    </row>
    <row r="967" spans="1:13" hidden="1" x14ac:dyDescent="0.3">
      <c r="A967">
        <v>55</v>
      </c>
      <c r="B967" t="s">
        <v>25</v>
      </c>
      <c r="C967" s="1">
        <v>6</v>
      </c>
      <c r="D967" t="s">
        <v>13</v>
      </c>
      <c r="E967" t="s">
        <v>20</v>
      </c>
      <c r="F967" t="s">
        <v>22</v>
      </c>
      <c r="G967" t="s">
        <v>29</v>
      </c>
      <c r="H967" t="s">
        <v>24</v>
      </c>
      <c r="I967" s="3">
        <v>10823</v>
      </c>
      <c r="J967" s="3" t="str">
        <f>IF(I967&gt;16000, "High", IF(I967&gt;=12000, IF(I967&lt;=15000, "Medium", "High"), "Low"))</f>
        <v>Low</v>
      </c>
      <c r="K967" t="b">
        <v>1</v>
      </c>
      <c r="L967" t="b">
        <v>1</v>
      </c>
      <c r="M967" t="b">
        <v>0</v>
      </c>
    </row>
    <row r="968" spans="1:13" hidden="1" x14ac:dyDescent="0.3">
      <c r="A968">
        <v>19</v>
      </c>
      <c r="B968" t="s">
        <v>18</v>
      </c>
      <c r="C968" s="1">
        <v>7</v>
      </c>
      <c r="D968" t="s">
        <v>28</v>
      </c>
      <c r="E968" t="s">
        <v>20</v>
      </c>
      <c r="F968" t="s">
        <v>22</v>
      </c>
      <c r="G968" t="s">
        <v>29</v>
      </c>
      <c r="H968" t="s">
        <v>24</v>
      </c>
      <c r="I968" s="3">
        <v>13431</v>
      </c>
      <c r="J968" s="3" t="str">
        <f>IF(I968&gt;16000, "High", IF(I968&gt;=12000, IF(I968&lt;=15000, "Medium", "High"), "Low"))</f>
        <v>Medium</v>
      </c>
      <c r="K968" t="b">
        <v>0</v>
      </c>
      <c r="L968" t="b">
        <v>1</v>
      </c>
      <c r="M968" t="b">
        <v>1</v>
      </c>
    </row>
    <row r="969" spans="1:13" hidden="1" x14ac:dyDescent="0.3">
      <c r="A969">
        <v>32</v>
      </c>
      <c r="B969" t="s">
        <v>25</v>
      </c>
      <c r="C969" s="1">
        <v>2</v>
      </c>
      <c r="D969" t="s">
        <v>19</v>
      </c>
      <c r="E969" t="s">
        <v>26</v>
      </c>
      <c r="F969" t="s">
        <v>22</v>
      </c>
      <c r="G969" t="s">
        <v>16</v>
      </c>
      <c r="H969" t="s">
        <v>17</v>
      </c>
      <c r="I969" s="3">
        <v>16528</v>
      </c>
      <c r="J969" s="3" t="str">
        <f>IF(I969&gt;16000, "High", IF(I969&gt;=12000, IF(I969&lt;=15000, "Medium", "High"), "Low"))</f>
        <v>High</v>
      </c>
      <c r="K969" t="b">
        <v>1</v>
      </c>
      <c r="L969" t="b">
        <v>0</v>
      </c>
      <c r="M969" t="b">
        <v>0</v>
      </c>
    </row>
    <row r="970" spans="1:13" hidden="1" x14ac:dyDescent="0.3">
      <c r="A970">
        <v>28</v>
      </c>
      <c r="B970" t="s">
        <v>25</v>
      </c>
      <c r="C970" s="1">
        <v>8</v>
      </c>
      <c r="D970" t="s">
        <v>28</v>
      </c>
      <c r="E970" t="s">
        <v>14</v>
      </c>
      <c r="F970" t="s">
        <v>22</v>
      </c>
      <c r="G970" t="s">
        <v>23</v>
      </c>
      <c r="H970" t="s">
        <v>17</v>
      </c>
      <c r="I970" s="3">
        <v>14151</v>
      </c>
      <c r="J970" s="3" t="str">
        <f>IF(I970&gt;16000, "High", IF(I970&gt;=12000, IF(I970&lt;=15000, "Medium", "High"), "Low"))</f>
        <v>Medium</v>
      </c>
      <c r="K970" t="b">
        <v>0</v>
      </c>
      <c r="L970" t="b">
        <v>0</v>
      </c>
      <c r="M970" t="b">
        <v>0</v>
      </c>
    </row>
    <row r="971" spans="1:13" hidden="1" x14ac:dyDescent="0.3">
      <c r="A971">
        <v>25</v>
      </c>
      <c r="B971" t="s">
        <v>12</v>
      </c>
      <c r="C971" s="1">
        <v>6</v>
      </c>
      <c r="D971" t="s">
        <v>28</v>
      </c>
      <c r="E971" t="s">
        <v>26</v>
      </c>
      <c r="F971" t="s">
        <v>22</v>
      </c>
      <c r="G971" t="s">
        <v>16</v>
      </c>
      <c r="H971" t="s">
        <v>24</v>
      </c>
      <c r="I971" s="3">
        <v>14213</v>
      </c>
      <c r="J971" s="3" t="str">
        <f>IF(I971&gt;16000, "High", IF(I971&gt;=12000, IF(I971&lt;=15000, "Medium", "High"), "Low"))</f>
        <v>Medium</v>
      </c>
      <c r="K971" t="b">
        <v>1</v>
      </c>
      <c r="L971" t="b">
        <v>1</v>
      </c>
      <c r="M971" t="b">
        <v>0</v>
      </c>
    </row>
    <row r="972" spans="1:13" hidden="1" x14ac:dyDescent="0.3">
      <c r="A972">
        <v>43</v>
      </c>
      <c r="B972" t="s">
        <v>12</v>
      </c>
      <c r="C972" s="1">
        <v>4</v>
      </c>
      <c r="D972" t="s">
        <v>13</v>
      </c>
      <c r="E972" t="s">
        <v>14</v>
      </c>
      <c r="F972" t="s">
        <v>22</v>
      </c>
      <c r="G972" t="s">
        <v>16</v>
      </c>
      <c r="H972" t="s">
        <v>21</v>
      </c>
      <c r="I972" s="3">
        <v>17420</v>
      </c>
      <c r="J972" s="3" t="str">
        <f>IF(I972&gt;16000, "High", IF(I972&gt;=12000, IF(I972&lt;=15000, "Medium", "High"), "Low"))</f>
        <v>High</v>
      </c>
      <c r="K972" t="b">
        <v>1</v>
      </c>
      <c r="L972" t="b">
        <v>1</v>
      </c>
      <c r="M972" t="b">
        <v>1</v>
      </c>
    </row>
    <row r="973" spans="1:13" hidden="1" x14ac:dyDescent="0.3">
      <c r="A973">
        <v>62</v>
      </c>
      <c r="B973" t="s">
        <v>18</v>
      </c>
      <c r="C973" s="1">
        <v>5</v>
      </c>
      <c r="D973" t="s">
        <v>28</v>
      </c>
      <c r="E973" t="s">
        <v>20</v>
      </c>
      <c r="F973" t="s">
        <v>15</v>
      </c>
      <c r="G973" t="s">
        <v>16</v>
      </c>
      <c r="H973" t="s">
        <v>21</v>
      </c>
      <c r="I973" s="3">
        <v>18989</v>
      </c>
      <c r="J973" s="3" t="str">
        <f>IF(I973&gt;16000, "High", IF(I973&gt;=12000, IF(I973&lt;=15000, "Medium", "High"), "Low"))</f>
        <v>High</v>
      </c>
      <c r="K973" t="b">
        <v>0</v>
      </c>
      <c r="L973" t="b">
        <v>0</v>
      </c>
      <c r="M973" t="b">
        <v>1</v>
      </c>
    </row>
    <row r="974" spans="1:13" hidden="1" x14ac:dyDescent="0.3">
      <c r="A974">
        <v>61</v>
      </c>
      <c r="B974" t="s">
        <v>25</v>
      </c>
      <c r="C974" s="1">
        <v>8</v>
      </c>
      <c r="D974" t="s">
        <v>28</v>
      </c>
      <c r="E974" t="s">
        <v>14</v>
      </c>
      <c r="F974" t="s">
        <v>22</v>
      </c>
      <c r="G974" t="s">
        <v>29</v>
      </c>
      <c r="H974" t="s">
        <v>24</v>
      </c>
      <c r="I974" s="3">
        <v>10779</v>
      </c>
      <c r="J974" s="3" t="str">
        <f>IF(I974&gt;16000, "High", IF(I974&gt;=12000, IF(I974&lt;=15000, "Medium", "High"), "Low"))</f>
        <v>Low</v>
      </c>
      <c r="K974" t="b">
        <v>0</v>
      </c>
      <c r="L974" t="b">
        <v>1</v>
      </c>
      <c r="M974" t="b">
        <v>0</v>
      </c>
    </row>
    <row r="975" spans="1:13" hidden="1" x14ac:dyDescent="0.3">
      <c r="A975">
        <v>22</v>
      </c>
      <c r="B975" t="s">
        <v>25</v>
      </c>
      <c r="C975" s="1">
        <v>3</v>
      </c>
      <c r="D975" t="s">
        <v>28</v>
      </c>
      <c r="E975" t="s">
        <v>26</v>
      </c>
      <c r="F975" t="s">
        <v>15</v>
      </c>
      <c r="G975" t="s">
        <v>29</v>
      </c>
      <c r="H975" t="s">
        <v>21</v>
      </c>
      <c r="I975" s="3">
        <v>12892</v>
      </c>
      <c r="J975" s="3" t="str">
        <f>IF(I975&gt;16000, "High", IF(I975&gt;=12000, IF(I975&lt;=15000, "Medium", "High"), "Low"))</f>
        <v>Medium</v>
      </c>
      <c r="K975" t="b">
        <v>0</v>
      </c>
      <c r="L975" t="b">
        <v>1</v>
      </c>
      <c r="M975" t="b">
        <v>1</v>
      </c>
    </row>
    <row r="976" spans="1:13" hidden="1" x14ac:dyDescent="0.3">
      <c r="A976">
        <v>23</v>
      </c>
      <c r="B976" t="s">
        <v>12</v>
      </c>
      <c r="C976" s="1">
        <v>3</v>
      </c>
      <c r="D976" t="s">
        <v>28</v>
      </c>
      <c r="E976" t="s">
        <v>26</v>
      </c>
      <c r="F976" t="s">
        <v>15</v>
      </c>
      <c r="G976" t="s">
        <v>29</v>
      </c>
      <c r="H976" t="s">
        <v>24</v>
      </c>
      <c r="I976" s="3">
        <v>15534</v>
      </c>
      <c r="J976" s="3" t="str">
        <f>IF(I976&gt;16000, "High", IF(I976&gt;=12000, IF(I976&lt;=15000, "Medium", "High"), "Low"))</f>
        <v>High</v>
      </c>
      <c r="K976" t="b">
        <v>0</v>
      </c>
      <c r="L976" t="b">
        <v>1</v>
      </c>
      <c r="M976" t="b">
        <v>0</v>
      </c>
    </row>
    <row r="977" spans="1:13" hidden="1" x14ac:dyDescent="0.3">
      <c r="A977">
        <v>43</v>
      </c>
      <c r="B977" t="s">
        <v>25</v>
      </c>
      <c r="C977" s="1">
        <v>4</v>
      </c>
      <c r="D977" t="s">
        <v>19</v>
      </c>
      <c r="E977" t="s">
        <v>20</v>
      </c>
      <c r="F977" t="s">
        <v>22</v>
      </c>
      <c r="G977" t="s">
        <v>23</v>
      </c>
      <c r="H977" t="s">
        <v>21</v>
      </c>
      <c r="I977" s="3">
        <v>13306</v>
      </c>
      <c r="J977" s="3" t="str">
        <f>IF(I977&gt;16000, "High", IF(I977&gt;=12000, IF(I977&lt;=15000, "Medium", "High"), "Low"))</f>
        <v>Medium</v>
      </c>
      <c r="K977" t="b">
        <v>1</v>
      </c>
      <c r="L977" t="b">
        <v>0</v>
      </c>
      <c r="M977" t="b">
        <v>0</v>
      </c>
    </row>
    <row r="978" spans="1:13" hidden="1" x14ac:dyDescent="0.3">
      <c r="A978">
        <v>21</v>
      </c>
      <c r="B978" t="s">
        <v>12</v>
      </c>
      <c r="C978" s="1">
        <v>1</v>
      </c>
      <c r="D978" t="s">
        <v>13</v>
      </c>
      <c r="E978" t="s">
        <v>14</v>
      </c>
      <c r="F978" t="s">
        <v>22</v>
      </c>
      <c r="G978" t="s">
        <v>29</v>
      </c>
      <c r="H978" t="s">
        <v>24</v>
      </c>
      <c r="I978" s="3">
        <v>12902</v>
      </c>
      <c r="J978" s="3" t="str">
        <f>IF(I978&gt;16000, "High", IF(I978&gt;=12000, IF(I978&lt;=15000, "Medium", "High"), "Low"))</f>
        <v>Medium</v>
      </c>
      <c r="K978" t="b">
        <v>0</v>
      </c>
      <c r="L978" t="b">
        <v>1</v>
      </c>
      <c r="M978" t="b">
        <v>1</v>
      </c>
    </row>
    <row r="979" spans="1:13" hidden="1" x14ac:dyDescent="0.3">
      <c r="A979">
        <v>36</v>
      </c>
      <c r="B979" t="s">
        <v>18</v>
      </c>
      <c r="C979" s="1">
        <v>9</v>
      </c>
      <c r="D979" t="s">
        <v>13</v>
      </c>
      <c r="E979" t="s">
        <v>20</v>
      </c>
      <c r="F979" t="s">
        <v>15</v>
      </c>
      <c r="G979" t="s">
        <v>23</v>
      </c>
      <c r="H979" t="s">
        <v>21</v>
      </c>
      <c r="I979" s="3">
        <v>13718</v>
      </c>
      <c r="J979" s="3" t="str">
        <f>IF(I979&gt;16000, "High", IF(I979&gt;=12000, IF(I979&lt;=15000, "Medium", "High"), "Low"))</f>
        <v>Medium</v>
      </c>
      <c r="K979" t="b">
        <v>1</v>
      </c>
      <c r="L979" t="b">
        <v>1</v>
      </c>
      <c r="M979" t="b">
        <v>1</v>
      </c>
    </row>
    <row r="980" spans="1:13" hidden="1" x14ac:dyDescent="0.3">
      <c r="A980">
        <v>37</v>
      </c>
      <c r="B980" t="s">
        <v>12</v>
      </c>
      <c r="C980" s="1">
        <v>8</v>
      </c>
      <c r="D980" t="s">
        <v>19</v>
      </c>
      <c r="E980" t="s">
        <v>20</v>
      </c>
      <c r="F980" t="s">
        <v>15</v>
      </c>
      <c r="G980" t="s">
        <v>29</v>
      </c>
      <c r="H980" t="s">
        <v>17</v>
      </c>
      <c r="I980" s="3">
        <v>10021</v>
      </c>
      <c r="J980" s="3" t="str">
        <f>IF(I980&gt;16000, "High", IF(I980&gt;=12000, IF(I980&lt;=15000, "Medium", "High"), "Low"))</f>
        <v>Low</v>
      </c>
      <c r="K980" t="b">
        <v>1</v>
      </c>
      <c r="L980" t="b">
        <v>0</v>
      </c>
      <c r="M980" t="b">
        <v>1</v>
      </c>
    </row>
    <row r="981" spans="1:13" hidden="1" x14ac:dyDescent="0.3">
      <c r="A981">
        <v>50</v>
      </c>
      <c r="B981" t="s">
        <v>25</v>
      </c>
      <c r="C981" s="1">
        <v>8</v>
      </c>
      <c r="D981" t="s">
        <v>28</v>
      </c>
      <c r="E981" t="s">
        <v>26</v>
      </c>
      <c r="F981" t="s">
        <v>22</v>
      </c>
      <c r="G981" t="s">
        <v>29</v>
      </c>
      <c r="H981" t="s">
        <v>24</v>
      </c>
      <c r="I981" s="3">
        <v>11500</v>
      </c>
      <c r="J981" s="3" t="str">
        <f>IF(I981&gt;16000, "High", IF(I981&gt;=12000, IF(I981&lt;=15000, "Medium", "High"), "Low"))</f>
        <v>Low</v>
      </c>
      <c r="K981" t="b">
        <v>1</v>
      </c>
      <c r="L981" t="b">
        <v>0</v>
      </c>
      <c r="M981" t="b">
        <v>0</v>
      </c>
    </row>
    <row r="982" spans="1:13" x14ac:dyDescent="0.3">
      <c r="A982">
        <v>64</v>
      </c>
      <c r="B982" t="s">
        <v>18</v>
      </c>
      <c r="C982" s="1">
        <v>7</v>
      </c>
      <c r="D982" t="s">
        <v>19</v>
      </c>
      <c r="E982" t="s">
        <v>20</v>
      </c>
      <c r="F982" t="s">
        <v>22</v>
      </c>
      <c r="G982" t="s">
        <v>16</v>
      </c>
      <c r="H982" t="s">
        <v>24</v>
      </c>
      <c r="I982" s="3">
        <v>17173</v>
      </c>
      <c r="J982" s="3" t="str">
        <f>IF(I982&gt;16000, "High", IF(I982&gt;=12000, IF(I982&lt;=15000, "Medium", "High"), "Low"))</f>
        <v>High</v>
      </c>
      <c r="K982" t="b">
        <v>1</v>
      </c>
      <c r="L982" t="b">
        <v>1</v>
      </c>
      <c r="M982" t="b">
        <v>1</v>
      </c>
    </row>
    <row r="983" spans="1:13" hidden="1" x14ac:dyDescent="0.3">
      <c r="A983">
        <v>29</v>
      </c>
      <c r="B983" t="s">
        <v>12</v>
      </c>
      <c r="C983" s="1">
        <v>7</v>
      </c>
      <c r="D983" t="s">
        <v>28</v>
      </c>
      <c r="E983" t="s">
        <v>14</v>
      </c>
      <c r="F983" t="s">
        <v>15</v>
      </c>
      <c r="G983" t="s">
        <v>16</v>
      </c>
      <c r="H983" t="s">
        <v>21</v>
      </c>
      <c r="I983" s="3">
        <v>19952</v>
      </c>
      <c r="J983" s="3" t="str">
        <f>IF(I983&gt;16000, "High", IF(I983&gt;=12000, IF(I983&lt;=15000, "Medium", "High"), "Low"))</f>
        <v>High</v>
      </c>
      <c r="K983" t="b">
        <v>1</v>
      </c>
      <c r="L983" t="b">
        <v>1</v>
      </c>
      <c r="M983" t="b">
        <v>1</v>
      </c>
    </row>
    <row r="984" spans="1:13" hidden="1" x14ac:dyDescent="0.3">
      <c r="A984">
        <v>64</v>
      </c>
      <c r="B984" t="s">
        <v>12</v>
      </c>
      <c r="C984" s="1">
        <v>6</v>
      </c>
      <c r="D984" t="s">
        <v>19</v>
      </c>
      <c r="E984" t="s">
        <v>14</v>
      </c>
      <c r="F984" t="s">
        <v>15</v>
      </c>
      <c r="G984" t="s">
        <v>16</v>
      </c>
      <c r="H984" t="s">
        <v>24</v>
      </c>
      <c r="I984" s="3">
        <v>13641</v>
      </c>
      <c r="J984" s="3" t="str">
        <f>IF(I984&gt;16000, "High", IF(I984&gt;=12000, IF(I984&lt;=15000, "Medium", "High"), "Low"))</f>
        <v>Medium</v>
      </c>
      <c r="K984" t="b">
        <v>1</v>
      </c>
      <c r="L984" t="b">
        <v>0</v>
      </c>
      <c r="M984" t="b">
        <v>1</v>
      </c>
    </row>
    <row r="985" spans="1:13" hidden="1" x14ac:dyDescent="0.3">
      <c r="A985">
        <v>18</v>
      </c>
      <c r="B985" t="s">
        <v>18</v>
      </c>
      <c r="C985" s="1">
        <v>9</v>
      </c>
      <c r="D985" t="s">
        <v>13</v>
      </c>
      <c r="E985" t="s">
        <v>14</v>
      </c>
      <c r="F985" t="s">
        <v>15</v>
      </c>
      <c r="G985" t="s">
        <v>23</v>
      </c>
      <c r="H985" t="s">
        <v>24</v>
      </c>
      <c r="I985" s="3">
        <v>15212</v>
      </c>
      <c r="J985" s="3" t="str">
        <f>IF(I985&gt;16000, "High", IF(I985&gt;=12000, IF(I985&lt;=15000, "Medium", "High"), "Low"))</f>
        <v>High</v>
      </c>
      <c r="K985" t="b">
        <v>0</v>
      </c>
      <c r="L985" t="b">
        <v>1</v>
      </c>
      <c r="M985" t="b">
        <v>1</v>
      </c>
    </row>
    <row r="986" spans="1:13" hidden="1" x14ac:dyDescent="0.3">
      <c r="A986">
        <v>43</v>
      </c>
      <c r="B986" t="s">
        <v>18</v>
      </c>
      <c r="C986" s="1">
        <v>3</v>
      </c>
      <c r="D986" t="s">
        <v>13</v>
      </c>
      <c r="E986" t="s">
        <v>20</v>
      </c>
      <c r="F986" t="s">
        <v>27</v>
      </c>
      <c r="G986" t="s">
        <v>23</v>
      </c>
      <c r="H986" t="s">
        <v>24</v>
      </c>
      <c r="I986" s="3">
        <v>10191</v>
      </c>
      <c r="J986" s="3" t="str">
        <f>IF(I986&gt;16000, "High", IF(I986&gt;=12000, IF(I986&lt;=15000, "Medium", "High"), "Low"))</f>
        <v>Low</v>
      </c>
      <c r="K986" t="b">
        <v>1</v>
      </c>
      <c r="L986" t="b">
        <v>0</v>
      </c>
      <c r="M986" t="b">
        <v>0</v>
      </c>
    </row>
    <row r="987" spans="1:13" hidden="1" x14ac:dyDescent="0.3">
      <c r="A987">
        <v>31</v>
      </c>
      <c r="B987" t="s">
        <v>12</v>
      </c>
      <c r="C987" s="1">
        <v>3</v>
      </c>
      <c r="D987" t="s">
        <v>13</v>
      </c>
      <c r="E987" t="s">
        <v>20</v>
      </c>
      <c r="F987" t="s">
        <v>15</v>
      </c>
      <c r="G987" t="s">
        <v>29</v>
      </c>
      <c r="H987" t="s">
        <v>17</v>
      </c>
      <c r="I987" s="3">
        <v>18587</v>
      </c>
      <c r="J987" s="3" t="str">
        <f>IF(I987&gt;16000, "High", IF(I987&gt;=12000, IF(I987&lt;=15000, "Medium", "High"), "Low"))</f>
        <v>High</v>
      </c>
      <c r="K987" t="b">
        <v>1</v>
      </c>
      <c r="L987" t="b">
        <v>1</v>
      </c>
      <c r="M987" t="b">
        <v>0</v>
      </c>
    </row>
    <row r="988" spans="1:13" hidden="1" x14ac:dyDescent="0.3">
      <c r="A988">
        <v>55</v>
      </c>
      <c r="B988" t="s">
        <v>25</v>
      </c>
      <c r="C988" s="1">
        <v>3</v>
      </c>
      <c r="D988" t="s">
        <v>28</v>
      </c>
      <c r="E988" t="s">
        <v>26</v>
      </c>
      <c r="F988" t="s">
        <v>27</v>
      </c>
      <c r="G988" t="s">
        <v>23</v>
      </c>
      <c r="H988" t="s">
        <v>17</v>
      </c>
      <c r="I988" s="3">
        <v>17174</v>
      </c>
      <c r="J988" s="3" t="str">
        <f>IF(I988&gt;16000, "High", IF(I988&gt;=12000, IF(I988&lt;=15000, "Medium", "High"), "Low"))</f>
        <v>High</v>
      </c>
      <c r="K988" t="b">
        <v>1</v>
      </c>
      <c r="L988" t="b">
        <v>0</v>
      </c>
      <c r="M988" t="b">
        <v>0</v>
      </c>
    </row>
    <row r="989" spans="1:13" hidden="1" x14ac:dyDescent="0.3">
      <c r="A989">
        <v>54</v>
      </c>
      <c r="B989" t="s">
        <v>12</v>
      </c>
      <c r="C989" s="1">
        <v>3</v>
      </c>
      <c r="D989" t="s">
        <v>28</v>
      </c>
      <c r="E989" t="s">
        <v>20</v>
      </c>
      <c r="F989" t="s">
        <v>22</v>
      </c>
      <c r="G989" t="s">
        <v>29</v>
      </c>
      <c r="H989" t="s">
        <v>21</v>
      </c>
      <c r="I989" s="3">
        <v>15114</v>
      </c>
      <c r="J989" s="3" t="str">
        <f>IF(I989&gt;16000, "High", IF(I989&gt;=12000, IF(I989&lt;=15000, "Medium", "High"), "Low"))</f>
        <v>High</v>
      </c>
      <c r="K989" t="b">
        <v>0</v>
      </c>
      <c r="L989" t="b">
        <v>1</v>
      </c>
      <c r="M989" t="b">
        <v>1</v>
      </c>
    </row>
    <row r="990" spans="1:13" x14ac:dyDescent="0.3">
      <c r="A990">
        <v>37</v>
      </c>
      <c r="B990" t="s">
        <v>18</v>
      </c>
      <c r="C990" s="1">
        <v>6</v>
      </c>
      <c r="D990" t="s">
        <v>19</v>
      </c>
      <c r="E990" t="s">
        <v>14</v>
      </c>
      <c r="F990" t="s">
        <v>22</v>
      </c>
      <c r="G990" t="s">
        <v>16</v>
      </c>
      <c r="H990" t="s">
        <v>24</v>
      </c>
      <c r="I990" s="3">
        <v>19034</v>
      </c>
      <c r="J990" s="3" t="str">
        <f>IF(I990&gt;16000, "High", IF(I990&gt;=12000, IF(I990&lt;=15000, "Medium", "High"), "Low"))</f>
        <v>High</v>
      </c>
      <c r="K990" t="b">
        <v>1</v>
      </c>
      <c r="L990" t="b">
        <v>0</v>
      </c>
      <c r="M990" t="b">
        <v>0</v>
      </c>
    </row>
    <row r="991" spans="1:13" hidden="1" x14ac:dyDescent="0.3">
      <c r="A991">
        <v>53</v>
      </c>
      <c r="B991" t="s">
        <v>12</v>
      </c>
      <c r="C991" s="1">
        <v>4</v>
      </c>
      <c r="D991" t="s">
        <v>19</v>
      </c>
      <c r="E991" t="s">
        <v>26</v>
      </c>
      <c r="F991" t="s">
        <v>15</v>
      </c>
      <c r="G991" t="s">
        <v>23</v>
      </c>
      <c r="H991" t="s">
        <v>21</v>
      </c>
      <c r="I991" s="3">
        <v>14326</v>
      </c>
      <c r="J991" s="3" t="str">
        <f t="shared" ref="J964:J1002" si="0">IF(I991&gt;16000, "High", IF(I991&gt;=12000, IF(I991&lt;=15000, "Medium", "High"), "Low"))</f>
        <v>Medium</v>
      </c>
      <c r="K991" t="b">
        <v>1</v>
      </c>
      <c r="L991" t="b">
        <v>0</v>
      </c>
      <c r="M991" t="b">
        <v>0</v>
      </c>
    </row>
    <row r="992" spans="1:13" hidden="1" x14ac:dyDescent="0.3">
      <c r="A992">
        <v>30</v>
      </c>
      <c r="B992" t="s">
        <v>18</v>
      </c>
      <c r="C992" s="1">
        <v>7</v>
      </c>
      <c r="D992" t="s">
        <v>13</v>
      </c>
      <c r="E992" t="s">
        <v>26</v>
      </c>
      <c r="F992" t="s">
        <v>22</v>
      </c>
      <c r="G992" t="s">
        <v>23</v>
      </c>
      <c r="H992" t="s">
        <v>17</v>
      </c>
      <c r="I992" s="3">
        <v>19065</v>
      </c>
      <c r="J992" s="3" t="str">
        <f t="shared" si="0"/>
        <v>High</v>
      </c>
      <c r="K992" t="b">
        <v>0</v>
      </c>
      <c r="L992" t="b">
        <v>0</v>
      </c>
      <c r="M992" t="b">
        <v>1</v>
      </c>
    </row>
    <row r="993" spans="1:13" hidden="1" x14ac:dyDescent="0.3">
      <c r="A993">
        <v>60</v>
      </c>
      <c r="B993" t="s">
        <v>18</v>
      </c>
      <c r="C993" s="1">
        <v>9</v>
      </c>
      <c r="D993" t="s">
        <v>28</v>
      </c>
      <c r="E993" t="s">
        <v>26</v>
      </c>
      <c r="F993" t="s">
        <v>22</v>
      </c>
      <c r="G993" t="s">
        <v>16</v>
      </c>
      <c r="H993" t="s">
        <v>21</v>
      </c>
      <c r="I993" s="3">
        <v>14335</v>
      </c>
      <c r="J993" s="3" t="str">
        <f t="shared" si="0"/>
        <v>Medium</v>
      </c>
      <c r="K993" t="b">
        <v>1</v>
      </c>
      <c r="L993" t="b">
        <v>1</v>
      </c>
      <c r="M993" t="b">
        <v>1</v>
      </c>
    </row>
    <row r="994" spans="1:13" hidden="1" x14ac:dyDescent="0.3">
      <c r="A994">
        <v>20</v>
      </c>
      <c r="B994" t="s">
        <v>25</v>
      </c>
      <c r="C994" s="1">
        <v>7</v>
      </c>
      <c r="D994" t="s">
        <v>19</v>
      </c>
      <c r="E994" t="s">
        <v>20</v>
      </c>
      <c r="F994" t="s">
        <v>22</v>
      </c>
      <c r="G994" t="s">
        <v>23</v>
      </c>
      <c r="H994" t="s">
        <v>17</v>
      </c>
      <c r="I994" s="3">
        <v>18281</v>
      </c>
      <c r="J994" s="3" t="str">
        <f t="shared" si="0"/>
        <v>High</v>
      </c>
      <c r="K994" t="b">
        <v>0</v>
      </c>
      <c r="L994" t="b">
        <v>0</v>
      </c>
      <c r="M994" t="b">
        <v>1</v>
      </c>
    </row>
    <row r="995" spans="1:13" hidden="1" x14ac:dyDescent="0.3">
      <c r="A995">
        <v>50</v>
      </c>
      <c r="B995" t="s">
        <v>18</v>
      </c>
      <c r="C995" s="1">
        <v>9</v>
      </c>
      <c r="D995" t="s">
        <v>28</v>
      </c>
      <c r="E995" t="s">
        <v>20</v>
      </c>
      <c r="F995" t="s">
        <v>22</v>
      </c>
      <c r="G995" t="s">
        <v>16</v>
      </c>
      <c r="H995" t="s">
        <v>17</v>
      </c>
      <c r="I995" s="3">
        <v>18648</v>
      </c>
      <c r="J995" s="3" t="str">
        <f t="shared" si="0"/>
        <v>High</v>
      </c>
      <c r="K995" t="b">
        <v>1</v>
      </c>
      <c r="L995" t="b">
        <v>1</v>
      </c>
      <c r="M995" t="b">
        <v>1</v>
      </c>
    </row>
    <row r="996" spans="1:13" hidden="1" x14ac:dyDescent="0.3">
      <c r="A996">
        <v>23</v>
      </c>
      <c r="B996" t="s">
        <v>18</v>
      </c>
      <c r="C996" s="1">
        <v>3</v>
      </c>
      <c r="D996" t="s">
        <v>28</v>
      </c>
      <c r="E996" t="s">
        <v>26</v>
      </c>
      <c r="F996" t="s">
        <v>27</v>
      </c>
      <c r="G996" t="s">
        <v>16</v>
      </c>
      <c r="H996" t="s">
        <v>21</v>
      </c>
      <c r="I996" s="3">
        <v>19196</v>
      </c>
      <c r="J996" s="3" t="str">
        <f t="shared" si="0"/>
        <v>High</v>
      </c>
      <c r="K996" t="b">
        <v>0</v>
      </c>
      <c r="L996" t="b">
        <v>0</v>
      </c>
      <c r="M996" t="b">
        <v>0</v>
      </c>
    </row>
    <row r="997" spans="1:13" hidden="1" x14ac:dyDescent="0.3">
      <c r="A997">
        <v>27</v>
      </c>
      <c r="B997" t="s">
        <v>25</v>
      </c>
      <c r="C997" s="1">
        <v>4</v>
      </c>
      <c r="D997" t="s">
        <v>13</v>
      </c>
      <c r="E997" t="s">
        <v>26</v>
      </c>
      <c r="F997" t="s">
        <v>27</v>
      </c>
      <c r="G997" t="s">
        <v>23</v>
      </c>
      <c r="H997" t="s">
        <v>24</v>
      </c>
      <c r="I997" s="3">
        <v>15494</v>
      </c>
      <c r="J997" s="3" t="str">
        <f t="shared" si="0"/>
        <v>High</v>
      </c>
      <c r="K997" t="b">
        <v>0</v>
      </c>
      <c r="L997" t="b">
        <v>0</v>
      </c>
      <c r="M997" t="b">
        <v>1</v>
      </c>
    </row>
    <row r="998" spans="1:13" hidden="1" x14ac:dyDescent="0.3">
      <c r="A998">
        <v>22</v>
      </c>
      <c r="B998" t="s">
        <v>18</v>
      </c>
      <c r="C998" s="1">
        <v>8</v>
      </c>
      <c r="D998" t="s">
        <v>13</v>
      </c>
      <c r="E998" t="s">
        <v>26</v>
      </c>
      <c r="F998" t="s">
        <v>15</v>
      </c>
      <c r="G998" t="s">
        <v>29</v>
      </c>
      <c r="H998" t="s">
        <v>24</v>
      </c>
      <c r="I998" s="3">
        <v>18536</v>
      </c>
      <c r="J998" s="3" t="str">
        <f t="shared" si="0"/>
        <v>High</v>
      </c>
      <c r="K998" t="b">
        <v>0</v>
      </c>
      <c r="L998" t="b">
        <v>1</v>
      </c>
      <c r="M998" t="b">
        <v>0</v>
      </c>
    </row>
    <row r="999" spans="1:13" hidden="1" x14ac:dyDescent="0.3">
      <c r="A999">
        <v>40</v>
      </c>
      <c r="B999" t="s">
        <v>25</v>
      </c>
      <c r="C999" s="1">
        <v>6</v>
      </c>
      <c r="D999" t="s">
        <v>28</v>
      </c>
      <c r="E999" t="s">
        <v>20</v>
      </c>
      <c r="F999" t="s">
        <v>15</v>
      </c>
      <c r="G999" t="s">
        <v>29</v>
      </c>
      <c r="H999" t="s">
        <v>17</v>
      </c>
      <c r="I999" s="3">
        <v>12711</v>
      </c>
      <c r="J999" s="3" t="str">
        <f t="shared" si="0"/>
        <v>Medium</v>
      </c>
      <c r="K999" t="b">
        <v>1</v>
      </c>
      <c r="L999" t="b">
        <v>0</v>
      </c>
      <c r="M999" t="b">
        <v>0</v>
      </c>
    </row>
    <row r="1000" spans="1:13" hidden="1" x14ac:dyDescent="0.3">
      <c r="A1000">
        <v>27</v>
      </c>
      <c r="B1000" t="s">
        <v>25</v>
      </c>
      <c r="C1000" s="1">
        <v>5</v>
      </c>
      <c r="D1000" t="s">
        <v>28</v>
      </c>
      <c r="E1000" t="s">
        <v>20</v>
      </c>
      <c r="F1000" t="s">
        <v>15</v>
      </c>
      <c r="G1000" t="s">
        <v>29</v>
      </c>
      <c r="H1000" t="s">
        <v>21</v>
      </c>
      <c r="I1000" s="3">
        <v>17595</v>
      </c>
      <c r="J1000" s="3" t="str">
        <f t="shared" si="0"/>
        <v>High</v>
      </c>
      <c r="K1000" t="b">
        <v>1</v>
      </c>
      <c r="L1000" t="b">
        <v>0</v>
      </c>
      <c r="M1000" t="b">
        <v>1</v>
      </c>
    </row>
    <row r="1001" spans="1:13" hidden="1" x14ac:dyDescent="0.3">
      <c r="A1001">
        <v>61</v>
      </c>
      <c r="B1001" t="s">
        <v>18</v>
      </c>
      <c r="C1001" s="1">
        <v>4</v>
      </c>
      <c r="D1001" t="s">
        <v>28</v>
      </c>
      <c r="E1001" t="s">
        <v>14</v>
      </c>
      <c r="F1001" t="s">
        <v>22</v>
      </c>
      <c r="G1001" t="s">
        <v>23</v>
      </c>
      <c r="H1001" t="s">
        <v>24</v>
      </c>
      <c r="I1001" s="3">
        <v>16273</v>
      </c>
      <c r="J1001" s="3" t="str">
        <f t="shared" si="0"/>
        <v>High</v>
      </c>
      <c r="K1001" t="b">
        <v>1</v>
      </c>
      <c r="L1001" t="b">
        <v>1</v>
      </c>
      <c r="M1001" t="b">
        <v>0</v>
      </c>
    </row>
    <row r="1002" spans="1:13" hidden="1" x14ac:dyDescent="0.3">
      <c r="A1002">
        <v>19</v>
      </c>
      <c r="B1002" t="s">
        <v>18</v>
      </c>
      <c r="C1002" s="1">
        <v>8</v>
      </c>
      <c r="D1002" t="s">
        <v>28</v>
      </c>
      <c r="E1002" t="s">
        <v>20</v>
      </c>
      <c r="F1002" t="s">
        <v>22</v>
      </c>
      <c r="G1002" t="s">
        <v>29</v>
      </c>
      <c r="H1002" t="s">
        <v>21</v>
      </c>
      <c r="I1002" s="3">
        <v>16284</v>
      </c>
      <c r="J1002" s="3" t="str">
        <f t="shared" si="0"/>
        <v>High</v>
      </c>
      <c r="K1002" t="b">
        <v>0</v>
      </c>
      <c r="L1002" t="b">
        <v>1</v>
      </c>
      <c r="M1002" t="b">
        <v>0</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6E077-9255-4016-B94D-967208A6D653}">
  <dimension ref="A3:B43"/>
  <sheetViews>
    <sheetView tabSelected="1" topLeftCell="A10" workbookViewId="0">
      <selection activeCell="A17" sqref="A17:B17"/>
      <pivotSelection pane="bottomRight" showHeader="1" extendable="1" axis="axisRow" start="13" max="40" activeRow="16" previousRow="16" click="1" r:id="rId1">
        <pivotArea dataOnly="0" fieldPosition="0">
          <references count="1">
            <reference field="8" count="1">
              <x v="1"/>
            </reference>
          </references>
        </pivotArea>
      </pivotSelection>
    </sheetView>
  </sheetViews>
  <sheetFormatPr defaultRowHeight="14.4" x14ac:dyDescent="0.3"/>
  <cols>
    <col min="1" max="1" width="18.88671875" bestFit="1" customWidth="1"/>
    <col min="2" max="2" width="13.77734375" bestFit="1" customWidth="1"/>
  </cols>
  <sheetData>
    <row r="3" spans="1:2" x14ac:dyDescent="0.3">
      <c r="A3" s="5" t="s">
        <v>34</v>
      </c>
      <c r="B3" t="s">
        <v>54</v>
      </c>
    </row>
    <row r="4" spans="1:2" x14ac:dyDescent="0.3">
      <c r="A4" s="8" t="s">
        <v>24</v>
      </c>
      <c r="B4" s="3">
        <v>5299204</v>
      </c>
    </row>
    <row r="5" spans="1:2" x14ac:dyDescent="0.3">
      <c r="A5" s="6" t="s">
        <v>19</v>
      </c>
      <c r="B5" s="3">
        <v>1648804</v>
      </c>
    </row>
    <row r="6" spans="1:2" x14ac:dyDescent="0.3">
      <c r="A6" s="7" t="s">
        <v>18</v>
      </c>
      <c r="B6" s="3">
        <v>456577</v>
      </c>
    </row>
    <row r="7" spans="1:2" x14ac:dyDescent="0.3">
      <c r="A7" s="7" t="s">
        <v>12</v>
      </c>
      <c r="B7" s="3">
        <v>623441</v>
      </c>
    </row>
    <row r="8" spans="1:2" x14ac:dyDescent="0.3">
      <c r="A8" s="7" t="s">
        <v>25</v>
      </c>
      <c r="B8" s="3">
        <v>568786</v>
      </c>
    </row>
    <row r="9" spans="1:2" x14ac:dyDescent="0.3">
      <c r="A9" s="6" t="s">
        <v>13</v>
      </c>
      <c r="B9" s="3">
        <v>1875987</v>
      </c>
    </row>
    <row r="10" spans="1:2" x14ac:dyDescent="0.3">
      <c r="A10" s="7" t="s">
        <v>18</v>
      </c>
      <c r="B10" s="3">
        <v>714382</v>
      </c>
    </row>
    <row r="11" spans="1:2" x14ac:dyDescent="0.3">
      <c r="A11" s="7" t="s">
        <v>12</v>
      </c>
      <c r="B11" s="3">
        <v>528326</v>
      </c>
    </row>
    <row r="12" spans="1:2" x14ac:dyDescent="0.3">
      <c r="A12" s="7" t="s">
        <v>25</v>
      </c>
      <c r="B12" s="3">
        <v>633279</v>
      </c>
    </row>
    <row r="13" spans="1:2" x14ac:dyDescent="0.3">
      <c r="A13" s="6" t="s">
        <v>28</v>
      </c>
      <c r="B13" s="3">
        <v>1774413</v>
      </c>
    </row>
    <row r="14" spans="1:2" x14ac:dyDescent="0.3">
      <c r="A14" s="7" t="s">
        <v>18</v>
      </c>
      <c r="B14" s="3">
        <v>500923</v>
      </c>
    </row>
    <row r="15" spans="1:2" x14ac:dyDescent="0.3">
      <c r="A15" s="7" t="s">
        <v>12</v>
      </c>
      <c r="B15" s="3">
        <v>614528</v>
      </c>
    </row>
    <row r="16" spans="1:2" x14ac:dyDescent="0.3">
      <c r="A16" s="7" t="s">
        <v>25</v>
      </c>
      <c r="B16" s="3">
        <v>658962</v>
      </c>
    </row>
    <row r="17" spans="1:2" x14ac:dyDescent="0.3">
      <c r="A17" s="8" t="s">
        <v>17</v>
      </c>
      <c r="B17" s="3">
        <v>4998508</v>
      </c>
    </row>
    <row r="18" spans="1:2" x14ac:dyDescent="0.3">
      <c r="A18" s="6" t="s">
        <v>19</v>
      </c>
      <c r="B18" s="3">
        <v>1429121</v>
      </c>
    </row>
    <row r="19" spans="1:2" x14ac:dyDescent="0.3">
      <c r="A19" s="7" t="s">
        <v>18</v>
      </c>
      <c r="B19" s="3">
        <v>402031</v>
      </c>
    </row>
    <row r="20" spans="1:2" x14ac:dyDescent="0.3">
      <c r="A20" s="7" t="s">
        <v>12</v>
      </c>
      <c r="B20" s="3">
        <v>523009</v>
      </c>
    </row>
    <row r="21" spans="1:2" x14ac:dyDescent="0.3">
      <c r="A21" s="7" t="s">
        <v>25</v>
      </c>
      <c r="B21" s="3">
        <v>504081</v>
      </c>
    </row>
    <row r="22" spans="1:2" x14ac:dyDescent="0.3">
      <c r="A22" s="6" t="s">
        <v>13</v>
      </c>
      <c r="B22" s="3">
        <v>1875483</v>
      </c>
    </row>
    <row r="23" spans="1:2" x14ac:dyDescent="0.3">
      <c r="A23" s="7" t="s">
        <v>18</v>
      </c>
      <c r="B23" s="3">
        <v>657677</v>
      </c>
    </row>
    <row r="24" spans="1:2" x14ac:dyDescent="0.3">
      <c r="A24" s="7" t="s">
        <v>12</v>
      </c>
      <c r="B24" s="3">
        <v>731175</v>
      </c>
    </row>
    <row r="25" spans="1:2" x14ac:dyDescent="0.3">
      <c r="A25" s="7" t="s">
        <v>25</v>
      </c>
      <c r="B25" s="3">
        <v>486631</v>
      </c>
    </row>
    <row r="26" spans="1:2" x14ac:dyDescent="0.3">
      <c r="A26" s="6" t="s">
        <v>28</v>
      </c>
      <c r="B26" s="3">
        <v>1693904</v>
      </c>
    </row>
    <row r="27" spans="1:2" x14ac:dyDescent="0.3">
      <c r="A27" s="7" t="s">
        <v>18</v>
      </c>
      <c r="B27" s="3">
        <v>650994</v>
      </c>
    </row>
    <row r="28" spans="1:2" x14ac:dyDescent="0.3">
      <c r="A28" s="7" t="s">
        <v>12</v>
      </c>
      <c r="B28" s="3">
        <v>479008</v>
      </c>
    </row>
    <row r="29" spans="1:2" x14ac:dyDescent="0.3">
      <c r="A29" s="7" t="s">
        <v>25</v>
      </c>
      <c r="B29" s="3">
        <v>563902</v>
      </c>
    </row>
    <row r="30" spans="1:2" x14ac:dyDescent="0.3">
      <c r="A30" s="8" t="s">
        <v>21</v>
      </c>
      <c r="B30" s="3">
        <v>4717111</v>
      </c>
    </row>
    <row r="31" spans="1:2" x14ac:dyDescent="0.3">
      <c r="A31" s="6" t="s">
        <v>19</v>
      </c>
      <c r="B31" s="3">
        <v>1603910</v>
      </c>
    </row>
    <row r="32" spans="1:2" x14ac:dyDescent="0.3">
      <c r="A32" s="7" t="s">
        <v>18</v>
      </c>
      <c r="B32" s="3">
        <v>477885</v>
      </c>
    </row>
    <row r="33" spans="1:2" x14ac:dyDescent="0.3">
      <c r="A33" s="7" t="s">
        <v>12</v>
      </c>
      <c r="B33" s="3">
        <v>565840</v>
      </c>
    </row>
    <row r="34" spans="1:2" x14ac:dyDescent="0.3">
      <c r="A34" s="7" t="s">
        <v>25</v>
      </c>
      <c r="B34" s="3">
        <v>560185</v>
      </c>
    </row>
    <row r="35" spans="1:2" x14ac:dyDescent="0.3">
      <c r="A35" s="6" t="s">
        <v>13</v>
      </c>
      <c r="B35" s="3">
        <v>1571001</v>
      </c>
    </row>
    <row r="36" spans="1:2" x14ac:dyDescent="0.3">
      <c r="A36" s="7" t="s">
        <v>18</v>
      </c>
      <c r="B36" s="3">
        <v>592770</v>
      </c>
    </row>
    <row r="37" spans="1:2" x14ac:dyDescent="0.3">
      <c r="A37" s="7" t="s">
        <v>12</v>
      </c>
      <c r="B37" s="3">
        <v>612433</v>
      </c>
    </row>
    <row r="38" spans="1:2" x14ac:dyDescent="0.3">
      <c r="A38" s="7" t="s">
        <v>25</v>
      </c>
      <c r="B38" s="3">
        <v>365798</v>
      </c>
    </row>
    <row r="39" spans="1:2" x14ac:dyDescent="0.3">
      <c r="A39" s="6" t="s">
        <v>28</v>
      </c>
      <c r="B39" s="3">
        <v>1542200</v>
      </c>
    </row>
    <row r="40" spans="1:2" x14ac:dyDescent="0.3">
      <c r="A40" s="7" t="s">
        <v>18</v>
      </c>
      <c r="B40" s="3">
        <v>573251</v>
      </c>
    </row>
    <row r="41" spans="1:2" x14ac:dyDescent="0.3">
      <c r="A41" s="7" t="s">
        <v>12</v>
      </c>
      <c r="B41" s="3">
        <v>350152</v>
      </c>
    </row>
    <row r="42" spans="1:2" x14ac:dyDescent="0.3">
      <c r="A42" s="7" t="s">
        <v>25</v>
      </c>
      <c r="B42" s="3">
        <v>618797</v>
      </c>
    </row>
    <row r="43" spans="1:2" x14ac:dyDescent="0.3">
      <c r="A43" s="8" t="s">
        <v>35</v>
      </c>
      <c r="B43" s="3">
        <v>15014823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A1681-D311-4C47-B190-DE1A10F16821}">
  <dimension ref="A1:R1001"/>
  <sheetViews>
    <sheetView workbookViewId="0">
      <selection sqref="A1:M1001"/>
    </sheetView>
  </sheetViews>
  <sheetFormatPr defaultRowHeight="14.4" x14ac:dyDescent="0.3"/>
  <cols>
    <col min="2" max="2" width="29.5546875" customWidth="1"/>
    <col min="9" max="9" width="17.77734375" customWidth="1"/>
    <col min="15" max="15" width="17.77734375" customWidth="1"/>
    <col min="16" max="16" width="21.21875" customWidth="1"/>
    <col min="17" max="17" width="18.77734375" customWidth="1"/>
    <col min="18" max="18" width="14.6640625" customWidth="1"/>
  </cols>
  <sheetData>
    <row r="1" spans="1:18" x14ac:dyDescent="0.3">
      <c r="A1" t="s">
        <v>0</v>
      </c>
      <c r="B1" t="s">
        <v>1</v>
      </c>
      <c r="C1" s="1" t="s">
        <v>2</v>
      </c>
      <c r="D1" t="s">
        <v>3</v>
      </c>
      <c r="E1" t="s">
        <v>4</v>
      </c>
      <c r="F1" t="s">
        <v>5</v>
      </c>
      <c r="G1" t="s">
        <v>6</v>
      </c>
      <c r="H1" t="s">
        <v>49</v>
      </c>
      <c r="I1" t="s">
        <v>7</v>
      </c>
      <c r="J1" s="3" t="s">
        <v>8</v>
      </c>
      <c r="K1" t="s">
        <v>9</v>
      </c>
      <c r="L1" t="s">
        <v>10</v>
      </c>
      <c r="M1" t="s">
        <v>11</v>
      </c>
    </row>
    <row r="2" spans="1:18" x14ac:dyDescent="0.3">
      <c r="A2">
        <v>56</v>
      </c>
      <c r="B2" t="s">
        <v>12</v>
      </c>
      <c r="C2" s="1">
        <v>3</v>
      </c>
      <c r="D2" t="s">
        <v>13</v>
      </c>
      <c r="E2" t="s">
        <v>14</v>
      </c>
      <c r="F2" t="s">
        <v>15</v>
      </c>
      <c r="G2" t="s">
        <v>16</v>
      </c>
      <c r="H2">
        <f>0+1</f>
        <v>1</v>
      </c>
      <c r="I2" t="s">
        <v>17</v>
      </c>
      <c r="J2" s="3">
        <v>19774</v>
      </c>
      <c r="K2" t="b">
        <v>1</v>
      </c>
      <c r="L2" t="b">
        <v>0</v>
      </c>
      <c r="M2" t="b">
        <v>0</v>
      </c>
    </row>
    <row r="3" spans="1:18" x14ac:dyDescent="0.3">
      <c r="A3">
        <v>46</v>
      </c>
      <c r="B3" t="s">
        <v>18</v>
      </c>
      <c r="C3" s="1">
        <v>2</v>
      </c>
      <c r="D3" t="s">
        <v>19</v>
      </c>
      <c r="E3" t="s">
        <v>20</v>
      </c>
      <c r="F3" t="s">
        <v>15</v>
      </c>
      <c r="G3" t="s">
        <v>16</v>
      </c>
      <c r="H3">
        <f>H2+1</f>
        <v>2</v>
      </c>
      <c r="I3" t="s">
        <v>21</v>
      </c>
      <c r="J3" s="3">
        <v>10564</v>
      </c>
      <c r="K3" t="b">
        <v>1</v>
      </c>
      <c r="L3" t="b">
        <v>1</v>
      </c>
      <c r="M3" t="b">
        <v>1</v>
      </c>
      <c r="P3" t="s">
        <v>51</v>
      </c>
    </row>
    <row r="4" spans="1:18" x14ac:dyDescent="0.3">
      <c r="A4">
        <v>32</v>
      </c>
      <c r="B4" t="s">
        <v>12</v>
      </c>
      <c r="C4" s="1">
        <v>8</v>
      </c>
      <c r="D4" t="s">
        <v>13</v>
      </c>
      <c r="E4" t="s">
        <v>14</v>
      </c>
      <c r="F4" t="s">
        <v>22</v>
      </c>
      <c r="G4" t="s">
        <v>23</v>
      </c>
      <c r="H4">
        <f t="shared" ref="H4:I67" si="0">H3+1</f>
        <v>3</v>
      </c>
      <c r="I4" t="s">
        <v>24</v>
      </c>
      <c r="J4" s="3">
        <v>13258</v>
      </c>
      <c r="K4" t="b">
        <v>0</v>
      </c>
      <c r="L4" t="b">
        <v>0</v>
      </c>
      <c r="M4" t="b">
        <v>0</v>
      </c>
      <c r="P4" t="s">
        <v>50</v>
      </c>
      <c r="Q4">
        <v>12</v>
      </c>
    </row>
    <row r="5" spans="1:18" x14ac:dyDescent="0.3">
      <c r="A5">
        <v>60</v>
      </c>
      <c r="B5" t="s">
        <v>25</v>
      </c>
      <c r="C5" s="1">
        <v>5</v>
      </c>
      <c r="D5" t="s">
        <v>13</v>
      </c>
      <c r="E5" t="s">
        <v>20</v>
      </c>
      <c r="F5" t="s">
        <v>15</v>
      </c>
      <c r="G5" t="s">
        <v>16</v>
      </c>
      <c r="H5">
        <f t="shared" si="0"/>
        <v>4</v>
      </c>
      <c r="I5" t="s">
        <v>21</v>
      </c>
      <c r="J5" s="3">
        <v>12500</v>
      </c>
      <c r="K5" t="b">
        <v>0</v>
      </c>
      <c r="L5" t="b">
        <v>1</v>
      </c>
      <c r="M5" t="b">
        <v>0</v>
      </c>
      <c r="P5" t="s">
        <v>7</v>
      </c>
      <c r="Q5" t="str">
        <f>VLOOKUP(Q4,H:I,2,0)</f>
        <v>Marketer Manager</v>
      </c>
    </row>
    <row r="6" spans="1:18" x14ac:dyDescent="0.3">
      <c r="A6">
        <v>25</v>
      </c>
      <c r="B6" t="s">
        <v>12</v>
      </c>
      <c r="C6" s="1">
        <v>1</v>
      </c>
      <c r="D6" t="s">
        <v>13</v>
      </c>
      <c r="E6" t="s">
        <v>26</v>
      </c>
      <c r="F6" t="s">
        <v>22</v>
      </c>
      <c r="G6" t="s">
        <v>16</v>
      </c>
      <c r="H6">
        <f t="shared" si="0"/>
        <v>5</v>
      </c>
      <c r="I6" t="s">
        <v>17</v>
      </c>
      <c r="J6" s="3">
        <v>14566</v>
      </c>
      <c r="K6" t="b">
        <v>0</v>
      </c>
      <c r="L6" t="b">
        <v>1</v>
      </c>
      <c r="M6" t="b">
        <v>1</v>
      </c>
    </row>
    <row r="7" spans="1:18" x14ac:dyDescent="0.3">
      <c r="A7">
        <v>38</v>
      </c>
      <c r="B7" t="s">
        <v>12</v>
      </c>
      <c r="C7" s="1">
        <v>3</v>
      </c>
      <c r="D7" t="s">
        <v>19</v>
      </c>
      <c r="E7" t="s">
        <v>20</v>
      </c>
      <c r="F7" t="s">
        <v>27</v>
      </c>
      <c r="G7" t="s">
        <v>16</v>
      </c>
      <c r="H7">
        <f t="shared" si="0"/>
        <v>6</v>
      </c>
      <c r="I7" t="s">
        <v>24</v>
      </c>
      <c r="J7" s="3">
        <v>19179</v>
      </c>
      <c r="K7" t="b">
        <v>1</v>
      </c>
      <c r="L7" t="b">
        <v>1</v>
      </c>
      <c r="M7" t="b">
        <v>1</v>
      </c>
    </row>
    <row r="8" spans="1:18" x14ac:dyDescent="0.3">
      <c r="A8">
        <v>56</v>
      </c>
      <c r="B8" t="s">
        <v>12</v>
      </c>
      <c r="C8" s="1">
        <v>8</v>
      </c>
      <c r="D8" t="s">
        <v>28</v>
      </c>
      <c r="E8" t="s">
        <v>14</v>
      </c>
      <c r="F8" t="s">
        <v>27</v>
      </c>
      <c r="G8" t="s">
        <v>16</v>
      </c>
      <c r="H8">
        <f t="shared" si="0"/>
        <v>7</v>
      </c>
      <c r="I8" t="s">
        <v>21</v>
      </c>
      <c r="J8" s="3">
        <v>16881</v>
      </c>
      <c r="K8" t="b">
        <v>1</v>
      </c>
      <c r="L8" t="b">
        <v>1</v>
      </c>
      <c r="M8" t="b">
        <v>1</v>
      </c>
    </row>
    <row r="9" spans="1:18" x14ac:dyDescent="0.3">
      <c r="A9">
        <v>36</v>
      </c>
      <c r="B9" t="s">
        <v>12</v>
      </c>
      <c r="C9" s="1">
        <v>4</v>
      </c>
      <c r="D9" t="s">
        <v>13</v>
      </c>
      <c r="E9" t="s">
        <v>14</v>
      </c>
      <c r="F9" t="s">
        <v>22</v>
      </c>
      <c r="G9" t="s">
        <v>16</v>
      </c>
      <c r="H9">
        <f t="shared" si="0"/>
        <v>8</v>
      </c>
      <c r="I9" t="s">
        <v>24</v>
      </c>
      <c r="J9" s="3">
        <v>13636</v>
      </c>
      <c r="K9" t="b">
        <v>1</v>
      </c>
      <c r="L9" t="b">
        <v>0</v>
      </c>
      <c r="M9" t="b">
        <v>1</v>
      </c>
    </row>
    <row r="10" spans="1:18" x14ac:dyDescent="0.3">
      <c r="A10">
        <v>40</v>
      </c>
      <c r="B10" t="s">
        <v>25</v>
      </c>
      <c r="C10" s="1">
        <v>7</v>
      </c>
      <c r="D10" t="s">
        <v>28</v>
      </c>
      <c r="E10" t="s">
        <v>26</v>
      </c>
      <c r="F10" t="s">
        <v>22</v>
      </c>
      <c r="G10" t="s">
        <v>23</v>
      </c>
      <c r="H10">
        <f t="shared" si="0"/>
        <v>9</v>
      </c>
      <c r="I10" t="s">
        <v>24</v>
      </c>
      <c r="J10" s="3">
        <v>16030</v>
      </c>
      <c r="K10" t="b">
        <v>0</v>
      </c>
      <c r="L10" t="b">
        <v>0</v>
      </c>
      <c r="M10" t="b">
        <v>1</v>
      </c>
      <c r="P10">
        <f>0+1</f>
        <v>1</v>
      </c>
      <c r="Q10">
        <v>2</v>
      </c>
      <c r="R10">
        <f>3</f>
        <v>3</v>
      </c>
    </row>
    <row r="11" spans="1:18" x14ac:dyDescent="0.3">
      <c r="A11">
        <v>28</v>
      </c>
      <c r="B11" t="s">
        <v>25</v>
      </c>
      <c r="C11" s="1">
        <v>2</v>
      </c>
      <c r="D11" t="s">
        <v>13</v>
      </c>
      <c r="E11" t="s">
        <v>14</v>
      </c>
      <c r="F11" t="s">
        <v>22</v>
      </c>
      <c r="G11" t="s">
        <v>23</v>
      </c>
      <c r="H11">
        <f t="shared" si="0"/>
        <v>10</v>
      </c>
      <c r="I11" t="s">
        <v>24</v>
      </c>
      <c r="J11" s="3">
        <v>10223</v>
      </c>
      <c r="K11" t="b">
        <v>1</v>
      </c>
      <c r="L11" t="b">
        <v>0</v>
      </c>
      <c r="M11" t="b">
        <v>1</v>
      </c>
      <c r="P11" t="s">
        <v>17</v>
      </c>
      <c r="Q11" t="s">
        <v>21</v>
      </c>
      <c r="R11" t="s">
        <v>24</v>
      </c>
    </row>
    <row r="12" spans="1:18" x14ac:dyDescent="0.3">
      <c r="A12">
        <v>28</v>
      </c>
      <c r="B12" t="s">
        <v>18</v>
      </c>
      <c r="C12" s="1">
        <v>7</v>
      </c>
      <c r="D12" t="s">
        <v>28</v>
      </c>
      <c r="E12" t="s">
        <v>26</v>
      </c>
      <c r="F12" t="s">
        <v>15</v>
      </c>
      <c r="G12" t="s">
        <v>16</v>
      </c>
      <c r="H12">
        <f t="shared" si="0"/>
        <v>11</v>
      </c>
      <c r="I12" t="s">
        <v>21</v>
      </c>
      <c r="J12" s="3">
        <v>16297</v>
      </c>
      <c r="K12" t="b">
        <v>1</v>
      </c>
      <c r="L12" t="b">
        <v>1</v>
      </c>
      <c r="M12" t="b">
        <v>0</v>
      </c>
    </row>
    <row r="13" spans="1:18" x14ac:dyDescent="0.3">
      <c r="A13">
        <v>41</v>
      </c>
      <c r="B13" t="s">
        <v>25</v>
      </c>
      <c r="C13" s="1">
        <v>5</v>
      </c>
      <c r="D13" t="s">
        <v>19</v>
      </c>
      <c r="E13" t="s">
        <v>14</v>
      </c>
      <c r="F13" t="s">
        <v>27</v>
      </c>
      <c r="G13" t="s">
        <v>23</v>
      </c>
      <c r="H13">
        <f t="shared" si="0"/>
        <v>12</v>
      </c>
      <c r="I13" t="s">
        <v>24</v>
      </c>
      <c r="J13" s="3">
        <v>10350</v>
      </c>
      <c r="K13" t="b">
        <v>0</v>
      </c>
      <c r="L13" t="b">
        <v>0</v>
      </c>
      <c r="M13" t="b">
        <v>0</v>
      </c>
    </row>
    <row r="14" spans="1:18" x14ac:dyDescent="0.3">
      <c r="A14">
        <v>53</v>
      </c>
      <c r="B14" t="s">
        <v>25</v>
      </c>
      <c r="C14" s="1">
        <v>5</v>
      </c>
      <c r="D14" t="s">
        <v>19</v>
      </c>
      <c r="E14" t="s">
        <v>14</v>
      </c>
      <c r="F14" t="s">
        <v>22</v>
      </c>
      <c r="G14" t="s">
        <v>29</v>
      </c>
      <c r="H14">
        <f t="shared" si="0"/>
        <v>13</v>
      </c>
      <c r="I14" t="s">
        <v>21</v>
      </c>
      <c r="J14" s="3">
        <v>17314</v>
      </c>
      <c r="K14" t="b">
        <v>0</v>
      </c>
      <c r="L14" t="b">
        <v>1</v>
      </c>
      <c r="M14" t="b">
        <v>1</v>
      </c>
      <c r="P14" t="s">
        <v>52</v>
      </c>
    </row>
    <row r="15" spans="1:18" x14ac:dyDescent="0.3">
      <c r="A15">
        <v>57</v>
      </c>
      <c r="B15" t="s">
        <v>18</v>
      </c>
      <c r="C15" s="1">
        <v>6</v>
      </c>
      <c r="D15" t="s">
        <v>13</v>
      </c>
      <c r="E15" t="s">
        <v>26</v>
      </c>
      <c r="F15" t="s">
        <v>15</v>
      </c>
      <c r="G15" t="s">
        <v>16</v>
      </c>
      <c r="H15">
        <f t="shared" si="0"/>
        <v>14</v>
      </c>
      <c r="I15" t="s">
        <v>17</v>
      </c>
      <c r="J15" s="3">
        <v>11928</v>
      </c>
      <c r="K15" t="b">
        <v>0</v>
      </c>
      <c r="L15" t="b">
        <v>1</v>
      </c>
      <c r="M15" t="b">
        <v>0</v>
      </c>
      <c r="P15" t="s">
        <v>49</v>
      </c>
      <c r="Q15">
        <v>3</v>
      </c>
    </row>
    <row r="16" spans="1:18" x14ac:dyDescent="0.3">
      <c r="A16">
        <v>41</v>
      </c>
      <c r="B16" t="s">
        <v>25</v>
      </c>
      <c r="C16" s="1">
        <v>9</v>
      </c>
      <c r="D16" t="s">
        <v>28</v>
      </c>
      <c r="E16" t="s">
        <v>20</v>
      </c>
      <c r="F16" t="s">
        <v>27</v>
      </c>
      <c r="G16" t="s">
        <v>29</v>
      </c>
      <c r="H16">
        <f t="shared" si="0"/>
        <v>15</v>
      </c>
      <c r="I16" t="s">
        <v>21</v>
      </c>
      <c r="J16" s="3">
        <v>17743</v>
      </c>
      <c r="K16" t="b">
        <v>1</v>
      </c>
      <c r="L16" t="b">
        <v>1</v>
      </c>
      <c r="M16" t="b">
        <v>0</v>
      </c>
      <c r="P16" t="s">
        <v>7</v>
      </c>
      <c r="Q16" t="str">
        <f>HLOOKUP(Q15,P10:R11,2,0)</f>
        <v>Marketer Manager</v>
      </c>
    </row>
    <row r="17" spans="1:17" x14ac:dyDescent="0.3">
      <c r="A17">
        <v>20</v>
      </c>
      <c r="B17" t="s">
        <v>12</v>
      </c>
      <c r="C17" s="1">
        <v>6</v>
      </c>
      <c r="D17" t="s">
        <v>19</v>
      </c>
      <c r="E17" t="s">
        <v>14</v>
      </c>
      <c r="F17" t="s">
        <v>15</v>
      </c>
      <c r="G17" t="s">
        <v>23</v>
      </c>
      <c r="H17">
        <f t="shared" si="0"/>
        <v>16</v>
      </c>
      <c r="I17" t="s">
        <v>17</v>
      </c>
      <c r="J17" s="3">
        <v>18540</v>
      </c>
      <c r="K17" t="b">
        <v>1</v>
      </c>
      <c r="L17" t="b">
        <v>1</v>
      </c>
      <c r="M17" t="b">
        <v>0</v>
      </c>
    </row>
    <row r="18" spans="1:17" x14ac:dyDescent="0.3">
      <c r="A18">
        <v>39</v>
      </c>
      <c r="B18" t="s">
        <v>12</v>
      </c>
      <c r="C18" s="1">
        <v>8</v>
      </c>
      <c r="D18" t="s">
        <v>13</v>
      </c>
      <c r="E18" t="s">
        <v>20</v>
      </c>
      <c r="F18" t="s">
        <v>27</v>
      </c>
      <c r="G18" t="s">
        <v>23</v>
      </c>
      <c r="H18">
        <f t="shared" si="0"/>
        <v>17</v>
      </c>
      <c r="I18" t="s">
        <v>21</v>
      </c>
      <c r="J18" s="3">
        <v>14732</v>
      </c>
      <c r="K18" t="b">
        <v>1</v>
      </c>
      <c r="L18" t="b">
        <v>1</v>
      </c>
      <c r="M18" t="b">
        <v>0</v>
      </c>
    </row>
    <row r="19" spans="1:17" x14ac:dyDescent="0.3">
      <c r="A19">
        <v>19</v>
      </c>
      <c r="B19" t="s">
        <v>18</v>
      </c>
      <c r="C19" s="1">
        <v>7</v>
      </c>
      <c r="D19" t="s">
        <v>13</v>
      </c>
      <c r="E19" t="s">
        <v>14</v>
      </c>
      <c r="F19" t="s">
        <v>15</v>
      </c>
      <c r="G19" t="s">
        <v>29</v>
      </c>
      <c r="H19">
        <f t="shared" si="0"/>
        <v>18</v>
      </c>
      <c r="I19" t="s">
        <v>24</v>
      </c>
      <c r="J19" s="3">
        <v>11017</v>
      </c>
      <c r="K19" t="b">
        <v>0</v>
      </c>
      <c r="L19" t="b">
        <v>1</v>
      </c>
      <c r="M19" t="b">
        <v>1</v>
      </c>
      <c r="P19" t="s">
        <v>53</v>
      </c>
    </row>
    <row r="20" spans="1:17" x14ac:dyDescent="0.3">
      <c r="A20">
        <v>41</v>
      </c>
      <c r="B20" t="s">
        <v>18</v>
      </c>
      <c r="C20" s="1">
        <v>9</v>
      </c>
      <c r="D20" t="s">
        <v>19</v>
      </c>
      <c r="E20" t="s">
        <v>14</v>
      </c>
      <c r="F20" t="s">
        <v>27</v>
      </c>
      <c r="G20" t="s">
        <v>23</v>
      </c>
      <c r="H20">
        <f t="shared" si="0"/>
        <v>19</v>
      </c>
      <c r="I20" t="s">
        <v>21</v>
      </c>
      <c r="J20" s="3">
        <v>12226</v>
      </c>
      <c r="K20" t="b">
        <v>0</v>
      </c>
      <c r="L20" t="b">
        <v>0</v>
      </c>
      <c r="M20" t="b">
        <v>0</v>
      </c>
      <c r="P20">
        <f>INDEX(J:J,MATCH(Q20,I:I,0))</f>
        <v>10564</v>
      </c>
      <c r="Q20" t="s">
        <v>21</v>
      </c>
    </row>
    <row r="21" spans="1:17" x14ac:dyDescent="0.3">
      <c r="A21">
        <v>61</v>
      </c>
      <c r="B21" t="s">
        <v>18</v>
      </c>
      <c r="C21" s="1">
        <v>4</v>
      </c>
      <c r="D21" t="s">
        <v>19</v>
      </c>
      <c r="E21" t="s">
        <v>14</v>
      </c>
      <c r="F21" t="s">
        <v>27</v>
      </c>
      <c r="G21" t="s">
        <v>16</v>
      </c>
      <c r="H21">
        <f t="shared" si="0"/>
        <v>20</v>
      </c>
      <c r="I21" t="s">
        <v>24</v>
      </c>
      <c r="J21" s="3">
        <v>17206</v>
      </c>
      <c r="K21" t="b">
        <v>0</v>
      </c>
      <c r="L21" t="b">
        <v>0</v>
      </c>
      <c r="M21" t="b">
        <v>0</v>
      </c>
    </row>
    <row r="22" spans="1:17" x14ac:dyDescent="0.3">
      <c r="A22">
        <v>47</v>
      </c>
      <c r="B22" t="s">
        <v>12</v>
      </c>
      <c r="C22" s="1">
        <v>2</v>
      </c>
      <c r="D22" t="s">
        <v>13</v>
      </c>
      <c r="E22" t="s">
        <v>14</v>
      </c>
      <c r="F22" t="s">
        <v>15</v>
      </c>
      <c r="G22" t="s">
        <v>29</v>
      </c>
      <c r="H22">
        <f t="shared" si="0"/>
        <v>21</v>
      </c>
      <c r="I22" t="s">
        <v>17</v>
      </c>
      <c r="J22" s="3">
        <v>17170</v>
      </c>
      <c r="K22" t="b">
        <v>0</v>
      </c>
      <c r="L22" t="b">
        <v>0</v>
      </c>
      <c r="M22" t="b">
        <v>1</v>
      </c>
    </row>
    <row r="23" spans="1:17" x14ac:dyDescent="0.3">
      <c r="A23">
        <v>55</v>
      </c>
      <c r="B23" t="s">
        <v>25</v>
      </c>
      <c r="C23" s="1">
        <v>7</v>
      </c>
      <c r="D23" t="s">
        <v>28</v>
      </c>
      <c r="E23" t="s">
        <v>20</v>
      </c>
      <c r="F23" t="s">
        <v>22</v>
      </c>
      <c r="G23" t="s">
        <v>16</v>
      </c>
      <c r="H23">
        <f t="shared" si="0"/>
        <v>22</v>
      </c>
      <c r="I23" t="s">
        <v>21</v>
      </c>
      <c r="J23" s="3">
        <v>16207</v>
      </c>
      <c r="K23" t="b">
        <v>1</v>
      </c>
      <c r="L23" t="b">
        <v>0</v>
      </c>
      <c r="M23" t="b">
        <v>1</v>
      </c>
    </row>
    <row r="24" spans="1:17" x14ac:dyDescent="0.3">
      <c r="A24">
        <v>19</v>
      </c>
      <c r="B24" t="s">
        <v>12</v>
      </c>
      <c r="C24" s="1">
        <v>6</v>
      </c>
      <c r="D24" t="s">
        <v>28</v>
      </c>
      <c r="E24" t="s">
        <v>20</v>
      </c>
      <c r="F24" t="s">
        <v>27</v>
      </c>
      <c r="G24" t="s">
        <v>29</v>
      </c>
      <c r="H24">
        <f t="shared" si="0"/>
        <v>23</v>
      </c>
      <c r="I24" t="s">
        <v>24</v>
      </c>
      <c r="J24" s="3">
        <v>12419</v>
      </c>
      <c r="K24" t="b">
        <v>1</v>
      </c>
      <c r="L24" t="b">
        <v>1</v>
      </c>
      <c r="M24" t="b">
        <v>1</v>
      </c>
    </row>
    <row r="25" spans="1:17" x14ac:dyDescent="0.3">
      <c r="A25">
        <v>38</v>
      </c>
      <c r="B25" t="s">
        <v>18</v>
      </c>
      <c r="C25" s="1">
        <v>1</v>
      </c>
      <c r="D25" t="s">
        <v>28</v>
      </c>
      <c r="E25" t="s">
        <v>14</v>
      </c>
      <c r="F25" t="s">
        <v>22</v>
      </c>
      <c r="G25" t="s">
        <v>23</v>
      </c>
      <c r="H25">
        <f t="shared" si="0"/>
        <v>24</v>
      </c>
      <c r="I25" t="s">
        <v>17</v>
      </c>
      <c r="J25" s="3">
        <v>16240</v>
      </c>
      <c r="K25" t="b">
        <v>1</v>
      </c>
      <c r="L25" t="b">
        <v>1</v>
      </c>
      <c r="M25" t="b">
        <v>1</v>
      </c>
    </row>
    <row r="26" spans="1:17" x14ac:dyDescent="0.3">
      <c r="A26">
        <v>50</v>
      </c>
      <c r="B26" t="s">
        <v>25</v>
      </c>
      <c r="C26" s="1">
        <v>9</v>
      </c>
      <c r="D26" t="s">
        <v>13</v>
      </c>
      <c r="E26" t="s">
        <v>14</v>
      </c>
      <c r="F26" t="s">
        <v>15</v>
      </c>
      <c r="G26" t="s">
        <v>29</v>
      </c>
      <c r="H26">
        <f t="shared" si="0"/>
        <v>25</v>
      </c>
      <c r="I26" t="s">
        <v>17</v>
      </c>
      <c r="J26" s="3">
        <v>11893</v>
      </c>
      <c r="K26" t="b">
        <v>1</v>
      </c>
      <c r="L26" t="b">
        <v>0</v>
      </c>
      <c r="M26" t="b">
        <v>0</v>
      </c>
    </row>
    <row r="27" spans="1:17" x14ac:dyDescent="0.3">
      <c r="A27">
        <v>29</v>
      </c>
      <c r="B27" t="s">
        <v>25</v>
      </c>
      <c r="C27" s="1">
        <v>9</v>
      </c>
      <c r="D27" t="s">
        <v>19</v>
      </c>
      <c r="E27" t="s">
        <v>20</v>
      </c>
      <c r="F27" t="s">
        <v>22</v>
      </c>
      <c r="G27" t="s">
        <v>29</v>
      </c>
      <c r="H27">
        <f t="shared" si="0"/>
        <v>26</v>
      </c>
      <c r="I27" t="s">
        <v>21</v>
      </c>
      <c r="J27" s="3">
        <v>15322</v>
      </c>
      <c r="K27" t="b">
        <v>1</v>
      </c>
      <c r="L27" t="b">
        <v>0</v>
      </c>
      <c r="M27" t="b">
        <v>1</v>
      </c>
    </row>
    <row r="28" spans="1:17" x14ac:dyDescent="0.3">
      <c r="A28">
        <v>39</v>
      </c>
      <c r="B28" t="s">
        <v>12</v>
      </c>
      <c r="C28" s="1">
        <v>2</v>
      </c>
      <c r="D28" t="s">
        <v>13</v>
      </c>
      <c r="E28" t="s">
        <v>26</v>
      </c>
      <c r="F28" t="s">
        <v>22</v>
      </c>
      <c r="G28" t="s">
        <v>16</v>
      </c>
      <c r="H28">
        <f t="shared" si="0"/>
        <v>27</v>
      </c>
      <c r="I28" t="s">
        <v>17</v>
      </c>
      <c r="J28" s="3">
        <v>17718</v>
      </c>
      <c r="K28" t="b">
        <v>1</v>
      </c>
      <c r="L28" t="b">
        <v>0</v>
      </c>
      <c r="M28" t="b">
        <v>0</v>
      </c>
    </row>
    <row r="29" spans="1:17" x14ac:dyDescent="0.3">
      <c r="A29">
        <v>61</v>
      </c>
      <c r="B29" t="s">
        <v>18</v>
      </c>
      <c r="C29" s="1">
        <v>3</v>
      </c>
      <c r="D29" t="s">
        <v>19</v>
      </c>
      <c r="E29" t="s">
        <v>26</v>
      </c>
      <c r="F29" t="s">
        <v>22</v>
      </c>
      <c r="G29" t="s">
        <v>23</v>
      </c>
      <c r="H29">
        <f t="shared" si="0"/>
        <v>28</v>
      </c>
      <c r="I29" t="s">
        <v>24</v>
      </c>
      <c r="J29" s="3">
        <v>16878</v>
      </c>
      <c r="K29" t="b">
        <v>1</v>
      </c>
      <c r="L29" t="b">
        <v>0</v>
      </c>
      <c r="M29" t="b">
        <v>0</v>
      </c>
    </row>
    <row r="30" spans="1:17" x14ac:dyDescent="0.3">
      <c r="A30">
        <v>42</v>
      </c>
      <c r="B30" t="s">
        <v>12</v>
      </c>
      <c r="C30" s="1">
        <v>5</v>
      </c>
      <c r="D30" t="s">
        <v>28</v>
      </c>
      <c r="E30" t="s">
        <v>20</v>
      </c>
      <c r="F30" t="s">
        <v>22</v>
      </c>
      <c r="G30" t="s">
        <v>16</v>
      </c>
      <c r="H30">
        <f t="shared" si="0"/>
        <v>29</v>
      </c>
      <c r="I30" t="s">
        <v>17</v>
      </c>
      <c r="J30" s="3">
        <v>11125</v>
      </c>
      <c r="K30" t="b">
        <v>1</v>
      </c>
      <c r="L30" t="b">
        <v>0</v>
      </c>
      <c r="M30" t="b">
        <v>1</v>
      </c>
    </row>
    <row r="31" spans="1:17" x14ac:dyDescent="0.3">
      <c r="A31">
        <v>44</v>
      </c>
      <c r="B31" t="s">
        <v>25</v>
      </c>
      <c r="C31" s="1">
        <v>5</v>
      </c>
      <c r="D31" t="s">
        <v>28</v>
      </c>
      <c r="E31" t="s">
        <v>14</v>
      </c>
      <c r="F31" t="s">
        <v>22</v>
      </c>
      <c r="G31" t="s">
        <v>23</v>
      </c>
      <c r="H31">
        <f t="shared" si="0"/>
        <v>30</v>
      </c>
      <c r="I31" t="s">
        <v>17</v>
      </c>
      <c r="J31" s="3">
        <v>13117</v>
      </c>
      <c r="K31" t="b">
        <v>0</v>
      </c>
      <c r="L31" t="b">
        <v>0</v>
      </c>
      <c r="M31" t="b">
        <v>1</v>
      </c>
    </row>
    <row r="32" spans="1:17" x14ac:dyDescent="0.3">
      <c r="A32">
        <v>59</v>
      </c>
      <c r="B32" t="s">
        <v>12</v>
      </c>
      <c r="C32" s="1">
        <v>1</v>
      </c>
      <c r="D32" t="s">
        <v>19</v>
      </c>
      <c r="E32" t="s">
        <v>14</v>
      </c>
      <c r="F32" t="s">
        <v>27</v>
      </c>
      <c r="G32" t="s">
        <v>16</v>
      </c>
      <c r="H32">
        <f t="shared" si="0"/>
        <v>31</v>
      </c>
      <c r="I32" t="s">
        <v>24</v>
      </c>
      <c r="J32" s="3">
        <v>14161</v>
      </c>
      <c r="K32" t="b">
        <v>0</v>
      </c>
      <c r="L32" t="b">
        <v>0</v>
      </c>
      <c r="M32" t="b">
        <v>1</v>
      </c>
    </row>
    <row r="33" spans="1:13" x14ac:dyDescent="0.3">
      <c r="A33">
        <v>45</v>
      </c>
      <c r="B33" t="s">
        <v>12</v>
      </c>
      <c r="C33" s="1">
        <v>8</v>
      </c>
      <c r="D33" t="s">
        <v>19</v>
      </c>
      <c r="E33" t="s">
        <v>26</v>
      </c>
      <c r="F33" t="s">
        <v>27</v>
      </c>
      <c r="G33" t="s">
        <v>29</v>
      </c>
      <c r="H33">
        <f t="shared" si="0"/>
        <v>32</v>
      </c>
      <c r="I33" t="s">
        <v>17</v>
      </c>
      <c r="J33" s="3">
        <v>14042</v>
      </c>
      <c r="K33" t="b">
        <v>1</v>
      </c>
      <c r="L33" t="b">
        <v>0</v>
      </c>
      <c r="M33" t="b">
        <v>1</v>
      </c>
    </row>
    <row r="34" spans="1:13" x14ac:dyDescent="0.3">
      <c r="A34">
        <v>33</v>
      </c>
      <c r="B34" t="s">
        <v>18</v>
      </c>
      <c r="C34" s="1">
        <v>8</v>
      </c>
      <c r="D34" t="s">
        <v>13</v>
      </c>
      <c r="E34" t="s">
        <v>26</v>
      </c>
      <c r="F34" t="s">
        <v>27</v>
      </c>
      <c r="G34" t="s">
        <v>16</v>
      </c>
      <c r="H34">
        <f t="shared" si="0"/>
        <v>33</v>
      </c>
      <c r="I34" t="s">
        <v>17</v>
      </c>
      <c r="J34" s="3">
        <v>14433</v>
      </c>
      <c r="K34" t="b">
        <v>0</v>
      </c>
      <c r="L34" t="b">
        <v>1</v>
      </c>
      <c r="M34" t="b">
        <v>1</v>
      </c>
    </row>
    <row r="35" spans="1:13" x14ac:dyDescent="0.3">
      <c r="A35">
        <v>32</v>
      </c>
      <c r="B35" t="s">
        <v>18</v>
      </c>
      <c r="C35" s="1">
        <v>4</v>
      </c>
      <c r="D35" t="s">
        <v>28</v>
      </c>
      <c r="E35" t="s">
        <v>20</v>
      </c>
      <c r="F35" t="s">
        <v>15</v>
      </c>
      <c r="G35" t="s">
        <v>23</v>
      </c>
      <c r="H35">
        <f t="shared" si="0"/>
        <v>34</v>
      </c>
      <c r="I35" t="s">
        <v>17</v>
      </c>
      <c r="J35" s="3">
        <v>18638</v>
      </c>
      <c r="K35" t="b">
        <v>1</v>
      </c>
      <c r="L35" t="b">
        <v>1</v>
      </c>
      <c r="M35" t="b">
        <v>1</v>
      </c>
    </row>
    <row r="36" spans="1:13" x14ac:dyDescent="0.3">
      <c r="A36">
        <v>64</v>
      </c>
      <c r="B36" t="s">
        <v>25</v>
      </c>
      <c r="C36" s="1">
        <v>7</v>
      </c>
      <c r="D36" t="s">
        <v>13</v>
      </c>
      <c r="E36" t="s">
        <v>26</v>
      </c>
      <c r="F36" t="s">
        <v>22</v>
      </c>
      <c r="G36" t="s">
        <v>23</v>
      </c>
      <c r="H36">
        <f t="shared" si="0"/>
        <v>35</v>
      </c>
      <c r="I36" t="s">
        <v>17</v>
      </c>
      <c r="J36" s="3">
        <v>12658</v>
      </c>
      <c r="K36" t="b">
        <v>1</v>
      </c>
      <c r="L36" t="b">
        <v>1</v>
      </c>
      <c r="M36" t="b">
        <v>0</v>
      </c>
    </row>
    <row r="37" spans="1:13" x14ac:dyDescent="0.3">
      <c r="A37">
        <v>61</v>
      </c>
      <c r="B37" t="s">
        <v>12</v>
      </c>
      <c r="C37" s="1">
        <v>3</v>
      </c>
      <c r="D37" t="s">
        <v>13</v>
      </c>
      <c r="E37" t="s">
        <v>20</v>
      </c>
      <c r="F37" t="s">
        <v>27</v>
      </c>
      <c r="G37" t="s">
        <v>29</v>
      </c>
      <c r="H37">
        <f t="shared" si="0"/>
        <v>36</v>
      </c>
      <c r="I37" t="s">
        <v>24</v>
      </c>
      <c r="J37" s="3">
        <v>13483</v>
      </c>
      <c r="K37" t="b">
        <v>0</v>
      </c>
      <c r="L37" t="b">
        <v>1</v>
      </c>
      <c r="M37" t="b">
        <v>0</v>
      </c>
    </row>
    <row r="38" spans="1:13" x14ac:dyDescent="0.3">
      <c r="A38">
        <v>20</v>
      </c>
      <c r="B38" t="s">
        <v>12</v>
      </c>
      <c r="C38" s="1">
        <v>6</v>
      </c>
      <c r="D38" t="s">
        <v>13</v>
      </c>
      <c r="E38" t="s">
        <v>26</v>
      </c>
      <c r="F38" t="s">
        <v>15</v>
      </c>
      <c r="G38" t="s">
        <v>23</v>
      </c>
      <c r="H38">
        <f t="shared" si="0"/>
        <v>37</v>
      </c>
      <c r="I38" t="s">
        <v>17</v>
      </c>
      <c r="J38" s="3">
        <v>12944</v>
      </c>
      <c r="K38" t="b">
        <v>1</v>
      </c>
      <c r="L38" t="b">
        <v>0</v>
      </c>
      <c r="M38" t="b">
        <v>0</v>
      </c>
    </row>
    <row r="39" spans="1:13" x14ac:dyDescent="0.3">
      <c r="A39">
        <v>54</v>
      </c>
      <c r="B39" t="s">
        <v>12</v>
      </c>
      <c r="C39" s="1">
        <v>9</v>
      </c>
      <c r="D39" t="s">
        <v>28</v>
      </c>
      <c r="E39" t="s">
        <v>26</v>
      </c>
      <c r="F39" t="s">
        <v>27</v>
      </c>
      <c r="G39" t="s">
        <v>16</v>
      </c>
      <c r="H39">
        <f t="shared" si="0"/>
        <v>38</v>
      </c>
      <c r="I39" t="s">
        <v>24</v>
      </c>
      <c r="J39" s="3">
        <v>17210</v>
      </c>
      <c r="K39" t="b">
        <v>1</v>
      </c>
      <c r="L39" t="b">
        <v>1</v>
      </c>
      <c r="M39" t="b">
        <v>0</v>
      </c>
    </row>
    <row r="40" spans="1:13" x14ac:dyDescent="0.3">
      <c r="A40">
        <v>24</v>
      </c>
      <c r="B40" t="s">
        <v>25</v>
      </c>
      <c r="C40" s="1">
        <v>1</v>
      </c>
      <c r="D40" t="s">
        <v>13</v>
      </c>
      <c r="E40" t="s">
        <v>26</v>
      </c>
      <c r="F40" t="s">
        <v>27</v>
      </c>
      <c r="G40" t="s">
        <v>29</v>
      </c>
      <c r="H40">
        <f t="shared" si="0"/>
        <v>39</v>
      </c>
      <c r="I40" t="s">
        <v>17</v>
      </c>
      <c r="J40" s="3">
        <v>17653</v>
      </c>
      <c r="K40" t="b">
        <v>1</v>
      </c>
      <c r="L40" t="b">
        <v>0</v>
      </c>
      <c r="M40" t="b">
        <v>1</v>
      </c>
    </row>
    <row r="41" spans="1:13" x14ac:dyDescent="0.3">
      <c r="A41">
        <v>38</v>
      </c>
      <c r="B41" t="s">
        <v>25</v>
      </c>
      <c r="C41" s="1">
        <v>5</v>
      </c>
      <c r="D41" t="s">
        <v>13</v>
      </c>
      <c r="E41" t="s">
        <v>14</v>
      </c>
      <c r="F41" t="s">
        <v>22</v>
      </c>
      <c r="G41" t="s">
        <v>23</v>
      </c>
      <c r="H41">
        <f t="shared" si="0"/>
        <v>40</v>
      </c>
      <c r="I41" t="s">
        <v>17</v>
      </c>
      <c r="J41" s="3">
        <v>18787</v>
      </c>
      <c r="K41" t="b">
        <v>1</v>
      </c>
      <c r="L41" t="b">
        <v>1</v>
      </c>
      <c r="M41" t="b">
        <v>1</v>
      </c>
    </row>
    <row r="42" spans="1:13" x14ac:dyDescent="0.3">
      <c r="A42">
        <v>26</v>
      </c>
      <c r="B42" t="s">
        <v>18</v>
      </c>
      <c r="C42" s="1">
        <v>4</v>
      </c>
      <c r="D42" t="s">
        <v>13</v>
      </c>
      <c r="E42" t="s">
        <v>14</v>
      </c>
      <c r="F42" t="s">
        <v>15</v>
      </c>
      <c r="G42" t="s">
        <v>23</v>
      </c>
      <c r="H42">
        <f t="shared" si="0"/>
        <v>41</v>
      </c>
      <c r="I42" t="s">
        <v>17</v>
      </c>
      <c r="J42" s="3">
        <v>11986</v>
      </c>
      <c r="K42" t="b">
        <v>1</v>
      </c>
      <c r="L42" t="b">
        <v>0</v>
      </c>
      <c r="M42" t="b">
        <v>0</v>
      </c>
    </row>
    <row r="43" spans="1:13" x14ac:dyDescent="0.3">
      <c r="A43">
        <v>56</v>
      </c>
      <c r="B43" t="s">
        <v>18</v>
      </c>
      <c r="C43" s="1">
        <v>8</v>
      </c>
      <c r="D43" t="s">
        <v>13</v>
      </c>
      <c r="E43" t="s">
        <v>14</v>
      </c>
      <c r="F43" t="s">
        <v>22</v>
      </c>
      <c r="G43" t="s">
        <v>16</v>
      </c>
      <c r="H43">
        <f t="shared" si="0"/>
        <v>42</v>
      </c>
      <c r="I43" t="s">
        <v>17</v>
      </c>
      <c r="J43" s="3">
        <v>11074</v>
      </c>
      <c r="K43" t="b">
        <v>1</v>
      </c>
      <c r="L43" t="b">
        <v>0</v>
      </c>
      <c r="M43" t="b">
        <v>0</v>
      </c>
    </row>
    <row r="44" spans="1:13" x14ac:dyDescent="0.3">
      <c r="A44">
        <v>35</v>
      </c>
      <c r="B44" t="s">
        <v>18</v>
      </c>
      <c r="C44" s="1">
        <v>1</v>
      </c>
      <c r="D44" t="s">
        <v>13</v>
      </c>
      <c r="E44" t="s">
        <v>26</v>
      </c>
      <c r="F44" t="s">
        <v>22</v>
      </c>
      <c r="G44" t="s">
        <v>16</v>
      </c>
      <c r="H44">
        <f t="shared" si="0"/>
        <v>43</v>
      </c>
      <c r="I44" t="s">
        <v>24</v>
      </c>
      <c r="J44" s="3">
        <v>14305</v>
      </c>
      <c r="K44" t="b">
        <v>1</v>
      </c>
      <c r="L44" t="b">
        <v>1</v>
      </c>
      <c r="M44" t="b">
        <v>0</v>
      </c>
    </row>
    <row r="45" spans="1:13" x14ac:dyDescent="0.3">
      <c r="A45">
        <v>21</v>
      </c>
      <c r="B45" t="s">
        <v>12</v>
      </c>
      <c r="C45" s="1">
        <v>9</v>
      </c>
      <c r="D45" t="s">
        <v>13</v>
      </c>
      <c r="E45" t="s">
        <v>20</v>
      </c>
      <c r="F45" t="s">
        <v>27</v>
      </c>
      <c r="G45" t="s">
        <v>29</v>
      </c>
      <c r="H45">
        <f t="shared" si="0"/>
        <v>44</v>
      </c>
      <c r="I45" t="s">
        <v>24</v>
      </c>
      <c r="J45" s="3">
        <v>13007</v>
      </c>
      <c r="K45" t="b">
        <v>0</v>
      </c>
      <c r="L45" t="b">
        <v>1</v>
      </c>
      <c r="M45" t="b">
        <v>1</v>
      </c>
    </row>
    <row r="46" spans="1:13" x14ac:dyDescent="0.3">
      <c r="A46">
        <v>42</v>
      </c>
      <c r="B46" t="s">
        <v>12</v>
      </c>
      <c r="C46" s="1">
        <v>6</v>
      </c>
      <c r="D46" t="s">
        <v>28</v>
      </c>
      <c r="E46" t="s">
        <v>20</v>
      </c>
      <c r="F46" t="s">
        <v>22</v>
      </c>
      <c r="G46" t="s">
        <v>23</v>
      </c>
      <c r="H46">
        <f t="shared" si="0"/>
        <v>45</v>
      </c>
      <c r="I46" t="s">
        <v>24</v>
      </c>
      <c r="J46" s="3">
        <v>10969</v>
      </c>
      <c r="K46" t="b">
        <v>0</v>
      </c>
      <c r="L46" t="b">
        <v>0</v>
      </c>
      <c r="M46" t="b">
        <v>1</v>
      </c>
    </row>
    <row r="47" spans="1:13" x14ac:dyDescent="0.3">
      <c r="A47">
        <v>31</v>
      </c>
      <c r="B47" t="s">
        <v>18</v>
      </c>
      <c r="C47" s="1">
        <v>4</v>
      </c>
      <c r="D47" t="s">
        <v>13</v>
      </c>
      <c r="E47" t="s">
        <v>20</v>
      </c>
      <c r="F47" t="s">
        <v>15</v>
      </c>
      <c r="G47" t="s">
        <v>16</v>
      </c>
      <c r="H47">
        <f t="shared" si="0"/>
        <v>46</v>
      </c>
      <c r="I47" t="s">
        <v>21</v>
      </c>
      <c r="J47" s="3">
        <v>18772</v>
      </c>
      <c r="K47" t="b">
        <v>1</v>
      </c>
      <c r="L47" t="b">
        <v>0</v>
      </c>
      <c r="M47" t="b">
        <v>1</v>
      </c>
    </row>
    <row r="48" spans="1:13" x14ac:dyDescent="0.3">
      <c r="A48">
        <v>26</v>
      </c>
      <c r="B48" t="s">
        <v>12</v>
      </c>
      <c r="C48" s="1">
        <v>9</v>
      </c>
      <c r="D48" t="s">
        <v>19</v>
      </c>
      <c r="E48" t="s">
        <v>20</v>
      </c>
      <c r="F48" t="s">
        <v>22</v>
      </c>
      <c r="G48" t="s">
        <v>29</v>
      </c>
      <c r="H48">
        <f t="shared" si="0"/>
        <v>47</v>
      </c>
      <c r="I48" t="s">
        <v>17</v>
      </c>
      <c r="J48" s="3">
        <v>12824</v>
      </c>
      <c r="K48" t="b">
        <v>0</v>
      </c>
      <c r="L48" t="b">
        <v>0</v>
      </c>
      <c r="M48" t="b">
        <v>0</v>
      </c>
    </row>
    <row r="49" spans="1:13" x14ac:dyDescent="0.3">
      <c r="A49">
        <v>43</v>
      </c>
      <c r="B49" t="s">
        <v>18</v>
      </c>
      <c r="C49" s="1">
        <v>5</v>
      </c>
      <c r="D49" t="s">
        <v>13</v>
      </c>
      <c r="E49" t="s">
        <v>14</v>
      </c>
      <c r="F49" t="s">
        <v>22</v>
      </c>
      <c r="G49" t="s">
        <v>23</v>
      </c>
      <c r="H49">
        <f t="shared" si="0"/>
        <v>48</v>
      </c>
      <c r="I49" t="s">
        <v>17</v>
      </c>
      <c r="J49" s="3">
        <v>11211</v>
      </c>
      <c r="K49" t="b">
        <v>1</v>
      </c>
      <c r="L49" t="b">
        <v>1</v>
      </c>
      <c r="M49" t="b">
        <v>0</v>
      </c>
    </row>
    <row r="50" spans="1:13" x14ac:dyDescent="0.3">
      <c r="A50">
        <v>19</v>
      </c>
      <c r="B50" t="s">
        <v>25</v>
      </c>
      <c r="C50" s="1">
        <v>5</v>
      </c>
      <c r="D50" t="s">
        <v>13</v>
      </c>
      <c r="E50" t="s">
        <v>14</v>
      </c>
      <c r="F50" t="s">
        <v>22</v>
      </c>
      <c r="G50" t="s">
        <v>23</v>
      </c>
      <c r="H50">
        <f t="shared" si="0"/>
        <v>49</v>
      </c>
      <c r="I50" t="s">
        <v>24</v>
      </c>
      <c r="J50" s="3">
        <v>10229</v>
      </c>
      <c r="K50" t="b">
        <v>1</v>
      </c>
      <c r="L50" t="b">
        <v>1</v>
      </c>
      <c r="M50" t="b">
        <v>1</v>
      </c>
    </row>
    <row r="51" spans="1:13" x14ac:dyDescent="0.3">
      <c r="A51">
        <v>37</v>
      </c>
      <c r="B51" t="s">
        <v>18</v>
      </c>
      <c r="C51" s="1">
        <v>5</v>
      </c>
      <c r="D51" t="s">
        <v>28</v>
      </c>
      <c r="E51" t="s">
        <v>26</v>
      </c>
      <c r="F51" t="s">
        <v>27</v>
      </c>
      <c r="G51" t="s">
        <v>29</v>
      </c>
      <c r="H51">
        <f t="shared" si="0"/>
        <v>50</v>
      </c>
      <c r="I51" t="s">
        <v>21</v>
      </c>
      <c r="J51" s="3">
        <v>14284</v>
      </c>
      <c r="K51" t="b">
        <v>1</v>
      </c>
      <c r="L51" t="b">
        <v>0</v>
      </c>
      <c r="M51" t="b">
        <v>1</v>
      </c>
    </row>
    <row r="52" spans="1:13" x14ac:dyDescent="0.3">
      <c r="A52">
        <v>45</v>
      </c>
      <c r="B52" t="s">
        <v>25</v>
      </c>
      <c r="C52" s="1">
        <v>1</v>
      </c>
      <c r="D52" t="s">
        <v>28</v>
      </c>
      <c r="E52" t="s">
        <v>26</v>
      </c>
      <c r="F52" t="s">
        <v>15</v>
      </c>
      <c r="G52" t="s">
        <v>29</v>
      </c>
      <c r="H52">
        <f t="shared" si="0"/>
        <v>51</v>
      </c>
      <c r="I52" t="s">
        <v>17</v>
      </c>
      <c r="J52" s="3">
        <v>13185</v>
      </c>
      <c r="K52" t="b">
        <v>1</v>
      </c>
      <c r="L52" t="b">
        <v>1</v>
      </c>
      <c r="M52" t="b">
        <v>0</v>
      </c>
    </row>
    <row r="53" spans="1:13" x14ac:dyDescent="0.3">
      <c r="A53">
        <v>64</v>
      </c>
      <c r="B53" t="s">
        <v>12</v>
      </c>
      <c r="C53" s="1">
        <v>1</v>
      </c>
      <c r="D53" t="s">
        <v>19</v>
      </c>
      <c r="E53" t="s">
        <v>20</v>
      </c>
      <c r="F53" t="s">
        <v>27</v>
      </c>
      <c r="G53" t="s">
        <v>16</v>
      </c>
      <c r="H53">
        <f t="shared" si="0"/>
        <v>52</v>
      </c>
      <c r="I53" t="s">
        <v>24</v>
      </c>
      <c r="J53" s="3">
        <v>10501</v>
      </c>
      <c r="K53" t="b">
        <v>0</v>
      </c>
      <c r="L53" t="b">
        <v>0</v>
      </c>
      <c r="M53" t="b">
        <v>0</v>
      </c>
    </row>
    <row r="54" spans="1:13" x14ac:dyDescent="0.3">
      <c r="A54">
        <v>24</v>
      </c>
      <c r="B54" t="s">
        <v>18</v>
      </c>
      <c r="C54" s="1">
        <v>8</v>
      </c>
      <c r="D54" t="s">
        <v>19</v>
      </c>
      <c r="E54" t="s">
        <v>14</v>
      </c>
      <c r="F54" t="s">
        <v>27</v>
      </c>
      <c r="G54" t="s">
        <v>23</v>
      </c>
      <c r="H54">
        <f t="shared" si="0"/>
        <v>53</v>
      </c>
      <c r="I54" t="s">
        <v>17</v>
      </c>
      <c r="J54" s="3">
        <v>10048</v>
      </c>
      <c r="K54" t="b">
        <v>0</v>
      </c>
      <c r="L54" t="b">
        <v>1</v>
      </c>
      <c r="M54" t="b">
        <v>1</v>
      </c>
    </row>
    <row r="55" spans="1:13" x14ac:dyDescent="0.3">
      <c r="A55">
        <v>61</v>
      </c>
      <c r="B55" t="s">
        <v>12</v>
      </c>
      <c r="C55" s="1">
        <v>8</v>
      </c>
      <c r="D55" t="s">
        <v>28</v>
      </c>
      <c r="E55" t="s">
        <v>20</v>
      </c>
      <c r="F55" t="s">
        <v>27</v>
      </c>
      <c r="G55" t="s">
        <v>23</v>
      </c>
      <c r="H55">
        <f t="shared" si="0"/>
        <v>54</v>
      </c>
      <c r="I55" t="s">
        <v>17</v>
      </c>
      <c r="J55" s="3">
        <v>13566</v>
      </c>
      <c r="K55" t="b">
        <v>0</v>
      </c>
      <c r="L55" t="b">
        <v>1</v>
      </c>
      <c r="M55" t="b">
        <v>0</v>
      </c>
    </row>
    <row r="56" spans="1:13" x14ac:dyDescent="0.3">
      <c r="A56">
        <v>25</v>
      </c>
      <c r="B56" t="s">
        <v>25</v>
      </c>
      <c r="C56" s="1">
        <v>6</v>
      </c>
      <c r="D56" t="s">
        <v>28</v>
      </c>
      <c r="E56" t="s">
        <v>26</v>
      </c>
      <c r="F56" t="s">
        <v>27</v>
      </c>
      <c r="G56" t="s">
        <v>23</v>
      </c>
      <c r="H56">
        <f t="shared" si="0"/>
        <v>55</v>
      </c>
      <c r="I56" t="s">
        <v>24</v>
      </c>
      <c r="J56" s="3">
        <v>13055</v>
      </c>
      <c r="K56" t="b">
        <v>0</v>
      </c>
      <c r="L56" t="b">
        <v>1</v>
      </c>
      <c r="M56" t="b">
        <v>1</v>
      </c>
    </row>
    <row r="57" spans="1:13" x14ac:dyDescent="0.3">
      <c r="A57">
        <v>64</v>
      </c>
      <c r="B57" t="s">
        <v>25</v>
      </c>
      <c r="C57" s="1">
        <v>4</v>
      </c>
      <c r="D57" t="s">
        <v>13</v>
      </c>
      <c r="E57" t="s">
        <v>26</v>
      </c>
      <c r="F57" t="s">
        <v>27</v>
      </c>
      <c r="G57" t="s">
        <v>29</v>
      </c>
      <c r="H57">
        <f t="shared" si="0"/>
        <v>56</v>
      </c>
      <c r="I57" t="s">
        <v>24</v>
      </c>
      <c r="J57" s="3">
        <v>18880</v>
      </c>
      <c r="K57" t="b">
        <v>1</v>
      </c>
      <c r="L57" t="b">
        <v>1</v>
      </c>
      <c r="M57" t="b">
        <v>1</v>
      </c>
    </row>
    <row r="58" spans="1:13" x14ac:dyDescent="0.3">
      <c r="A58">
        <v>52</v>
      </c>
      <c r="B58" t="s">
        <v>25</v>
      </c>
      <c r="C58" s="1">
        <v>2</v>
      </c>
      <c r="D58" t="s">
        <v>28</v>
      </c>
      <c r="E58" t="s">
        <v>20</v>
      </c>
      <c r="F58" t="s">
        <v>15</v>
      </c>
      <c r="G58" t="s">
        <v>16</v>
      </c>
      <c r="H58">
        <f t="shared" si="0"/>
        <v>57</v>
      </c>
      <c r="I58" t="s">
        <v>17</v>
      </c>
      <c r="J58" s="3">
        <v>10386</v>
      </c>
      <c r="K58" t="b">
        <v>0</v>
      </c>
      <c r="L58" t="b">
        <v>1</v>
      </c>
      <c r="M58" t="b">
        <v>0</v>
      </c>
    </row>
    <row r="59" spans="1:13" x14ac:dyDescent="0.3">
      <c r="A59">
        <v>31</v>
      </c>
      <c r="B59" t="s">
        <v>12</v>
      </c>
      <c r="C59" s="1">
        <v>2</v>
      </c>
      <c r="D59" t="s">
        <v>19</v>
      </c>
      <c r="E59" t="s">
        <v>26</v>
      </c>
      <c r="F59" t="s">
        <v>22</v>
      </c>
      <c r="G59" t="s">
        <v>23</v>
      </c>
      <c r="H59">
        <f t="shared" si="0"/>
        <v>58</v>
      </c>
      <c r="I59" t="s">
        <v>17</v>
      </c>
      <c r="J59" s="3">
        <v>10969</v>
      </c>
      <c r="K59" t="b">
        <v>1</v>
      </c>
      <c r="L59" t="b">
        <v>0</v>
      </c>
      <c r="M59" t="b">
        <v>0</v>
      </c>
    </row>
    <row r="60" spans="1:13" x14ac:dyDescent="0.3">
      <c r="A60">
        <v>34</v>
      </c>
      <c r="B60" t="s">
        <v>12</v>
      </c>
      <c r="C60" s="1">
        <v>9</v>
      </c>
      <c r="D60" t="s">
        <v>13</v>
      </c>
      <c r="E60" t="s">
        <v>20</v>
      </c>
      <c r="F60" t="s">
        <v>27</v>
      </c>
      <c r="G60" t="s">
        <v>29</v>
      </c>
      <c r="H60">
        <f t="shared" si="0"/>
        <v>59</v>
      </c>
      <c r="I60" t="s">
        <v>24</v>
      </c>
      <c r="J60" s="3">
        <v>19197</v>
      </c>
      <c r="K60" t="b">
        <v>1</v>
      </c>
      <c r="L60" t="b">
        <v>0</v>
      </c>
      <c r="M60" t="b">
        <v>0</v>
      </c>
    </row>
    <row r="61" spans="1:13" x14ac:dyDescent="0.3">
      <c r="A61">
        <v>53</v>
      </c>
      <c r="B61" t="s">
        <v>12</v>
      </c>
      <c r="C61" s="1">
        <v>5</v>
      </c>
      <c r="D61" t="s">
        <v>19</v>
      </c>
      <c r="E61" t="s">
        <v>14</v>
      </c>
      <c r="F61" t="s">
        <v>27</v>
      </c>
      <c r="G61" t="s">
        <v>23</v>
      </c>
      <c r="H61">
        <f t="shared" si="0"/>
        <v>60</v>
      </c>
      <c r="I61" t="s">
        <v>17</v>
      </c>
      <c r="J61" s="3">
        <v>15820</v>
      </c>
      <c r="K61" t="b">
        <v>0</v>
      </c>
      <c r="L61" t="b">
        <v>1</v>
      </c>
      <c r="M61" t="b">
        <v>1</v>
      </c>
    </row>
    <row r="62" spans="1:13" x14ac:dyDescent="0.3">
      <c r="A62">
        <v>57</v>
      </c>
      <c r="B62" t="s">
        <v>12</v>
      </c>
      <c r="C62" s="1">
        <v>4</v>
      </c>
      <c r="D62" t="s">
        <v>13</v>
      </c>
      <c r="E62" t="s">
        <v>20</v>
      </c>
      <c r="F62" t="s">
        <v>15</v>
      </c>
      <c r="G62" t="s">
        <v>16</v>
      </c>
      <c r="H62">
        <f t="shared" si="0"/>
        <v>61</v>
      </c>
      <c r="I62" t="s">
        <v>17</v>
      </c>
      <c r="J62" s="3">
        <v>13052</v>
      </c>
      <c r="K62" t="b">
        <v>1</v>
      </c>
      <c r="L62" t="b">
        <v>0</v>
      </c>
      <c r="M62" t="b">
        <v>0</v>
      </c>
    </row>
    <row r="63" spans="1:13" x14ac:dyDescent="0.3">
      <c r="A63">
        <v>21</v>
      </c>
      <c r="B63" t="s">
        <v>25</v>
      </c>
      <c r="C63" s="1">
        <v>1</v>
      </c>
      <c r="D63" t="s">
        <v>28</v>
      </c>
      <c r="E63" t="s">
        <v>14</v>
      </c>
      <c r="F63" t="s">
        <v>15</v>
      </c>
      <c r="G63" t="s">
        <v>23</v>
      </c>
      <c r="H63">
        <f t="shared" si="0"/>
        <v>62</v>
      </c>
      <c r="I63" t="s">
        <v>24</v>
      </c>
      <c r="J63" s="3">
        <v>17397</v>
      </c>
      <c r="K63" t="b">
        <v>0</v>
      </c>
      <c r="L63" t="b">
        <v>0</v>
      </c>
      <c r="M63" t="b">
        <v>0</v>
      </c>
    </row>
    <row r="64" spans="1:13" x14ac:dyDescent="0.3">
      <c r="A64">
        <v>19</v>
      </c>
      <c r="B64" t="s">
        <v>25</v>
      </c>
      <c r="C64" s="1">
        <v>7</v>
      </c>
      <c r="D64" t="s">
        <v>19</v>
      </c>
      <c r="E64" t="s">
        <v>14</v>
      </c>
      <c r="F64" t="s">
        <v>22</v>
      </c>
      <c r="G64" t="s">
        <v>16</v>
      </c>
      <c r="H64">
        <f t="shared" si="0"/>
        <v>63</v>
      </c>
      <c r="I64" t="s">
        <v>17</v>
      </c>
      <c r="J64" s="3">
        <v>12302</v>
      </c>
      <c r="K64" t="b">
        <v>0</v>
      </c>
      <c r="L64" t="b">
        <v>1</v>
      </c>
      <c r="M64" t="b">
        <v>1</v>
      </c>
    </row>
    <row r="65" spans="1:13" x14ac:dyDescent="0.3">
      <c r="A65">
        <v>23</v>
      </c>
      <c r="B65" t="s">
        <v>18</v>
      </c>
      <c r="C65" s="1">
        <v>3</v>
      </c>
      <c r="D65" t="s">
        <v>13</v>
      </c>
      <c r="E65" t="s">
        <v>26</v>
      </c>
      <c r="F65" t="s">
        <v>15</v>
      </c>
      <c r="G65" t="s">
        <v>16</v>
      </c>
      <c r="H65">
        <f t="shared" si="0"/>
        <v>64</v>
      </c>
      <c r="I65" t="s">
        <v>17</v>
      </c>
      <c r="J65" s="3">
        <v>12283</v>
      </c>
      <c r="K65" t="b">
        <v>0</v>
      </c>
      <c r="L65" t="b">
        <v>0</v>
      </c>
      <c r="M65" t="b">
        <v>1</v>
      </c>
    </row>
    <row r="66" spans="1:13" x14ac:dyDescent="0.3">
      <c r="A66">
        <v>59</v>
      </c>
      <c r="B66" t="s">
        <v>18</v>
      </c>
      <c r="C66" s="1">
        <v>6</v>
      </c>
      <c r="D66" t="s">
        <v>13</v>
      </c>
      <c r="E66" t="s">
        <v>26</v>
      </c>
      <c r="F66" t="s">
        <v>22</v>
      </c>
      <c r="G66" t="s">
        <v>23</v>
      </c>
      <c r="H66">
        <f t="shared" si="0"/>
        <v>65</v>
      </c>
      <c r="I66" t="s">
        <v>21</v>
      </c>
      <c r="J66" s="3">
        <v>19799</v>
      </c>
      <c r="K66" t="b">
        <v>0</v>
      </c>
      <c r="L66" t="b">
        <v>1</v>
      </c>
      <c r="M66" t="b">
        <v>0</v>
      </c>
    </row>
    <row r="67" spans="1:13" x14ac:dyDescent="0.3">
      <c r="A67">
        <v>21</v>
      </c>
      <c r="B67" t="s">
        <v>12</v>
      </c>
      <c r="C67" s="1">
        <v>5</v>
      </c>
      <c r="D67" t="s">
        <v>28</v>
      </c>
      <c r="E67" t="s">
        <v>26</v>
      </c>
      <c r="F67" t="s">
        <v>27</v>
      </c>
      <c r="G67" t="s">
        <v>23</v>
      </c>
      <c r="H67">
        <f t="shared" si="0"/>
        <v>66</v>
      </c>
      <c r="I67" t="s">
        <v>24</v>
      </c>
      <c r="J67" s="3">
        <v>14366</v>
      </c>
      <c r="K67" t="b">
        <v>0</v>
      </c>
      <c r="L67" t="b">
        <v>0</v>
      </c>
      <c r="M67" t="b">
        <v>1</v>
      </c>
    </row>
    <row r="68" spans="1:13" x14ac:dyDescent="0.3">
      <c r="A68">
        <v>46</v>
      </c>
      <c r="B68" t="s">
        <v>25</v>
      </c>
      <c r="C68" s="1">
        <v>5</v>
      </c>
      <c r="D68" t="s">
        <v>28</v>
      </c>
      <c r="E68" t="s">
        <v>20</v>
      </c>
      <c r="F68" t="s">
        <v>27</v>
      </c>
      <c r="G68" t="s">
        <v>16</v>
      </c>
      <c r="H68">
        <f t="shared" ref="H68:I131" si="1">H67+1</f>
        <v>67</v>
      </c>
      <c r="I68" t="s">
        <v>21</v>
      </c>
      <c r="J68" s="3">
        <v>10122</v>
      </c>
      <c r="K68" t="b">
        <v>1</v>
      </c>
      <c r="L68" t="b">
        <v>0</v>
      </c>
      <c r="M68" t="b">
        <v>1</v>
      </c>
    </row>
    <row r="69" spans="1:13" x14ac:dyDescent="0.3">
      <c r="A69">
        <v>35</v>
      </c>
      <c r="B69" t="s">
        <v>25</v>
      </c>
      <c r="C69" s="1">
        <v>5</v>
      </c>
      <c r="D69" t="s">
        <v>28</v>
      </c>
      <c r="E69" t="s">
        <v>20</v>
      </c>
      <c r="F69" t="s">
        <v>22</v>
      </c>
      <c r="G69" t="s">
        <v>29</v>
      </c>
      <c r="H69">
        <f t="shared" si="1"/>
        <v>68</v>
      </c>
      <c r="I69" t="s">
        <v>21</v>
      </c>
      <c r="J69" s="3">
        <v>16799</v>
      </c>
      <c r="K69" t="b">
        <v>0</v>
      </c>
      <c r="L69" t="b">
        <v>0</v>
      </c>
      <c r="M69" t="b">
        <v>1</v>
      </c>
    </row>
    <row r="70" spans="1:13" x14ac:dyDescent="0.3">
      <c r="A70">
        <v>43</v>
      </c>
      <c r="B70" t="s">
        <v>25</v>
      </c>
      <c r="C70" s="1">
        <v>1</v>
      </c>
      <c r="D70" t="s">
        <v>19</v>
      </c>
      <c r="E70" t="s">
        <v>26</v>
      </c>
      <c r="F70" t="s">
        <v>15</v>
      </c>
      <c r="G70" t="s">
        <v>16</v>
      </c>
      <c r="H70">
        <f t="shared" si="1"/>
        <v>69</v>
      </c>
      <c r="I70" t="s">
        <v>21</v>
      </c>
      <c r="J70" s="3">
        <v>19472</v>
      </c>
      <c r="K70" t="b">
        <v>0</v>
      </c>
      <c r="L70" t="b">
        <v>0</v>
      </c>
      <c r="M70" t="b">
        <v>0</v>
      </c>
    </row>
    <row r="71" spans="1:13" x14ac:dyDescent="0.3">
      <c r="A71">
        <v>61</v>
      </c>
      <c r="B71" t="s">
        <v>18</v>
      </c>
      <c r="C71" s="1">
        <v>1</v>
      </c>
      <c r="D71" t="s">
        <v>13</v>
      </c>
      <c r="E71" t="s">
        <v>20</v>
      </c>
      <c r="F71" t="s">
        <v>22</v>
      </c>
      <c r="G71" t="s">
        <v>23</v>
      </c>
      <c r="H71">
        <f t="shared" si="1"/>
        <v>70</v>
      </c>
      <c r="I71" t="s">
        <v>17</v>
      </c>
      <c r="J71" s="3">
        <v>13727</v>
      </c>
      <c r="K71" t="b">
        <v>1</v>
      </c>
      <c r="L71" t="b">
        <v>0</v>
      </c>
      <c r="M71" t="b">
        <v>0</v>
      </c>
    </row>
    <row r="72" spans="1:13" x14ac:dyDescent="0.3">
      <c r="A72">
        <v>51</v>
      </c>
      <c r="B72" t="s">
        <v>18</v>
      </c>
      <c r="C72" s="1">
        <v>3</v>
      </c>
      <c r="D72" t="s">
        <v>28</v>
      </c>
      <c r="E72" t="s">
        <v>26</v>
      </c>
      <c r="F72" t="s">
        <v>15</v>
      </c>
      <c r="G72" t="s">
        <v>23</v>
      </c>
      <c r="H72">
        <f t="shared" si="1"/>
        <v>71</v>
      </c>
      <c r="I72" t="s">
        <v>17</v>
      </c>
      <c r="J72" s="3">
        <v>18450</v>
      </c>
      <c r="K72" t="b">
        <v>0</v>
      </c>
      <c r="L72" t="b">
        <v>0</v>
      </c>
      <c r="M72" t="b">
        <v>1</v>
      </c>
    </row>
    <row r="73" spans="1:13" x14ac:dyDescent="0.3">
      <c r="A73">
        <v>27</v>
      </c>
      <c r="B73" t="s">
        <v>25</v>
      </c>
      <c r="C73" s="1">
        <v>4</v>
      </c>
      <c r="D73" t="s">
        <v>19</v>
      </c>
      <c r="E73" t="s">
        <v>20</v>
      </c>
      <c r="F73" t="s">
        <v>27</v>
      </c>
      <c r="G73" t="s">
        <v>29</v>
      </c>
      <c r="H73">
        <f t="shared" si="1"/>
        <v>72</v>
      </c>
      <c r="I73" t="s">
        <v>21</v>
      </c>
      <c r="J73" s="3">
        <v>19139</v>
      </c>
      <c r="K73" t="b">
        <v>0</v>
      </c>
      <c r="L73" t="b">
        <v>0</v>
      </c>
      <c r="M73" t="b">
        <v>1</v>
      </c>
    </row>
    <row r="74" spans="1:13" x14ac:dyDescent="0.3">
      <c r="A74">
        <v>53</v>
      </c>
      <c r="B74" t="s">
        <v>25</v>
      </c>
      <c r="C74" s="1">
        <v>5</v>
      </c>
      <c r="D74" t="s">
        <v>19</v>
      </c>
      <c r="E74" t="s">
        <v>14</v>
      </c>
      <c r="F74" t="s">
        <v>15</v>
      </c>
      <c r="G74" t="s">
        <v>16</v>
      </c>
      <c r="H74">
        <f t="shared" si="1"/>
        <v>73</v>
      </c>
      <c r="I74" t="s">
        <v>21</v>
      </c>
      <c r="J74" s="3">
        <v>14958</v>
      </c>
      <c r="K74" t="b">
        <v>1</v>
      </c>
      <c r="L74" t="b">
        <v>1</v>
      </c>
      <c r="M74" t="b">
        <v>1</v>
      </c>
    </row>
    <row r="75" spans="1:13" x14ac:dyDescent="0.3">
      <c r="A75">
        <v>31</v>
      </c>
      <c r="B75" t="s">
        <v>25</v>
      </c>
      <c r="C75" s="1">
        <v>2</v>
      </c>
      <c r="D75" t="s">
        <v>19</v>
      </c>
      <c r="E75" t="s">
        <v>14</v>
      </c>
      <c r="F75" t="s">
        <v>22</v>
      </c>
      <c r="G75" t="s">
        <v>16</v>
      </c>
      <c r="H75">
        <f t="shared" si="1"/>
        <v>74</v>
      </c>
      <c r="I75" t="s">
        <v>21</v>
      </c>
      <c r="J75" s="3">
        <v>10524</v>
      </c>
      <c r="K75" t="b">
        <v>1</v>
      </c>
      <c r="L75" t="b">
        <v>1</v>
      </c>
      <c r="M75" t="b">
        <v>0</v>
      </c>
    </row>
    <row r="76" spans="1:13" x14ac:dyDescent="0.3">
      <c r="A76">
        <v>48</v>
      </c>
      <c r="B76" t="s">
        <v>18</v>
      </c>
      <c r="C76" s="1">
        <v>8</v>
      </c>
      <c r="D76" t="s">
        <v>28</v>
      </c>
      <c r="E76" t="s">
        <v>26</v>
      </c>
      <c r="F76" t="s">
        <v>22</v>
      </c>
      <c r="G76" t="s">
        <v>16</v>
      </c>
      <c r="H76">
        <f t="shared" si="1"/>
        <v>75</v>
      </c>
      <c r="I76" t="s">
        <v>17</v>
      </c>
      <c r="J76" s="3">
        <v>19079</v>
      </c>
      <c r="K76" t="b">
        <v>0</v>
      </c>
      <c r="L76" t="b">
        <v>1</v>
      </c>
      <c r="M76" t="b">
        <v>1</v>
      </c>
    </row>
    <row r="77" spans="1:13" x14ac:dyDescent="0.3">
      <c r="A77">
        <v>32</v>
      </c>
      <c r="B77" t="s">
        <v>25</v>
      </c>
      <c r="C77" s="1">
        <v>2</v>
      </c>
      <c r="D77" t="s">
        <v>28</v>
      </c>
      <c r="E77" t="s">
        <v>20</v>
      </c>
      <c r="F77" t="s">
        <v>27</v>
      </c>
      <c r="G77" t="s">
        <v>23</v>
      </c>
      <c r="H77">
        <f t="shared" si="1"/>
        <v>76</v>
      </c>
      <c r="I77" t="s">
        <v>21</v>
      </c>
      <c r="J77" s="3">
        <v>18399</v>
      </c>
      <c r="K77" t="b">
        <v>1</v>
      </c>
      <c r="L77" t="b">
        <v>1</v>
      </c>
      <c r="M77" t="b">
        <v>1</v>
      </c>
    </row>
    <row r="78" spans="1:13" x14ac:dyDescent="0.3">
      <c r="A78">
        <v>25</v>
      </c>
      <c r="B78" t="s">
        <v>25</v>
      </c>
      <c r="C78" s="1">
        <v>9</v>
      </c>
      <c r="D78" t="s">
        <v>13</v>
      </c>
      <c r="E78" t="s">
        <v>20</v>
      </c>
      <c r="F78" t="s">
        <v>15</v>
      </c>
      <c r="G78" t="s">
        <v>16</v>
      </c>
      <c r="H78">
        <f t="shared" si="1"/>
        <v>77</v>
      </c>
      <c r="I78" t="s">
        <v>21</v>
      </c>
      <c r="J78" s="3">
        <v>10148</v>
      </c>
      <c r="K78" t="b">
        <v>0</v>
      </c>
      <c r="L78" t="b">
        <v>0</v>
      </c>
      <c r="M78" t="b">
        <v>0</v>
      </c>
    </row>
    <row r="79" spans="1:13" x14ac:dyDescent="0.3">
      <c r="A79">
        <v>31</v>
      </c>
      <c r="B79" t="s">
        <v>12</v>
      </c>
      <c r="C79" s="1">
        <v>2</v>
      </c>
      <c r="D79" t="s">
        <v>13</v>
      </c>
      <c r="E79" t="s">
        <v>14</v>
      </c>
      <c r="F79" t="s">
        <v>15</v>
      </c>
      <c r="G79" t="s">
        <v>29</v>
      </c>
      <c r="H79">
        <f t="shared" si="1"/>
        <v>78</v>
      </c>
      <c r="I79" t="s">
        <v>24</v>
      </c>
      <c r="J79" s="3">
        <v>18001</v>
      </c>
      <c r="K79" t="b">
        <v>1</v>
      </c>
      <c r="L79" t="b">
        <v>0</v>
      </c>
      <c r="M79" t="b">
        <v>1</v>
      </c>
    </row>
    <row r="80" spans="1:13" x14ac:dyDescent="0.3">
      <c r="A80">
        <v>40</v>
      </c>
      <c r="B80" t="s">
        <v>12</v>
      </c>
      <c r="C80" s="1">
        <v>9</v>
      </c>
      <c r="D80" t="s">
        <v>28</v>
      </c>
      <c r="E80" t="s">
        <v>14</v>
      </c>
      <c r="F80" t="s">
        <v>15</v>
      </c>
      <c r="G80" t="s">
        <v>23</v>
      </c>
      <c r="H80">
        <f t="shared" si="1"/>
        <v>79</v>
      </c>
      <c r="I80" t="s">
        <v>24</v>
      </c>
      <c r="J80" s="3">
        <v>10437</v>
      </c>
      <c r="K80" t="b">
        <v>0</v>
      </c>
      <c r="L80" t="b">
        <v>0</v>
      </c>
      <c r="M80" t="b">
        <v>0</v>
      </c>
    </row>
    <row r="81" spans="1:13" x14ac:dyDescent="0.3">
      <c r="A81">
        <v>57</v>
      </c>
      <c r="B81" t="s">
        <v>18</v>
      </c>
      <c r="C81" s="1">
        <v>7</v>
      </c>
      <c r="D81" t="s">
        <v>19</v>
      </c>
      <c r="E81" t="s">
        <v>26</v>
      </c>
      <c r="F81" t="s">
        <v>27</v>
      </c>
      <c r="G81" t="s">
        <v>23</v>
      </c>
      <c r="H81">
        <f t="shared" si="1"/>
        <v>80</v>
      </c>
      <c r="I81" t="s">
        <v>17</v>
      </c>
      <c r="J81" s="3">
        <v>13749</v>
      </c>
      <c r="K81" t="b">
        <v>0</v>
      </c>
      <c r="L81" t="b">
        <v>1</v>
      </c>
      <c r="M81" t="b">
        <v>0</v>
      </c>
    </row>
    <row r="82" spans="1:13" x14ac:dyDescent="0.3">
      <c r="A82">
        <v>38</v>
      </c>
      <c r="B82" t="s">
        <v>25</v>
      </c>
      <c r="C82" s="1">
        <v>8</v>
      </c>
      <c r="D82" t="s">
        <v>19</v>
      </c>
      <c r="E82" t="s">
        <v>14</v>
      </c>
      <c r="F82" t="s">
        <v>15</v>
      </c>
      <c r="G82" t="s">
        <v>16</v>
      </c>
      <c r="H82">
        <f t="shared" si="1"/>
        <v>81</v>
      </c>
      <c r="I82" t="s">
        <v>24</v>
      </c>
      <c r="J82" s="3">
        <v>18186</v>
      </c>
      <c r="K82" t="b">
        <v>0</v>
      </c>
      <c r="L82" t="b">
        <v>1</v>
      </c>
      <c r="M82" t="b">
        <v>0</v>
      </c>
    </row>
    <row r="83" spans="1:13" x14ac:dyDescent="0.3">
      <c r="A83">
        <v>33</v>
      </c>
      <c r="B83" t="s">
        <v>25</v>
      </c>
      <c r="C83" s="1">
        <v>2</v>
      </c>
      <c r="D83" t="s">
        <v>19</v>
      </c>
      <c r="E83" t="s">
        <v>26</v>
      </c>
      <c r="F83" t="s">
        <v>22</v>
      </c>
      <c r="G83" t="s">
        <v>29</v>
      </c>
      <c r="H83">
        <f t="shared" si="1"/>
        <v>82</v>
      </c>
      <c r="I83" t="s">
        <v>24</v>
      </c>
      <c r="J83" s="3">
        <v>14453</v>
      </c>
      <c r="K83" t="b">
        <v>1</v>
      </c>
      <c r="L83" t="b">
        <v>1</v>
      </c>
      <c r="M83" t="b">
        <v>1</v>
      </c>
    </row>
    <row r="84" spans="1:13" x14ac:dyDescent="0.3">
      <c r="A84">
        <v>62</v>
      </c>
      <c r="B84" t="s">
        <v>12</v>
      </c>
      <c r="C84" s="1">
        <v>7</v>
      </c>
      <c r="D84" t="s">
        <v>13</v>
      </c>
      <c r="E84" t="s">
        <v>14</v>
      </c>
      <c r="F84" t="s">
        <v>15</v>
      </c>
      <c r="G84" t="s">
        <v>23</v>
      </c>
      <c r="H84">
        <f t="shared" si="1"/>
        <v>83</v>
      </c>
      <c r="I84" t="s">
        <v>24</v>
      </c>
      <c r="J84" s="3">
        <v>15336</v>
      </c>
      <c r="K84" t="b">
        <v>0</v>
      </c>
      <c r="L84" t="b">
        <v>0</v>
      </c>
      <c r="M84" t="b">
        <v>1</v>
      </c>
    </row>
    <row r="85" spans="1:13" x14ac:dyDescent="0.3">
      <c r="A85">
        <v>35</v>
      </c>
      <c r="B85" t="s">
        <v>18</v>
      </c>
      <c r="C85" s="1">
        <v>6</v>
      </c>
      <c r="D85" t="s">
        <v>19</v>
      </c>
      <c r="E85" t="s">
        <v>14</v>
      </c>
      <c r="F85" t="s">
        <v>27</v>
      </c>
      <c r="G85" t="s">
        <v>23</v>
      </c>
      <c r="H85">
        <f t="shared" si="1"/>
        <v>84</v>
      </c>
      <c r="I85" t="s">
        <v>17</v>
      </c>
      <c r="J85" s="3">
        <v>14551</v>
      </c>
      <c r="K85" t="b">
        <v>1</v>
      </c>
      <c r="L85" t="b">
        <v>1</v>
      </c>
      <c r="M85" t="b">
        <v>0</v>
      </c>
    </row>
    <row r="86" spans="1:13" x14ac:dyDescent="0.3">
      <c r="A86">
        <v>64</v>
      </c>
      <c r="B86" t="s">
        <v>12</v>
      </c>
      <c r="C86" s="1">
        <v>4</v>
      </c>
      <c r="D86" t="s">
        <v>13</v>
      </c>
      <c r="E86" t="s">
        <v>20</v>
      </c>
      <c r="F86" t="s">
        <v>15</v>
      </c>
      <c r="G86" t="s">
        <v>16</v>
      </c>
      <c r="H86">
        <f t="shared" si="1"/>
        <v>85</v>
      </c>
      <c r="I86" t="s">
        <v>24</v>
      </c>
      <c r="J86" s="3">
        <v>12823</v>
      </c>
      <c r="K86" t="b">
        <v>0</v>
      </c>
      <c r="L86" t="b">
        <v>0</v>
      </c>
      <c r="M86" t="b">
        <v>1</v>
      </c>
    </row>
    <row r="87" spans="1:13" x14ac:dyDescent="0.3">
      <c r="A87">
        <v>41</v>
      </c>
      <c r="B87" t="s">
        <v>12</v>
      </c>
      <c r="C87" s="1">
        <v>7</v>
      </c>
      <c r="D87" t="s">
        <v>13</v>
      </c>
      <c r="E87" t="s">
        <v>14</v>
      </c>
      <c r="F87" t="s">
        <v>15</v>
      </c>
      <c r="G87" t="s">
        <v>16</v>
      </c>
      <c r="H87">
        <f t="shared" si="1"/>
        <v>86</v>
      </c>
      <c r="I87" t="s">
        <v>17</v>
      </c>
      <c r="J87" s="3">
        <v>15728</v>
      </c>
      <c r="K87" t="b">
        <v>0</v>
      </c>
      <c r="L87" t="b">
        <v>1</v>
      </c>
      <c r="M87" t="b">
        <v>0</v>
      </c>
    </row>
    <row r="88" spans="1:13" x14ac:dyDescent="0.3">
      <c r="A88">
        <v>43</v>
      </c>
      <c r="B88" t="s">
        <v>12</v>
      </c>
      <c r="C88" s="1">
        <v>4</v>
      </c>
      <c r="D88" t="s">
        <v>19</v>
      </c>
      <c r="E88" t="s">
        <v>14</v>
      </c>
      <c r="F88" t="s">
        <v>22</v>
      </c>
      <c r="G88" t="s">
        <v>29</v>
      </c>
      <c r="H88">
        <f t="shared" si="1"/>
        <v>87</v>
      </c>
      <c r="I88" t="s">
        <v>21</v>
      </c>
      <c r="J88" s="3">
        <v>18677</v>
      </c>
      <c r="K88" t="b">
        <v>0</v>
      </c>
      <c r="L88" t="b">
        <v>0</v>
      </c>
      <c r="M88" t="b">
        <v>1</v>
      </c>
    </row>
    <row r="89" spans="1:13" x14ac:dyDescent="0.3">
      <c r="A89">
        <v>42</v>
      </c>
      <c r="B89" t="s">
        <v>12</v>
      </c>
      <c r="C89" s="1">
        <v>2</v>
      </c>
      <c r="D89" t="s">
        <v>19</v>
      </c>
      <c r="E89" t="s">
        <v>26</v>
      </c>
      <c r="F89" t="s">
        <v>15</v>
      </c>
      <c r="G89" t="s">
        <v>16</v>
      </c>
      <c r="H89">
        <f t="shared" si="1"/>
        <v>88</v>
      </c>
      <c r="I89" t="s">
        <v>24</v>
      </c>
      <c r="J89" s="3">
        <v>18391</v>
      </c>
      <c r="K89" t="b">
        <v>0</v>
      </c>
      <c r="L89" t="b">
        <v>1</v>
      </c>
      <c r="M89" t="b">
        <v>0</v>
      </c>
    </row>
    <row r="90" spans="1:13" x14ac:dyDescent="0.3">
      <c r="A90">
        <v>62</v>
      </c>
      <c r="B90" t="s">
        <v>25</v>
      </c>
      <c r="C90" s="1">
        <v>7</v>
      </c>
      <c r="D90" t="s">
        <v>28</v>
      </c>
      <c r="E90" t="s">
        <v>14</v>
      </c>
      <c r="F90" t="s">
        <v>22</v>
      </c>
      <c r="G90" t="s">
        <v>29</v>
      </c>
      <c r="H90">
        <f t="shared" si="1"/>
        <v>89</v>
      </c>
      <c r="I90" t="s">
        <v>17</v>
      </c>
      <c r="J90" s="3">
        <v>11982</v>
      </c>
      <c r="K90" t="b">
        <v>0</v>
      </c>
      <c r="L90" t="b">
        <v>0</v>
      </c>
      <c r="M90" t="b">
        <v>0</v>
      </c>
    </row>
    <row r="91" spans="1:13" x14ac:dyDescent="0.3">
      <c r="A91">
        <v>58</v>
      </c>
      <c r="B91" t="s">
        <v>25</v>
      </c>
      <c r="C91" s="1">
        <v>8</v>
      </c>
      <c r="D91" t="s">
        <v>28</v>
      </c>
      <c r="E91" t="s">
        <v>26</v>
      </c>
      <c r="F91" t="s">
        <v>22</v>
      </c>
      <c r="G91" t="s">
        <v>23</v>
      </c>
      <c r="H91">
        <f t="shared" si="1"/>
        <v>90</v>
      </c>
      <c r="I91" t="s">
        <v>24</v>
      </c>
      <c r="J91" s="3">
        <v>16996</v>
      </c>
      <c r="K91" t="b">
        <v>1</v>
      </c>
      <c r="L91" t="b">
        <v>1</v>
      </c>
      <c r="M91" t="b">
        <v>1</v>
      </c>
    </row>
    <row r="92" spans="1:13" x14ac:dyDescent="0.3">
      <c r="A92">
        <v>46</v>
      </c>
      <c r="B92" t="s">
        <v>12</v>
      </c>
      <c r="C92" s="1">
        <v>2</v>
      </c>
      <c r="D92" t="s">
        <v>19</v>
      </c>
      <c r="E92" t="s">
        <v>14</v>
      </c>
      <c r="F92" t="s">
        <v>27</v>
      </c>
      <c r="G92" t="s">
        <v>29</v>
      </c>
      <c r="H92">
        <f t="shared" si="1"/>
        <v>91</v>
      </c>
      <c r="I92" t="s">
        <v>21</v>
      </c>
      <c r="J92" s="3">
        <v>19663</v>
      </c>
      <c r="K92" t="b">
        <v>1</v>
      </c>
      <c r="L92" t="b">
        <v>1</v>
      </c>
      <c r="M92" t="b">
        <v>1</v>
      </c>
    </row>
    <row r="93" spans="1:13" x14ac:dyDescent="0.3">
      <c r="A93">
        <v>32</v>
      </c>
      <c r="B93" t="s">
        <v>18</v>
      </c>
      <c r="C93" s="1">
        <v>5</v>
      </c>
      <c r="D93" t="s">
        <v>13</v>
      </c>
      <c r="E93" t="s">
        <v>14</v>
      </c>
      <c r="F93" t="s">
        <v>22</v>
      </c>
      <c r="G93" t="s">
        <v>29</v>
      </c>
      <c r="H93">
        <f t="shared" si="1"/>
        <v>92</v>
      </c>
      <c r="I93" t="s">
        <v>17</v>
      </c>
      <c r="J93" s="3">
        <v>12311</v>
      </c>
      <c r="K93" t="b">
        <v>1</v>
      </c>
      <c r="L93" t="b">
        <v>0</v>
      </c>
      <c r="M93" t="b">
        <v>1</v>
      </c>
    </row>
    <row r="94" spans="1:13" x14ac:dyDescent="0.3">
      <c r="A94">
        <v>62</v>
      </c>
      <c r="B94" t="s">
        <v>18</v>
      </c>
      <c r="C94" s="1">
        <v>1</v>
      </c>
      <c r="D94" t="s">
        <v>13</v>
      </c>
      <c r="E94" t="s">
        <v>26</v>
      </c>
      <c r="F94" t="s">
        <v>22</v>
      </c>
      <c r="G94" t="s">
        <v>29</v>
      </c>
      <c r="H94">
        <f t="shared" si="1"/>
        <v>93</v>
      </c>
      <c r="I94" t="s">
        <v>17</v>
      </c>
      <c r="J94" s="3">
        <v>17225</v>
      </c>
      <c r="K94" t="b">
        <v>0</v>
      </c>
      <c r="L94" t="b">
        <v>0</v>
      </c>
      <c r="M94" t="b">
        <v>1</v>
      </c>
    </row>
    <row r="95" spans="1:13" x14ac:dyDescent="0.3">
      <c r="A95">
        <v>18</v>
      </c>
      <c r="B95" t="s">
        <v>18</v>
      </c>
      <c r="C95" s="1">
        <v>7</v>
      </c>
      <c r="D95" t="s">
        <v>13</v>
      </c>
      <c r="E95" t="s">
        <v>20</v>
      </c>
      <c r="F95" t="s">
        <v>27</v>
      </c>
      <c r="G95" t="s">
        <v>23</v>
      </c>
      <c r="H95">
        <f t="shared" si="1"/>
        <v>94</v>
      </c>
      <c r="I95" t="s">
        <v>17</v>
      </c>
      <c r="J95" s="3">
        <v>19713</v>
      </c>
      <c r="K95" t="b">
        <v>0</v>
      </c>
      <c r="L95" t="b">
        <v>1</v>
      </c>
      <c r="M95" t="b">
        <v>0</v>
      </c>
    </row>
    <row r="96" spans="1:13" x14ac:dyDescent="0.3">
      <c r="A96">
        <v>42</v>
      </c>
      <c r="B96" t="s">
        <v>18</v>
      </c>
      <c r="C96" s="1">
        <v>8</v>
      </c>
      <c r="D96" t="s">
        <v>13</v>
      </c>
      <c r="E96" t="s">
        <v>26</v>
      </c>
      <c r="F96" t="s">
        <v>22</v>
      </c>
      <c r="G96" t="s">
        <v>16</v>
      </c>
      <c r="H96">
        <f t="shared" si="1"/>
        <v>95</v>
      </c>
      <c r="I96" t="s">
        <v>21</v>
      </c>
      <c r="J96" s="3">
        <v>10604</v>
      </c>
      <c r="K96" t="b">
        <v>1</v>
      </c>
      <c r="L96" t="b">
        <v>0</v>
      </c>
      <c r="M96" t="b">
        <v>0</v>
      </c>
    </row>
    <row r="97" spans="1:13" x14ac:dyDescent="0.3">
      <c r="A97">
        <v>24</v>
      </c>
      <c r="B97" t="s">
        <v>12</v>
      </c>
      <c r="C97" s="1">
        <v>6</v>
      </c>
      <c r="D97" t="s">
        <v>13</v>
      </c>
      <c r="E97" t="s">
        <v>26</v>
      </c>
      <c r="F97" t="s">
        <v>27</v>
      </c>
      <c r="G97" t="s">
        <v>23</v>
      </c>
      <c r="H97">
        <f t="shared" si="1"/>
        <v>96</v>
      </c>
      <c r="I97" t="s">
        <v>21</v>
      </c>
      <c r="J97" s="3">
        <v>18175</v>
      </c>
      <c r="K97" t="b">
        <v>0</v>
      </c>
      <c r="L97" t="b">
        <v>1</v>
      </c>
      <c r="M97" t="b">
        <v>1</v>
      </c>
    </row>
    <row r="98" spans="1:13" x14ac:dyDescent="0.3">
      <c r="A98">
        <v>26</v>
      </c>
      <c r="B98" t="s">
        <v>25</v>
      </c>
      <c r="C98" s="1">
        <v>5</v>
      </c>
      <c r="D98" t="s">
        <v>28</v>
      </c>
      <c r="E98" t="s">
        <v>26</v>
      </c>
      <c r="F98" t="s">
        <v>15</v>
      </c>
      <c r="G98" t="s">
        <v>16</v>
      </c>
      <c r="H98">
        <f t="shared" si="1"/>
        <v>97</v>
      </c>
      <c r="I98" t="s">
        <v>21</v>
      </c>
      <c r="J98" s="3">
        <v>15785</v>
      </c>
      <c r="K98" t="b">
        <v>0</v>
      </c>
      <c r="L98" t="b">
        <v>0</v>
      </c>
      <c r="M98" t="b">
        <v>1</v>
      </c>
    </row>
    <row r="99" spans="1:13" x14ac:dyDescent="0.3">
      <c r="A99">
        <v>41</v>
      </c>
      <c r="B99" t="s">
        <v>18</v>
      </c>
      <c r="C99" s="1">
        <v>6</v>
      </c>
      <c r="D99" t="s">
        <v>19</v>
      </c>
      <c r="E99" t="s">
        <v>20</v>
      </c>
      <c r="F99" t="s">
        <v>27</v>
      </c>
      <c r="G99" t="s">
        <v>29</v>
      </c>
      <c r="H99">
        <f t="shared" si="1"/>
        <v>98</v>
      </c>
      <c r="I99" t="s">
        <v>17</v>
      </c>
      <c r="J99" s="3">
        <v>19609</v>
      </c>
      <c r="K99" t="b">
        <v>0</v>
      </c>
      <c r="L99" t="b">
        <v>1</v>
      </c>
      <c r="M99" t="b">
        <v>0</v>
      </c>
    </row>
    <row r="100" spans="1:13" x14ac:dyDescent="0.3">
      <c r="A100">
        <v>18</v>
      </c>
      <c r="B100" t="s">
        <v>12</v>
      </c>
      <c r="C100" s="1">
        <v>2</v>
      </c>
      <c r="D100" t="s">
        <v>28</v>
      </c>
      <c r="E100" t="s">
        <v>14</v>
      </c>
      <c r="F100" t="s">
        <v>22</v>
      </c>
      <c r="G100" t="s">
        <v>29</v>
      </c>
      <c r="H100">
        <f t="shared" si="1"/>
        <v>99</v>
      </c>
      <c r="I100" t="s">
        <v>21</v>
      </c>
      <c r="J100" s="3">
        <v>14597</v>
      </c>
      <c r="K100" t="b">
        <v>1</v>
      </c>
      <c r="L100" t="b">
        <v>0</v>
      </c>
      <c r="M100" t="b">
        <v>1</v>
      </c>
    </row>
    <row r="101" spans="1:13" x14ac:dyDescent="0.3">
      <c r="A101">
        <v>61</v>
      </c>
      <c r="B101" t="s">
        <v>18</v>
      </c>
      <c r="C101" s="1">
        <v>1</v>
      </c>
      <c r="D101" t="s">
        <v>13</v>
      </c>
      <c r="E101" t="s">
        <v>26</v>
      </c>
      <c r="F101" t="s">
        <v>27</v>
      </c>
      <c r="G101" t="s">
        <v>29</v>
      </c>
      <c r="H101">
        <f t="shared" si="1"/>
        <v>100</v>
      </c>
      <c r="I101" t="s">
        <v>24</v>
      </c>
      <c r="J101" s="3">
        <v>17759</v>
      </c>
      <c r="K101" t="b">
        <v>1</v>
      </c>
      <c r="L101" t="b">
        <v>1</v>
      </c>
      <c r="M101" t="b">
        <v>1</v>
      </c>
    </row>
    <row r="102" spans="1:13" x14ac:dyDescent="0.3">
      <c r="A102">
        <v>25</v>
      </c>
      <c r="B102" t="s">
        <v>18</v>
      </c>
      <c r="C102" s="1">
        <v>7</v>
      </c>
      <c r="D102" t="s">
        <v>13</v>
      </c>
      <c r="E102" t="s">
        <v>26</v>
      </c>
      <c r="F102" t="s">
        <v>22</v>
      </c>
      <c r="G102" t="s">
        <v>29</v>
      </c>
      <c r="H102">
        <f t="shared" si="1"/>
        <v>101</v>
      </c>
      <c r="I102" t="s">
        <v>21</v>
      </c>
      <c r="J102" s="3">
        <v>17532</v>
      </c>
      <c r="K102" t="b">
        <v>1</v>
      </c>
      <c r="L102" t="b">
        <v>1</v>
      </c>
      <c r="M102" t="b">
        <v>1</v>
      </c>
    </row>
    <row r="103" spans="1:13" x14ac:dyDescent="0.3">
      <c r="A103">
        <v>41</v>
      </c>
      <c r="B103" t="s">
        <v>12</v>
      </c>
      <c r="C103" s="1">
        <v>7</v>
      </c>
      <c r="D103" t="s">
        <v>13</v>
      </c>
      <c r="E103" t="s">
        <v>20</v>
      </c>
      <c r="F103" t="s">
        <v>15</v>
      </c>
      <c r="G103" t="s">
        <v>29</v>
      </c>
      <c r="H103">
        <f t="shared" si="1"/>
        <v>102</v>
      </c>
      <c r="I103" t="s">
        <v>17</v>
      </c>
      <c r="J103" s="3">
        <v>18740</v>
      </c>
      <c r="K103" t="b">
        <v>1</v>
      </c>
      <c r="L103" t="b">
        <v>1</v>
      </c>
      <c r="M103" t="b">
        <v>1</v>
      </c>
    </row>
    <row r="104" spans="1:13" x14ac:dyDescent="0.3">
      <c r="A104">
        <v>28</v>
      </c>
      <c r="B104" t="s">
        <v>25</v>
      </c>
      <c r="C104" s="1">
        <v>2</v>
      </c>
      <c r="D104" t="s">
        <v>13</v>
      </c>
      <c r="E104" t="s">
        <v>26</v>
      </c>
      <c r="F104" t="s">
        <v>27</v>
      </c>
      <c r="G104" t="s">
        <v>16</v>
      </c>
      <c r="H104">
        <f t="shared" si="1"/>
        <v>103</v>
      </c>
      <c r="I104" t="s">
        <v>24</v>
      </c>
      <c r="J104" s="3">
        <v>10838</v>
      </c>
      <c r="K104" t="b">
        <v>1</v>
      </c>
      <c r="L104" t="b">
        <v>0</v>
      </c>
      <c r="M104" t="b">
        <v>0</v>
      </c>
    </row>
    <row r="105" spans="1:13" x14ac:dyDescent="0.3">
      <c r="A105">
        <v>34</v>
      </c>
      <c r="B105" t="s">
        <v>25</v>
      </c>
      <c r="C105" s="1">
        <v>2</v>
      </c>
      <c r="D105" t="s">
        <v>19</v>
      </c>
      <c r="E105" t="s">
        <v>14</v>
      </c>
      <c r="F105" t="s">
        <v>15</v>
      </c>
      <c r="G105" t="s">
        <v>16</v>
      </c>
      <c r="H105">
        <f t="shared" si="1"/>
        <v>104</v>
      </c>
      <c r="I105" t="s">
        <v>21</v>
      </c>
      <c r="J105" s="3">
        <v>13815</v>
      </c>
      <c r="K105" t="b">
        <v>0</v>
      </c>
      <c r="L105" t="b">
        <v>1</v>
      </c>
      <c r="M105" t="b">
        <v>0</v>
      </c>
    </row>
    <row r="106" spans="1:13" x14ac:dyDescent="0.3">
      <c r="A106">
        <v>25</v>
      </c>
      <c r="B106" t="s">
        <v>12</v>
      </c>
      <c r="C106" s="1">
        <v>1</v>
      </c>
      <c r="D106" t="s">
        <v>13</v>
      </c>
      <c r="E106" t="s">
        <v>20</v>
      </c>
      <c r="F106" t="s">
        <v>22</v>
      </c>
      <c r="G106" t="s">
        <v>29</v>
      </c>
      <c r="H106">
        <f t="shared" si="1"/>
        <v>105</v>
      </c>
      <c r="I106" t="s">
        <v>24</v>
      </c>
      <c r="J106" s="3">
        <v>10847</v>
      </c>
      <c r="K106" t="b">
        <v>0</v>
      </c>
      <c r="L106" t="b">
        <v>0</v>
      </c>
      <c r="M106" t="b">
        <v>1</v>
      </c>
    </row>
    <row r="107" spans="1:13" x14ac:dyDescent="0.3">
      <c r="A107">
        <v>52</v>
      </c>
      <c r="B107" t="s">
        <v>25</v>
      </c>
      <c r="C107" s="1">
        <v>8</v>
      </c>
      <c r="D107" t="s">
        <v>19</v>
      </c>
      <c r="E107" t="s">
        <v>14</v>
      </c>
      <c r="F107" t="s">
        <v>22</v>
      </c>
      <c r="G107" t="s">
        <v>23</v>
      </c>
      <c r="H107">
        <f t="shared" si="1"/>
        <v>106</v>
      </c>
      <c r="I107" t="s">
        <v>24</v>
      </c>
      <c r="J107" s="3">
        <v>14709</v>
      </c>
      <c r="K107" t="b">
        <v>0</v>
      </c>
      <c r="L107" t="b">
        <v>0</v>
      </c>
      <c r="M107" t="b">
        <v>0</v>
      </c>
    </row>
    <row r="108" spans="1:13" x14ac:dyDescent="0.3">
      <c r="A108">
        <v>52</v>
      </c>
      <c r="B108" t="s">
        <v>12</v>
      </c>
      <c r="C108" s="1">
        <v>8</v>
      </c>
      <c r="D108" t="s">
        <v>13</v>
      </c>
      <c r="E108" t="s">
        <v>14</v>
      </c>
      <c r="F108" t="s">
        <v>15</v>
      </c>
      <c r="G108" t="s">
        <v>23</v>
      </c>
      <c r="H108">
        <f t="shared" si="1"/>
        <v>107</v>
      </c>
      <c r="I108" t="s">
        <v>17</v>
      </c>
      <c r="J108" s="3">
        <v>14507</v>
      </c>
      <c r="K108" t="b">
        <v>0</v>
      </c>
      <c r="L108" t="b">
        <v>0</v>
      </c>
      <c r="M108" t="b">
        <v>1</v>
      </c>
    </row>
    <row r="109" spans="1:13" x14ac:dyDescent="0.3">
      <c r="A109">
        <v>50</v>
      </c>
      <c r="B109" t="s">
        <v>12</v>
      </c>
      <c r="C109" s="1">
        <v>1</v>
      </c>
      <c r="D109" t="s">
        <v>19</v>
      </c>
      <c r="E109" t="s">
        <v>20</v>
      </c>
      <c r="F109" t="s">
        <v>27</v>
      </c>
      <c r="G109" t="s">
        <v>29</v>
      </c>
      <c r="H109">
        <f t="shared" si="1"/>
        <v>108</v>
      </c>
      <c r="I109" t="s">
        <v>24</v>
      </c>
      <c r="J109" s="3">
        <v>16575</v>
      </c>
      <c r="K109" t="b">
        <v>1</v>
      </c>
      <c r="L109" t="b">
        <v>1</v>
      </c>
      <c r="M109" t="b">
        <v>1</v>
      </c>
    </row>
    <row r="110" spans="1:13" x14ac:dyDescent="0.3">
      <c r="A110">
        <v>22</v>
      </c>
      <c r="B110" t="s">
        <v>12</v>
      </c>
      <c r="C110" s="1">
        <v>8</v>
      </c>
      <c r="D110" t="s">
        <v>28</v>
      </c>
      <c r="E110" t="s">
        <v>26</v>
      </c>
      <c r="F110" t="s">
        <v>27</v>
      </c>
      <c r="G110" t="s">
        <v>16</v>
      </c>
      <c r="H110">
        <f t="shared" si="1"/>
        <v>109</v>
      </c>
      <c r="I110" t="s">
        <v>24</v>
      </c>
      <c r="J110" s="3">
        <v>14773</v>
      </c>
      <c r="K110" t="b">
        <v>1</v>
      </c>
      <c r="L110" t="b">
        <v>0</v>
      </c>
      <c r="M110" t="b">
        <v>1</v>
      </c>
    </row>
    <row r="111" spans="1:13" x14ac:dyDescent="0.3">
      <c r="A111">
        <v>59</v>
      </c>
      <c r="B111" t="s">
        <v>25</v>
      </c>
      <c r="C111" s="1">
        <v>9</v>
      </c>
      <c r="D111" t="s">
        <v>13</v>
      </c>
      <c r="E111" t="s">
        <v>14</v>
      </c>
      <c r="F111" t="s">
        <v>22</v>
      </c>
      <c r="G111" t="s">
        <v>23</v>
      </c>
      <c r="H111">
        <f t="shared" si="1"/>
        <v>110</v>
      </c>
      <c r="I111" t="s">
        <v>17</v>
      </c>
      <c r="J111" s="3">
        <v>14468</v>
      </c>
      <c r="K111" t="b">
        <v>0</v>
      </c>
      <c r="L111" t="b">
        <v>0</v>
      </c>
      <c r="M111" t="b">
        <v>0</v>
      </c>
    </row>
    <row r="112" spans="1:13" x14ac:dyDescent="0.3">
      <c r="A112">
        <v>56</v>
      </c>
      <c r="B112" t="s">
        <v>12</v>
      </c>
      <c r="C112" s="1">
        <v>4</v>
      </c>
      <c r="D112" t="s">
        <v>19</v>
      </c>
      <c r="E112" t="s">
        <v>14</v>
      </c>
      <c r="F112" t="s">
        <v>15</v>
      </c>
      <c r="G112" t="s">
        <v>23</v>
      </c>
      <c r="H112">
        <f t="shared" si="1"/>
        <v>111</v>
      </c>
      <c r="I112" t="s">
        <v>17</v>
      </c>
      <c r="J112" s="3">
        <v>15192</v>
      </c>
      <c r="K112" t="b">
        <v>1</v>
      </c>
      <c r="L112" t="b">
        <v>0</v>
      </c>
      <c r="M112" t="b">
        <v>0</v>
      </c>
    </row>
    <row r="113" spans="1:13" x14ac:dyDescent="0.3">
      <c r="A113">
        <v>58</v>
      </c>
      <c r="B113" t="s">
        <v>18</v>
      </c>
      <c r="C113" s="1">
        <v>1</v>
      </c>
      <c r="D113" t="s">
        <v>28</v>
      </c>
      <c r="E113" t="s">
        <v>14</v>
      </c>
      <c r="F113" t="s">
        <v>15</v>
      </c>
      <c r="G113" t="s">
        <v>23</v>
      </c>
      <c r="H113">
        <f t="shared" si="1"/>
        <v>112</v>
      </c>
      <c r="I113" t="s">
        <v>17</v>
      </c>
      <c r="J113" s="3">
        <v>13320</v>
      </c>
      <c r="K113" t="b">
        <v>0</v>
      </c>
      <c r="L113" t="b">
        <v>1</v>
      </c>
      <c r="M113" t="b">
        <v>0</v>
      </c>
    </row>
    <row r="114" spans="1:13" x14ac:dyDescent="0.3">
      <c r="A114">
        <v>45</v>
      </c>
      <c r="B114" t="s">
        <v>25</v>
      </c>
      <c r="C114" s="1">
        <v>1</v>
      </c>
      <c r="D114" t="s">
        <v>13</v>
      </c>
      <c r="E114" t="s">
        <v>14</v>
      </c>
      <c r="F114" t="s">
        <v>27</v>
      </c>
      <c r="G114" t="s">
        <v>29</v>
      </c>
      <c r="H114">
        <f t="shared" si="1"/>
        <v>113</v>
      </c>
      <c r="I114" t="s">
        <v>24</v>
      </c>
      <c r="J114" s="3">
        <v>14698</v>
      </c>
      <c r="K114" t="b">
        <v>0</v>
      </c>
      <c r="L114" t="b">
        <v>0</v>
      </c>
      <c r="M114" t="b">
        <v>0</v>
      </c>
    </row>
    <row r="115" spans="1:13" x14ac:dyDescent="0.3">
      <c r="A115">
        <v>24</v>
      </c>
      <c r="B115" t="s">
        <v>25</v>
      </c>
      <c r="C115" s="1">
        <v>3</v>
      </c>
      <c r="D115" t="s">
        <v>13</v>
      </c>
      <c r="E115" t="s">
        <v>20</v>
      </c>
      <c r="F115" t="s">
        <v>27</v>
      </c>
      <c r="G115" t="s">
        <v>23</v>
      </c>
      <c r="H115">
        <f t="shared" si="1"/>
        <v>114</v>
      </c>
      <c r="I115" t="s">
        <v>24</v>
      </c>
      <c r="J115" s="3">
        <v>14311</v>
      </c>
      <c r="K115" t="b">
        <v>0</v>
      </c>
      <c r="L115" t="b">
        <v>0</v>
      </c>
      <c r="M115" t="b">
        <v>0</v>
      </c>
    </row>
    <row r="116" spans="1:13" x14ac:dyDescent="0.3">
      <c r="A116">
        <v>26</v>
      </c>
      <c r="B116" t="s">
        <v>25</v>
      </c>
      <c r="C116" s="1">
        <v>5</v>
      </c>
      <c r="D116" t="s">
        <v>13</v>
      </c>
      <c r="E116" t="s">
        <v>20</v>
      </c>
      <c r="F116" t="s">
        <v>27</v>
      </c>
      <c r="G116" t="s">
        <v>23</v>
      </c>
      <c r="H116">
        <f t="shared" si="1"/>
        <v>115</v>
      </c>
      <c r="I116" t="s">
        <v>24</v>
      </c>
      <c r="J116" s="3">
        <v>13673</v>
      </c>
      <c r="K116" t="b">
        <v>0</v>
      </c>
      <c r="L116" t="b">
        <v>0</v>
      </c>
      <c r="M116" t="b">
        <v>1</v>
      </c>
    </row>
    <row r="117" spans="1:13" x14ac:dyDescent="0.3">
      <c r="A117">
        <v>25</v>
      </c>
      <c r="B117" t="s">
        <v>25</v>
      </c>
      <c r="C117" s="1">
        <v>5</v>
      </c>
      <c r="D117" t="s">
        <v>19</v>
      </c>
      <c r="E117" t="s">
        <v>14</v>
      </c>
      <c r="F117" t="s">
        <v>15</v>
      </c>
      <c r="G117" t="s">
        <v>23</v>
      </c>
      <c r="H117">
        <f t="shared" si="1"/>
        <v>116</v>
      </c>
      <c r="I117" t="s">
        <v>17</v>
      </c>
      <c r="J117" s="3">
        <v>11564</v>
      </c>
      <c r="K117" t="b">
        <v>1</v>
      </c>
      <c r="L117" t="b">
        <v>0</v>
      </c>
      <c r="M117" t="b">
        <v>1</v>
      </c>
    </row>
    <row r="118" spans="1:13" x14ac:dyDescent="0.3">
      <c r="A118">
        <v>29</v>
      </c>
      <c r="B118" t="s">
        <v>18</v>
      </c>
      <c r="C118" s="1">
        <v>9</v>
      </c>
      <c r="D118" t="s">
        <v>19</v>
      </c>
      <c r="E118" t="s">
        <v>26</v>
      </c>
      <c r="F118" t="s">
        <v>27</v>
      </c>
      <c r="G118" t="s">
        <v>23</v>
      </c>
      <c r="H118">
        <f t="shared" si="1"/>
        <v>117</v>
      </c>
      <c r="I118" t="s">
        <v>21</v>
      </c>
      <c r="J118" s="3">
        <v>11840</v>
      </c>
      <c r="K118" t="b">
        <v>0</v>
      </c>
      <c r="L118" t="b">
        <v>1</v>
      </c>
      <c r="M118" t="b">
        <v>0</v>
      </c>
    </row>
    <row r="119" spans="1:13" x14ac:dyDescent="0.3">
      <c r="A119">
        <v>51</v>
      </c>
      <c r="B119" t="s">
        <v>25</v>
      </c>
      <c r="C119" s="1">
        <v>2</v>
      </c>
      <c r="D119" t="s">
        <v>28</v>
      </c>
      <c r="E119" t="s">
        <v>14</v>
      </c>
      <c r="F119" t="s">
        <v>27</v>
      </c>
      <c r="G119" t="s">
        <v>16</v>
      </c>
      <c r="H119">
        <f t="shared" si="1"/>
        <v>118</v>
      </c>
      <c r="I119" t="s">
        <v>24</v>
      </c>
      <c r="J119" s="3">
        <v>16058</v>
      </c>
      <c r="K119" t="b">
        <v>1</v>
      </c>
      <c r="L119" t="b">
        <v>1</v>
      </c>
      <c r="M119" t="b">
        <v>0</v>
      </c>
    </row>
    <row r="120" spans="1:13" x14ac:dyDescent="0.3">
      <c r="A120">
        <v>50</v>
      </c>
      <c r="B120" t="s">
        <v>25</v>
      </c>
      <c r="C120" s="1">
        <v>2</v>
      </c>
      <c r="D120" t="s">
        <v>19</v>
      </c>
      <c r="E120" t="s">
        <v>26</v>
      </c>
      <c r="F120" t="s">
        <v>22</v>
      </c>
      <c r="G120" t="s">
        <v>29</v>
      </c>
      <c r="H120">
        <f t="shared" si="1"/>
        <v>119</v>
      </c>
      <c r="I120" t="s">
        <v>21</v>
      </c>
      <c r="J120" s="3">
        <v>17131</v>
      </c>
      <c r="K120" t="b">
        <v>0</v>
      </c>
      <c r="L120" t="b">
        <v>0</v>
      </c>
      <c r="M120" t="b">
        <v>0</v>
      </c>
    </row>
    <row r="121" spans="1:13" x14ac:dyDescent="0.3">
      <c r="A121">
        <v>40</v>
      </c>
      <c r="B121" t="s">
        <v>12</v>
      </c>
      <c r="C121" s="1">
        <v>6</v>
      </c>
      <c r="D121" t="s">
        <v>19</v>
      </c>
      <c r="E121" t="s">
        <v>14</v>
      </c>
      <c r="F121" t="s">
        <v>27</v>
      </c>
      <c r="G121" t="s">
        <v>29</v>
      </c>
      <c r="H121">
        <f t="shared" si="1"/>
        <v>120</v>
      </c>
      <c r="I121" t="s">
        <v>17</v>
      </c>
      <c r="J121" s="3">
        <v>10726</v>
      </c>
      <c r="K121" t="b">
        <v>0</v>
      </c>
      <c r="L121" t="b">
        <v>0</v>
      </c>
      <c r="M121" t="b">
        <v>1</v>
      </c>
    </row>
    <row r="122" spans="1:13" x14ac:dyDescent="0.3">
      <c r="A122">
        <v>41</v>
      </c>
      <c r="B122" t="s">
        <v>25</v>
      </c>
      <c r="C122" s="1">
        <v>9</v>
      </c>
      <c r="D122" t="s">
        <v>13</v>
      </c>
      <c r="E122" t="s">
        <v>26</v>
      </c>
      <c r="F122" t="s">
        <v>27</v>
      </c>
      <c r="G122" t="s">
        <v>16</v>
      </c>
      <c r="H122">
        <f t="shared" si="1"/>
        <v>121</v>
      </c>
      <c r="I122" t="s">
        <v>24</v>
      </c>
      <c r="J122" s="3">
        <v>19436</v>
      </c>
      <c r="K122" t="b">
        <v>0</v>
      </c>
      <c r="L122" t="b">
        <v>0</v>
      </c>
      <c r="M122" t="b">
        <v>0</v>
      </c>
    </row>
    <row r="123" spans="1:13" x14ac:dyDescent="0.3">
      <c r="A123">
        <v>54</v>
      </c>
      <c r="B123" t="s">
        <v>18</v>
      </c>
      <c r="C123" s="1">
        <v>1</v>
      </c>
      <c r="D123" t="s">
        <v>13</v>
      </c>
      <c r="E123" t="s">
        <v>14</v>
      </c>
      <c r="F123" t="s">
        <v>15</v>
      </c>
      <c r="G123" t="s">
        <v>16</v>
      </c>
      <c r="H123">
        <f t="shared" si="1"/>
        <v>122</v>
      </c>
      <c r="I123" t="s">
        <v>21</v>
      </c>
      <c r="J123" s="3">
        <v>16697</v>
      </c>
      <c r="K123" t="b">
        <v>0</v>
      </c>
      <c r="L123" t="b">
        <v>0</v>
      </c>
      <c r="M123" t="b">
        <v>1</v>
      </c>
    </row>
    <row r="124" spans="1:13" x14ac:dyDescent="0.3">
      <c r="A124">
        <v>52</v>
      </c>
      <c r="B124" t="s">
        <v>18</v>
      </c>
      <c r="C124" s="1">
        <v>9</v>
      </c>
      <c r="D124" t="s">
        <v>13</v>
      </c>
      <c r="E124" t="s">
        <v>26</v>
      </c>
      <c r="F124" t="s">
        <v>15</v>
      </c>
      <c r="G124" t="s">
        <v>29</v>
      </c>
      <c r="H124">
        <f t="shared" si="1"/>
        <v>123</v>
      </c>
      <c r="I124" t="s">
        <v>24</v>
      </c>
      <c r="J124" s="3">
        <v>19257</v>
      </c>
      <c r="K124" t="b">
        <v>1</v>
      </c>
      <c r="L124" t="b">
        <v>1</v>
      </c>
      <c r="M124" t="b">
        <v>1</v>
      </c>
    </row>
    <row r="125" spans="1:13" x14ac:dyDescent="0.3">
      <c r="A125">
        <v>61</v>
      </c>
      <c r="B125" t="s">
        <v>18</v>
      </c>
      <c r="C125" s="1">
        <v>9</v>
      </c>
      <c r="D125" t="s">
        <v>13</v>
      </c>
      <c r="E125" t="s">
        <v>14</v>
      </c>
      <c r="F125" t="s">
        <v>22</v>
      </c>
      <c r="G125" t="s">
        <v>23</v>
      </c>
      <c r="H125">
        <f t="shared" si="1"/>
        <v>124</v>
      </c>
      <c r="I125" t="s">
        <v>24</v>
      </c>
      <c r="J125" s="3">
        <v>10282</v>
      </c>
      <c r="K125" t="b">
        <v>0</v>
      </c>
      <c r="L125" t="b">
        <v>1</v>
      </c>
      <c r="M125" t="b">
        <v>0</v>
      </c>
    </row>
    <row r="126" spans="1:13" x14ac:dyDescent="0.3">
      <c r="A126">
        <v>57</v>
      </c>
      <c r="B126" t="s">
        <v>18</v>
      </c>
      <c r="C126" s="1">
        <v>9</v>
      </c>
      <c r="D126" t="s">
        <v>13</v>
      </c>
      <c r="E126" t="s">
        <v>14</v>
      </c>
      <c r="F126" t="s">
        <v>27</v>
      </c>
      <c r="G126" t="s">
        <v>23</v>
      </c>
      <c r="H126">
        <f t="shared" si="1"/>
        <v>125</v>
      </c>
      <c r="I126" t="s">
        <v>24</v>
      </c>
      <c r="J126" s="3">
        <v>11081</v>
      </c>
      <c r="K126" t="b">
        <v>1</v>
      </c>
      <c r="L126" t="b">
        <v>1</v>
      </c>
      <c r="M126" t="b">
        <v>1</v>
      </c>
    </row>
    <row r="127" spans="1:13" x14ac:dyDescent="0.3">
      <c r="A127">
        <v>39</v>
      </c>
      <c r="B127" t="s">
        <v>25</v>
      </c>
      <c r="C127" s="1">
        <v>5</v>
      </c>
      <c r="D127" t="s">
        <v>13</v>
      </c>
      <c r="E127" t="s">
        <v>26</v>
      </c>
      <c r="F127" t="s">
        <v>22</v>
      </c>
      <c r="G127" t="s">
        <v>29</v>
      </c>
      <c r="H127">
        <f t="shared" si="1"/>
        <v>126</v>
      </c>
      <c r="I127" t="s">
        <v>21</v>
      </c>
      <c r="J127" s="3">
        <v>13885</v>
      </c>
      <c r="K127" t="b">
        <v>0</v>
      </c>
      <c r="L127" t="b">
        <v>1</v>
      </c>
      <c r="M127" t="b">
        <v>1</v>
      </c>
    </row>
    <row r="128" spans="1:13" x14ac:dyDescent="0.3">
      <c r="A128">
        <v>44</v>
      </c>
      <c r="B128" t="s">
        <v>25</v>
      </c>
      <c r="C128" s="1">
        <v>9</v>
      </c>
      <c r="D128" t="s">
        <v>13</v>
      </c>
      <c r="E128" t="s">
        <v>20</v>
      </c>
      <c r="F128" t="s">
        <v>15</v>
      </c>
      <c r="G128" t="s">
        <v>23</v>
      </c>
      <c r="H128">
        <f t="shared" si="1"/>
        <v>127</v>
      </c>
      <c r="I128" t="s">
        <v>17</v>
      </c>
      <c r="J128" s="3">
        <v>12881</v>
      </c>
      <c r="K128" t="b">
        <v>0</v>
      </c>
      <c r="L128" t="b">
        <v>0</v>
      </c>
      <c r="M128" t="b">
        <v>0</v>
      </c>
    </row>
    <row r="129" spans="1:13" x14ac:dyDescent="0.3">
      <c r="A129">
        <v>52</v>
      </c>
      <c r="B129" t="s">
        <v>18</v>
      </c>
      <c r="C129" s="1">
        <v>4</v>
      </c>
      <c r="D129" t="s">
        <v>28</v>
      </c>
      <c r="E129" t="s">
        <v>26</v>
      </c>
      <c r="F129" t="s">
        <v>22</v>
      </c>
      <c r="G129" t="s">
        <v>16</v>
      </c>
      <c r="H129">
        <f t="shared" si="1"/>
        <v>128</v>
      </c>
      <c r="I129" t="s">
        <v>24</v>
      </c>
      <c r="J129" s="3">
        <v>12970</v>
      </c>
      <c r="K129" t="b">
        <v>0</v>
      </c>
      <c r="L129" t="b">
        <v>0</v>
      </c>
      <c r="M129" t="b">
        <v>1</v>
      </c>
    </row>
    <row r="130" spans="1:13" x14ac:dyDescent="0.3">
      <c r="A130">
        <v>18</v>
      </c>
      <c r="B130" t="s">
        <v>18</v>
      </c>
      <c r="C130" s="1">
        <v>2</v>
      </c>
      <c r="D130" t="s">
        <v>28</v>
      </c>
      <c r="E130" t="s">
        <v>20</v>
      </c>
      <c r="F130" t="s">
        <v>15</v>
      </c>
      <c r="G130" t="s">
        <v>23</v>
      </c>
      <c r="H130">
        <f t="shared" si="1"/>
        <v>129</v>
      </c>
      <c r="I130" t="s">
        <v>17</v>
      </c>
      <c r="J130" s="3">
        <v>19344</v>
      </c>
      <c r="K130" t="b">
        <v>1</v>
      </c>
      <c r="L130" t="b">
        <v>1</v>
      </c>
      <c r="M130" t="b">
        <v>0</v>
      </c>
    </row>
    <row r="131" spans="1:13" x14ac:dyDescent="0.3">
      <c r="A131">
        <v>52</v>
      </c>
      <c r="B131" t="s">
        <v>25</v>
      </c>
      <c r="C131" s="1">
        <v>6</v>
      </c>
      <c r="D131" t="s">
        <v>28</v>
      </c>
      <c r="E131" t="s">
        <v>14</v>
      </c>
      <c r="F131" t="s">
        <v>22</v>
      </c>
      <c r="G131" t="s">
        <v>23</v>
      </c>
      <c r="H131">
        <f t="shared" si="1"/>
        <v>130</v>
      </c>
      <c r="I131" t="s">
        <v>17</v>
      </c>
      <c r="J131" s="3">
        <v>16985</v>
      </c>
      <c r="K131" t="b">
        <v>0</v>
      </c>
      <c r="L131" t="b">
        <v>1</v>
      </c>
      <c r="M131" t="b">
        <v>1</v>
      </c>
    </row>
    <row r="132" spans="1:13" x14ac:dyDescent="0.3">
      <c r="A132">
        <v>54</v>
      </c>
      <c r="B132" t="s">
        <v>18</v>
      </c>
      <c r="C132" s="1">
        <v>4</v>
      </c>
      <c r="D132" t="s">
        <v>28</v>
      </c>
      <c r="E132" t="s">
        <v>26</v>
      </c>
      <c r="F132" t="s">
        <v>22</v>
      </c>
      <c r="G132" t="s">
        <v>23</v>
      </c>
      <c r="H132">
        <f t="shared" ref="H132:I195" si="2">H131+1</f>
        <v>131</v>
      </c>
      <c r="I132" t="s">
        <v>21</v>
      </c>
      <c r="J132" s="3">
        <v>10947</v>
      </c>
      <c r="K132" t="b">
        <v>0</v>
      </c>
      <c r="L132" t="b">
        <v>0</v>
      </c>
      <c r="M132" t="b">
        <v>0</v>
      </c>
    </row>
    <row r="133" spans="1:13" x14ac:dyDescent="0.3">
      <c r="A133">
        <v>64</v>
      </c>
      <c r="B133" t="s">
        <v>12</v>
      </c>
      <c r="C133" s="1">
        <v>6</v>
      </c>
      <c r="D133" t="s">
        <v>13</v>
      </c>
      <c r="E133" t="s">
        <v>26</v>
      </c>
      <c r="F133" t="s">
        <v>27</v>
      </c>
      <c r="G133" t="s">
        <v>29</v>
      </c>
      <c r="H133">
        <f t="shared" si="2"/>
        <v>132</v>
      </c>
      <c r="I133" t="s">
        <v>21</v>
      </c>
      <c r="J133" s="3">
        <v>14760</v>
      </c>
      <c r="K133" t="b">
        <v>0</v>
      </c>
      <c r="L133" t="b">
        <v>0</v>
      </c>
      <c r="M133" t="b">
        <v>0</v>
      </c>
    </row>
    <row r="134" spans="1:13" x14ac:dyDescent="0.3">
      <c r="A134">
        <v>31</v>
      </c>
      <c r="B134" t="s">
        <v>18</v>
      </c>
      <c r="C134" s="1">
        <v>3</v>
      </c>
      <c r="D134" t="s">
        <v>28</v>
      </c>
      <c r="E134" t="s">
        <v>26</v>
      </c>
      <c r="F134" t="s">
        <v>22</v>
      </c>
      <c r="G134" t="s">
        <v>16</v>
      </c>
      <c r="H134">
        <f t="shared" si="2"/>
        <v>133</v>
      </c>
      <c r="I134" t="s">
        <v>17</v>
      </c>
      <c r="J134" s="3">
        <v>19909</v>
      </c>
      <c r="K134" t="b">
        <v>0</v>
      </c>
      <c r="L134" t="b">
        <v>0</v>
      </c>
      <c r="M134" t="b">
        <v>1</v>
      </c>
    </row>
    <row r="135" spans="1:13" x14ac:dyDescent="0.3">
      <c r="A135">
        <v>20</v>
      </c>
      <c r="B135" t="s">
        <v>18</v>
      </c>
      <c r="C135" s="1">
        <v>6</v>
      </c>
      <c r="D135" t="s">
        <v>13</v>
      </c>
      <c r="E135" t="s">
        <v>20</v>
      </c>
      <c r="F135" t="s">
        <v>27</v>
      </c>
      <c r="G135" t="s">
        <v>23</v>
      </c>
      <c r="H135">
        <f t="shared" si="2"/>
        <v>134</v>
      </c>
      <c r="I135" t="s">
        <v>24</v>
      </c>
      <c r="J135" s="3">
        <v>10066</v>
      </c>
      <c r="K135" t="b">
        <v>0</v>
      </c>
      <c r="L135" t="b">
        <v>0</v>
      </c>
      <c r="M135" t="b">
        <v>0</v>
      </c>
    </row>
    <row r="136" spans="1:13" x14ac:dyDescent="0.3">
      <c r="A136">
        <v>18</v>
      </c>
      <c r="B136" t="s">
        <v>12</v>
      </c>
      <c r="C136" s="1">
        <v>2</v>
      </c>
      <c r="D136" t="s">
        <v>28</v>
      </c>
      <c r="E136" t="s">
        <v>20</v>
      </c>
      <c r="F136" t="s">
        <v>27</v>
      </c>
      <c r="G136" t="s">
        <v>29</v>
      </c>
      <c r="H136">
        <f t="shared" si="2"/>
        <v>135</v>
      </c>
      <c r="I136" t="s">
        <v>21</v>
      </c>
      <c r="J136" s="3">
        <v>18828</v>
      </c>
      <c r="K136" t="b">
        <v>1</v>
      </c>
      <c r="L136" t="b">
        <v>0</v>
      </c>
      <c r="M136" t="b">
        <v>1</v>
      </c>
    </row>
    <row r="137" spans="1:13" x14ac:dyDescent="0.3">
      <c r="A137">
        <v>22</v>
      </c>
      <c r="B137" t="s">
        <v>12</v>
      </c>
      <c r="C137" s="1">
        <v>2</v>
      </c>
      <c r="D137" t="s">
        <v>19</v>
      </c>
      <c r="E137" t="s">
        <v>14</v>
      </c>
      <c r="F137" t="s">
        <v>27</v>
      </c>
      <c r="G137" t="s">
        <v>23</v>
      </c>
      <c r="H137">
        <f t="shared" si="2"/>
        <v>136</v>
      </c>
      <c r="I137" t="s">
        <v>24</v>
      </c>
      <c r="J137" s="3">
        <v>18505</v>
      </c>
      <c r="K137" t="b">
        <v>1</v>
      </c>
      <c r="L137" t="b">
        <v>1</v>
      </c>
      <c r="M137" t="b">
        <v>1</v>
      </c>
    </row>
    <row r="138" spans="1:13" x14ac:dyDescent="0.3">
      <c r="A138">
        <v>43</v>
      </c>
      <c r="B138" t="s">
        <v>25</v>
      </c>
      <c r="C138" s="1">
        <v>9</v>
      </c>
      <c r="D138" t="s">
        <v>28</v>
      </c>
      <c r="E138" t="s">
        <v>20</v>
      </c>
      <c r="F138" t="s">
        <v>27</v>
      </c>
      <c r="G138" t="s">
        <v>16</v>
      </c>
      <c r="H138">
        <f t="shared" si="2"/>
        <v>137</v>
      </c>
      <c r="I138" t="s">
        <v>24</v>
      </c>
      <c r="J138" s="3">
        <v>10564</v>
      </c>
      <c r="K138" t="b">
        <v>0</v>
      </c>
      <c r="L138" t="b">
        <v>1</v>
      </c>
      <c r="M138" t="b">
        <v>0</v>
      </c>
    </row>
    <row r="139" spans="1:13" x14ac:dyDescent="0.3">
      <c r="A139">
        <v>31</v>
      </c>
      <c r="B139" t="s">
        <v>25</v>
      </c>
      <c r="C139" s="1">
        <v>7</v>
      </c>
      <c r="D139" t="s">
        <v>28</v>
      </c>
      <c r="E139" t="s">
        <v>20</v>
      </c>
      <c r="F139" t="s">
        <v>22</v>
      </c>
      <c r="G139" t="s">
        <v>23</v>
      </c>
      <c r="H139">
        <f t="shared" si="2"/>
        <v>138</v>
      </c>
      <c r="I139" t="s">
        <v>24</v>
      </c>
      <c r="J139" s="3">
        <v>19793</v>
      </c>
      <c r="K139" t="b">
        <v>0</v>
      </c>
      <c r="L139" t="b">
        <v>0</v>
      </c>
      <c r="M139" t="b">
        <v>1</v>
      </c>
    </row>
    <row r="140" spans="1:13" x14ac:dyDescent="0.3">
      <c r="A140">
        <v>56</v>
      </c>
      <c r="B140" t="s">
        <v>12</v>
      </c>
      <c r="C140" s="1">
        <v>3</v>
      </c>
      <c r="D140" t="s">
        <v>13</v>
      </c>
      <c r="E140" t="s">
        <v>14</v>
      </c>
      <c r="F140" t="s">
        <v>15</v>
      </c>
      <c r="G140" t="s">
        <v>16</v>
      </c>
      <c r="H140">
        <f t="shared" si="2"/>
        <v>139</v>
      </c>
      <c r="I140" t="s">
        <v>17</v>
      </c>
      <c r="J140" s="3">
        <v>19017</v>
      </c>
      <c r="K140" t="b">
        <v>1</v>
      </c>
      <c r="L140" t="b">
        <v>0</v>
      </c>
      <c r="M140" t="b">
        <v>0</v>
      </c>
    </row>
    <row r="141" spans="1:13" x14ac:dyDescent="0.3">
      <c r="A141">
        <v>44</v>
      </c>
      <c r="B141" t="s">
        <v>12</v>
      </c>
      <c r="C141" s="1">
        <v>1</v>
      </c>
      <c r="D141" t="s">
        <v>28</v>
      </c>
      <c r="E141" t="s">
        <v>26</v>
      </c>
      <c r="F141" t="s">
        <v>15</v>
      </c>
      <c r="G141" t="s">
        <v>23</v>
      </c>
      <c r="H141">
        <f t="shared" si="2"/>
        <v>140</v>
      </c>
      <c r="I141" t="s">
        <v>24</v>
      </c>
      <c r="J141" s="3">
        <v>13670</v>
      </c>
      <c r="K141" t="b">
        <v>0</v>
      </c>
      <c r="L141" t="b">
        <v>1</v>
      </c>
      <c r="M141" t="b">
        <v>1</v>
      </c>
    </row>
    <row r="142" spans="1:13" x14ac:dyDescent="0.3">
      <c r="A142">
        <v>26</v>
      </c>
      <c r="B142" t="s">
        <v>25</v>
      </c>
      <c r="C142" s="1">
        <v>8</v>
      </c>
      <c r="D142" t="s">
        <v>19</v>
      </c>
      <c r="E142" t="s">
        <v>26</v>
      </c>
      <c r="F142" t="s">
        <v>15</v>
      </c>
      <c r="G142" t="s">
        <v>16</v>
      </c>
      <c r="H142">
        <f t="shared" si="2"/>
        <v>141</v>
      </c>
      <c r="I142" t="s">
        <v>17</v>
      </c>
      <c r="J142" s="3">
        <v>19217</v>
      </c>
      <c r="K142" t="b">
        <v>1</v>
      </c>
      <c r="L142" t="b">
        <v>0</v>
      </c>
      <c r="M142" t="b">
        <v>1</v>
      </c>
    </row>
    <row r="143" spans="1:13" x14ac:dyDescent="0.3">
      <c r="A143">
        <v>32</v>
      </c>
      <c r="B143" t="s">
        <v>18</v>
      </c>
      <c r="C143" s="1">
        <v>6</v>
      </c>
      <c r="D143" t="s">
        <v>13</v>
      </c>
      <c r="E143" t="s">
        <v>14</v>
      </c>
      <c r="F143" t="s">
        <v>22</v>
      </c>
      <c r="G143" t="s">
        <v>23</v>
      </c>
      <c r="H143">
        <f t="shared" si="2"/>
        <v>142</v>
      </c>
      <c r="I143" t="s">
        <v>17</v>
      </c>
      <c r="J143" s="3">
        <v>12251</v>
      </c>
      <c r="K143" t="b">
        <v>0</v>
      </c>
      <c r="L143" t="b">
        <v>1</v>
      </c>
      <c r="M143" t="b">
        <v>0</v>
      </c>
    </row>
    <row r="144" spans="1:13" x14ac:dyDescent="0.3">
      <c r="A144">
        <v>32</v>
      </c>
      <c r="B144" t="s">
        <v>12</v>
      </c>
      <c r="C144" s="1">
        <v>7</v>
      </c>
      <c r="D144" t="s">
        <v>13</v>
      </c>
      <c r="E144" t="s">
        <v>26</v>
      </c>
      <c r="F144" t="s">
        <v>27</v>
      </c>
      <c r="G144" t="s">
        <v>16</v>
      </c>
      <c r="H144">
        <f t="shared" si="2"/>
        <v>143</v>
      </c>
      <c r="I144" t="s">
        <v>24</v>
      </c>
      <c r="J144" s="3">
        <v>10804</v>
      </c>
      <c r="K144" t="b">
        <v>0</v>
      </c>
      <c r="L144" t="b">
        <v>1</v>
      </c>
      <c r="M144" t="b">
        <v>1</v>
      </c>
    </row>
    <row r="145" spans="1:13" x14ac:dyDescent="0.3">
      <c r="A145">
        <v>43</v>
      </c>
      <c r="B145" t="s">
        <v>25</v>
      </c>
      <c r="C145" s="1">
        <v>9</v>
      </c>
      <c r="D145" t="s">
        <v>28</v>
      </c>
      <c r="E145" t="s">
        <v>20</v>
      </c>
      <c r="F145" t="s">
        <v>15</v>
      </c>
      <c r="G145" t="s">
        <v>23</v>
      </c>
      <c r="H145">
        <f t="shared" si="2"/>
        <v>144</v>
      </c>
      <c r="I145" t="s">
        <v>24</v>
      </c>
      <c r="J145" s="3">
        <v>14631</v>
      </c>
      <c r="K145" t="b">
        <v>1</v>
      </c>
      <c r="L145" t="b">
        <v>1</v>
      </c>
      <c r="M145" t="b">
        <v>1</v>
      </c>
    </row>
    <row r="146" spans="1:13" x14ac:dyDescent="0.3">
      <c r="A146">
        <v>59</v>
      </c>
      <c r="B146" t="s">
        <v>18</v>
      </c>
      <c r="C146" s="1">
        <v>5</v>
      </c>
      <c r="D146" t="s">
        <v>13</v>
      </c>
      <c r="E146" t="s">
        <v>14</v>
      </c>
      <c r="F146" t="s">
        <v>22</v>
      </c>
      <c r="G146" t="s">
        <v>23</v>
      </c>
      <c r="H146">
        <f t="shared" si="2"/>
        <v>145</v>
      </c>
      <c r="I146" t="s">
        <v>24</v>
      </c>
      <c r="J146" s="3">
        <v>19583</v>
      </c>
      <c r="K146" t="b">
        <v>0</v>
      </c>
      <c r="L146" t="b">
        <v>1</v>
      </c>
      <c r="M146" t="b">
        <v>1</v>
      </c>
    </row>
    <row r="147" spans="1:13" x14ac:dyDescent="0.3">
      <c r="A147">
        <v>30</v>
      </c>
      <c r="B147" t="s">
        <v>12</v>
      </c>
      <c r="C147" s="1">
        <v>1</v>
      </c>
      <c r="D147" t="s">
        <v>13</v>
      </c>
      <c r="E147" t="s">
        <v>14</v>
      </c>
      <c r="F147" t="s">
        <v>27</v>
      </c>
      <c r="G147" t="s">
        <v>29</v>
      </c>
      <c r="H147">
        <f t="shared" si="2"/>
        <v>146</v>
      </c>
      <c r="I147" t="s">
        <v>24</v>
      </c>
      <c r="J147" s="3">
        <v>11235</v>
      </c>
      <c r="K147" t="b">
        <v>1</v>
      </c>
      <c r="L147" t="b">
        <v>0</v>
      </c>
      <c r="M147" t="b">
        <v>1</v>
      </c>
    </row>
    <row r="148" spans="1:13" x14ac:dyDescent="0.3">
      <c r="A148">
        <v>49</v>
      </c>
      <c r="B148" t="s">
        <v>18</v>
      </c>
      <c r="C148" s="1">
        <v>7</v>
      </c>
      <c r="D148" t="s">
        <v>13</v>
      </c>
      <c r="E148" t="s">
        <v>14</v>
      </c>
      <c r="F148" t="s">
        <v>15</v>
      </c>
      <c r="G148" t="s">
        <v>29</v>
      </c>
      <c r="H148">
        <f t="shared" si="2"/>
        <v>147</v>
      </c>
      <c r="I148" t="s">
        <v>17</v>
      </c>
      <c r="J148" s="3">
        <v>16720</v>
      </c>
      <c r="K148" t="b">
        <v>1</v>
      </c>
      <c r="L148" t="b">
        <v>0</v>
      </c>
      <c r="M148" t="b">
        <v>1</v>
      </c>
    </row>
    <row r="149" spans="1:13" x14ac:dyDescent="0.3">
      <c r="A149">
        <v>56</v>
      </c>
      <c r="B149" t="s">
        <v>25</v>
      </c>
      <c r="C149" s="1">
        <v>5</v>
      </c>
      <c r="D149" t="s">
        <v>13</v>
      </c>
      <c r="E149" t="s">
        <v>26</v>
      </c>
      <c r="F149" t="s">
        <v>27</v>
      </c>
      <c r="G149" t="s">
        <v>16</v>
      </c>
      <c r="H149">
        <f t="shared" si="2"/>
        <v>148</v>
      </c>
      <c r="I149" t="s">
        <v>24</v>
      </c>
      <c r="J149" s="3">
        <v>16906</v>
      </c>
      <c r="K149" t="b">
        <v>1</v>
      </c>
      <c r="L149" t="b">
        <v>1</v>
      </c>
      <c r="M149" t="b">
        <v>1</v>
      </c>
    </row>
    <row r="150" spans="1:13" x14ac:dyDescent="0.3">
      <c r="A150">
        <v>49</v>
      </c>
      <c r="B150" t="s">
        <v>12</v>
      </c>
      <c r="C150" s="1">
        <v>3</v>
      </c>
      <c r="D150" t="s">
        <v>13</v>
      </c>
      <c r="E150" t="s">
        <v>14</v>
      </c>
      <c r="F150" t="s">
        <v>15</v>
      </c>
      <c r="G150" t="s">
        <v>23</v>
      </c>
      <c r="H150">
        <f t="shared" si="2"/>
        <v>149</v>
      </c>
      <c r="I150" t="s">
        <v>24</v>
      </c>
      <c r="J150" s="3">
        <v>16016</v>
      </c>
      <c r="K150" t="b">
        <v>0</v>
      </c>
      <c r="L150" t="b">
        <v>0</v>
      </c>
      <c r="M150" t="b">
        <v>1</v>
      </c>
    </row>
    <row r="151" spans="1:13" x14ac:dyDescent="0.3">
      <c r="A151">
        <v>21</v>
      </c>
      <c r="B151" t="s">
        <v>18</v>
      </c>
      <c r="C151" s="1">
        <v>9</v>
      </c>
      <c r="D151" t="s">
        <v>13</v>
      </c>
      <c r="E151" t="s">
        <v>14</v>
      </c>
      <c r="F151" t="s">
        <v>15</v>
      </c>
      <c r="G151" t="s">
        <v>16</v>
      </c>
      <c r="H151">
        <f t="shared" si="2"/>
        <v>150</v>
      </c>
      <c r="I151" t="s">
        <v>17</v>
      </c>
      <c r="J151" s="3">
        <v>13549</v>
      </c>
      <c r="K151" t="b">
        <v>1</v>
      </c>
      <c r="L151" t="b">
        <v>0</v>
      </c>
      <c r="M151" t="b">
        <v>1</v>
      </c>
    </row>
    <row r="152" spans="1:13" x14ac:dyDescent="0.3">
      <c r="A152">
        <v>47</v>
      </c>
      <c r="B152" t="s">
        <v>12</v>
      </c>
      <c r="C152" s="1">
        <v>1</v>
      </c>
      <c r="D152" t="s">
        <v>19</v>
      </c>
      <c r="E152" t="s">
        <v>14</v>
      </c>
      <c r="F152" t="s">
        <v>15</v>
      </c>
      <c r="G152" t="s">
        <v>29</v>
      </c>
      <c r="H152">
        <f t="shared" si="2"/>
        <v>151</v>
      </c>
      <c r="I152" t="s">
        <v>21</v>
      </c>
      <c r="J152" s="3">
        <v>17938</v>
      </c>
      <c r="K152" t="b">
        <v>1</v>
      </c>
      <c r="L152" t="b">
        <v>0</v>
      </c>
      <c r="M152" t="b">
        <v>0</v>
      </c>
    </row>
    <row r="153" spans="1:13" x14ac:dyDescent="0.3">
      <c r="A153">
        <v>54</v>
      </c>
      <c r="B153" t="s">
        <v>18</v>
      </c>
      <c r="C153" s="1">
        <v>1</v>
      </c>
      <c r="D153" t="s">
        <v>28</v>
      </c>
      <c r="E153" t="s">
        <v>26</v>
      </c>
      <c r="F153" t="s">
        <v>27</v>
      </c>
      <c r="G153" t="s">
        <v>16</v>
      </c>
      <c r="H153">
        <f t="shared" si="2"/>
        <v>152</v>
      </c>
      <c r="I153" t="s">
        <v>21</v>
      </c>
      <c r="J153" s="3">
        <v>14141</v>
      </c>
      <c r="K153" t="b">
        <v>0</v>
      </c>
      <c r="L153" t="b">
        <v>0</v>
      </c>
      <c r="M153" t="b">
        <v>1</v>
      </c>
    </row>
    <row r="154" spans="1:13" x14ac:dyDescent="0.3">
      <c r="A154">
        <v>40</v>
      </c>
      <c r="B154" t="s">
        <v>25</v>
      </c>
      <c r="C154" s="1">
        <v>1</v>
      </c>
      <c r="D154" t="s">
        <v>19</v>
      </c>
      <c r="E154" t="s">
        <v>20</v>
      </c>
      <c r="F154" t="s">
        <v>22</v>
      </c>
      <c r="G154" t="s">
        <v>16</v>
      </c>
      <c r="H154">
        <f t="shared" si="2"/>
        <v>153</v>
      </c>
      <c r="I154" t="s">
        <v>17</v>
      </c>
      <c r="J154" s="3">
        <v>16966</v>
      </c>
      <c r="K154" t="b">
        <v>0</v>
      </c>
      <c r="L154" t="b">
        <v>1</v>
      </c>
      <c r="M154" t="b">
        <v>1</v>
      </c>
    </row>
    <row r="155" spans="1:13" x14ac:dyDescent="0.3">
      <c r="A155">
        <v>56</v>
      </c>
      <c r="B155" t="s">
        <v>25</v>
      </c>
      <c r="C155" s="1">
        <v>3</v>
      </c>
      <c r="D155" t="s">
        <v>13</v>
      </c>
      <c r="E155" t="s">
        <v>14</v>
      </c>
      <c r="F155" t="s">
        <v>27</v>
      </c>
      <c r="G155" t="s">
        <v>29</v>
      </c>
      <c r="H155">
        <f t="shared" si="2"/>
        <v>154</v>
      </c>
      <c r="I155" t="s">
        <v>21</v>
      </c>
      <c r="J155" s="3">
        <v>19546</v>
      </c>
      <c r="K155" t="b">
        <v>0</v>
      </c>
      <c r="L155" t="b">
        <v>0</v>
      </c>
      <c r="M155" t="b">
        <v>0</v>
      </c>
    </row>
    <row r="156" spans="1:13" x14ac:dyDescent="0.3">
      <c r="A156">
        <v>62</v>
      </c>
      <c r="B156" t="s">
        <v>12</v>
      </c>
      <c r="C156" s="1">
        <v>6</v>
      </c>
      <c r="D156" t="s">
        <v>13</v>
      </c>
      <c r="E156" t="s">
        <v>20</v>
      </c>
      <c r="F156" t="s">
        <v>15</v>
      </c>
      <c r="G156" t="s">
        <v>23</v>
      </c>
      <c r="H156">
        <f t="shared" si="2"/>
        <v>155</v>
      </c>
      <c r="I156" t="s">
        <v>17</v>
      </c>
      <c r="J156" s="3">
        <v>15335</v>
      </c>
      <c r="K156" t="b">
        <v>0</v>
      </c>
      <c r="L156" t="b">
        <v>1</v>
      </c>
      <c r="M156" t="b">
        <v>0</v>
      </c>
    </row>
    <row r="157" spans="1:13" x14ac:dyDescent="0.3">
      <c r="A157">
        <v>32</v>
      </c>
      <c r="B157" t="s">
        <v>18</v>
      </c>
      <c r="C157" s="1">
        <v>3</v>
      </c>
      <c r="D157" t="s">
        <v>28</v>
      </c>
      <c r="E157" t="s">
        <v>26</v>
      </c>
      <c r="F157" t="s">
        <v>27</v>
      </c>
      <c r="G157" t="s">
        <v>16</v>
      </c>
      <c r="H157">
        <f t="shared" si="2"/>
        <v>156</v>
      </c>
      <c r="I157" t="s">
        <v>24</v>
      </c>
      <c r="J157" s="3">
        <v>15077</v>
      </c>
      <c r="K157" t="b">
        <v>0</v>
      </c>
      <c r="L157" t="b">
        <v>1</v>
      </c>
      <c r="M157" t="b">
        <v>0</v>
      </c>
    </row>
    <row r="158" spans="1:13" x14ac:dyDescent="0.3">
      <c r="A158">
        <v>60</v>
      </c>
      <c r="B158" t="s">
        <v>12</v>
      </c>
      <c r="C158" s="1">
        <v>8</v>
      </c>
      <c r="D158" t="s">
        <v>19</v>
      </c>
      <c r="E158" t="s">
        <v>26</v>
      </c>
      <c r="F158" t="s">
        <v>22</v>
      </c>
      <c r="G158" t="s">
        <v>29</v>
      </c>
      <c r="H158">
        <f t="shared" si="2"/>
        <v>157</v>
      </c>
      <c r="I158" t="s">
        <v>24</v>
      </c>
      <c r="J158" s="3">
        <v>15611</v>
      </c>
      <c r="K158" t="b">
        <v>0</v>
      </c>
      <c r="L158" t="b">
        <v>0</v>
      </c>
      <c r="M158" t="b">
        <v>1</v>
      </c>
    </row>
    <row r="159" spans="1:13" x14ac:dyDescent="0.3">
      <c r="A159">
        <v>46</v>
      </c>
      <c r="B159" t="s">
        <v>12</v>
      </c>
      <c r="C159" s="1">
        <v>2</v>
      </c>
      <c r="D159" t="s">
        <v>28</v>
      </c>
      <c r="E159" t="s">
        <v>26</v>
      </c>
      <c r="F159" t="s">
        <v>27</v>
      </c>
      <c r="G159" t="s">
        <v>23</v>
      </c>
      <c r="H159">
        <f t="shared" si="2"/>
        <v>158</v>
      </c>
      <c r="I159" t="s">
        <v>21</v>
      </c>
      <c r="J159" s="3">
        <v>18089</v>
      </c>
      <c r="K159" t="b">
        <v>1</v>
      </c>
      <c r="L159" t="b">
        <v>1</v>
      </c>
      <c r="M159" t="b">
        <v>0</v>
      </c>
    </row>
    <row r="160" spans="1:13" x14ac:dyDescent="0.3">
      <c r="A160">
        <v>53</v>
      </c>
      <c r="B160" t="s">
        <v>18</v>
      </c>
      <c r="C160" s="1">
        <v>9</v>
      </c>
      <c r="D160" t="s">
        <v>19</v>
      </c>
      <c r="E160" t="s">
        <v>26</v>
      </c>
      <c r="F160" t="s">
        <v>22</v>
      </c>
      <c r="G160" t="s">
        <v>29</v>
      </c>
      <c r="H160">
        <f t="shared" si="2"/>
        <v>159</v>
      </c>
      <c r="I160" t="s">
        <v>24</v>
      </c>
      <c r="J160" s="3">
        <v>12892</v>
      </c>
      <c r="K160" t="b">
        <v>0</v>
      </c>
      <c r="L160" t="b">
        <v>0</v>
      </c>
      <c r="M160" t="b">
        <v>0</v>
      </c>
    </row>
    <row r="161" spans="1:13" x14ac:dyDescent="0.3">
      <c r="A161">
        <v>30</v>
      </c>
      <c r="B161" t="s">
        <v>18</v>
      </c>
      <c r="C161" s="1">
        <v>3</v>
      </c>
      <c r="D161" t="s">
        <v>13</v>
      </c>
      <c r="E161" t="s">
        <v>20</v>
      </c>
      <c r="F161" t="s">
        <v>22</v>
      </c>
      <c r="G161" t="s">
        <v>16</v>
      </c>
      <c r="H161">
        <f t="shared" si="2"/>
        <v>160</v>
      </c>
      <c r="I161" t="s">
        <v>21</v>
      </c>
      <c r="J161" s="3">
        <v>15577</v>
      </c>
      <c r="K161" t="b">
        <v>1</v>
      </c>
      <c r="L161" t="b">
        <v>0</v>
      </c>
      <c r="M161" t="b">
        <v>1</v>
      </c>
    </row>
    <row r="162" spans="1:13" x14ac:dyDescent="0.3">
      <c r="A162">
        <v>49</v>
      </c>
      <c r="B162" t="s">
        <v>18</v>
      </c>
      <c r="C162" s="1">
        <v>5</v>
      </c>
      <c r="D162" t="s">
        <v>28</v>
      </c>
      <c r="E162" t="s">
        <v>14</v>
      </c>
      <c r="F162" t="s">
        <v>27</v>
      </c>
      <c r="G162" t="s">
        <v>23</v>
      </c>
      <c r="H162">
        <f t="shared" si="2"/>
        <v>161</v>
      </c>
      <c r="I162" t="s">
        <v>21</v>
      </c>
      <c r="J162" s="3">
        <v>13618</v>
      </c>
      <c r="K162" t="b">
        <v>0</v>
      </c>
      <c r="L162" t="b">
        <v>1</v>
      </c>
      <c r="M162" t="b">
        <v>1</v>
      </c>
    </row>
    <row r="163" spans="1:13" x14ac:dyDescent="0.3">
      <c r="A163">
        <v>24</v>
      </c>
      <c r="B163" t="s">
        <v>25</v>
      </c>
      <c r="C163" s="1">
        <v>8</v>
      </c>
      <c r="D163" t="s">
        <v>28</v>
      </c>
      <c r="E163" t="s">
        <v>26</v>
      </c>
      <c r="F163" t="s">
        <v>15</v>
      </c>
      <c r="G163" t="s">
        <v>23</v>
      </c>
      <c r="H163">
        <f t="shared" si="2"/>
        <v>162</v>
      </c>
      <c r="I163" t="s">
        <v>24</v>
      </c>
      <c r="J163" s="3">
        <v>11559</v>
      </c>
      <c r="K163" t="b">
        <v>1</v>
      </c>
      <c r="L163" t="b">
        <v>0</v>
      </c>
      <c r="M163" t="b">
        <v>0</v>
      </c>
    </row>
    <row r="164" spans="1:13" x14ac:dyDescent="0.3">
      <c r="A164">
        <v>39</v>
      </c>
      <c r="B164" t="s">
        <v>12</v>
      </c>
      <c r="C164" s="1">
        <v>2</v>
      </c>
      <c r="D164" t="s">
        <v>13</v>
      </c>
      <c r="E164" t="s">
        <v>26</v>
      </c>
      <c r="F164" t="s">
        <v>22</v>
      </c>
      <c r="G164" t="s">
        <v>29</v>
      </c>
      <c r="H164">
        <f t="shared" si="2"/>
        <v>163</v>
      </c>
      <c r="I164" t="s">
        <v>24</v>
      </c>
      <c r="J164" s="3">
        <v>16683</v>
      </c>
      <c r="K164" t="b">
        <v>1</v>
      </c>
      <c r="L164" t="b">
        <v>1</v>
      </c>
      <c r="M164" t="b">
        <v>0</v>
      </c>
    </row>
    <row r="165" spans="1:13" x14ac:dyDescent="0.3">
      <c r="A165">
        <v>45</v>
      </c>
      <c r="B165" t="s">
        <v>12</v>
      </c>
      <c r="C165" s="1">
        <v>6</v>
      </c>
      <c r="D165" t="s">
        <v>28</v>
      </c>
      <c r="E165" t="s">
        <v>20</v>
      </c>
      <c r="F165" t="s">
        <v>27</v>
      </c>
      <c r="G165" t="s">
        <v>29</v>
      </c>
      <c r="H165">
        <f t="shared" si="2"/>
        <v>164</v>
      </c>
      <c r="I165" t="s">
        <v>21</v>
      </c>
      <c r="J165" s="3">
        <v>11507</v>
      </c>
      <c r="K165" t="b">
        <v>0</v>
      </c>
      <c r="L165" t="b">
        <v>1</v>
      </c>
      <c r="M165" t="b">
        <v>1</v>
      </c>
    </row>
    <row r="166" spans="1:13" x14ac:dyDescent="0.3">
      <c r="A166">
        <v>19</v>
      </c>
      <c r="B166" t="s">
        <v>25</v>
      </c>
      <c r="C166" s="1">
        <v>5</v>
      </c>
      <c r="D166" t="s">
        <v>19</v>
      </c>
      <c r="E166" t="s">
        <v>20</v>
      </c>
      <c r="F166" t="s">
        <v>22</v>
      </c>
      <c r="G166" t="s">
        <v>29</v>
      </c>
      <c r="H166">
        <f t="shared" si="2"/>
        <v>165</v>
      </c>
      <c r="I166" t="s">
        <v>24</v>
      </c>
      <c r="J166" s="3">
        <v>12063</v>
      </c>
      <c r="K166" t="b">
        <v>0</v>
      </c>
      <c r="L166" t="b">
        <v>0</v>
      </c>
      <c r="M166" t="b">
        <v>1</v>
      </c>
    </row>
    <row r="167" spans="1:13" x14ac:dyDescent="0.3">
      <c r="A167">
        <v>59</v>
      </c>
      <c r="B167" t="s">
        <v>18</v>
      </c>
      <c r="C167" s="1">
        <v>9</v>
      </c>
      <c r="D167" t="s">
        <v>19</v>
      </c>
      <c r="E167" t="s">
        <v>26</v>
      </c>
      <c r="F167" t="s">
        <v>15</v>
      </c>
      <c r="G167" t="s">
        <v>23</v>
      </c>
      <c r="H167">
        <f t="shared" si="2"/>
        <v>166</v>
      </c>
      <c r="I167" t="s">
        <v>17</v>
      </c>
      <c r="J167" s="3">
        <v>13642</v>
      </c>
      <c r="K167" t="b">
        <v>1</v>
      </c>
      <c r="L167" t="b">
        <v>0</v>
      </c>
      <c r="M167" t="b">
        <v>1</v>
      </c>
    </row>
    <row r="168" spans="1:13" x14ac:dyDescent="0.3">
      <c r="A168">
        <v>62</v>
      </c>
      <c r="B168" t="s">
        <v>25</v>
      </c>
      <c r="C168" s="1">
        <v>5</v>
      </c>
      <c r="D168" t="s">
        <v>19</v>
      </c>
      <c r="E168" t="s">
        <v>14</v>
      </c>
      <c r="F168" t="s">
        <v>27</v>
      </c>
      <c r="G168" t="s">
        <v>23</v>
      </c>
      <c r="H168">
        <f t="shared" si="2"/>
        <v>167</v>
      </c>
      <c r="I168" t="s">
        <v>24</v>
      </c>
      <c r="J168" s="3">
        <v>12000</v>
      </c>
      <c r="K168" t="b">
        <v>0</v>
      </c>
      <c r="L168" t="b">
        <v>0</v>
      </c>
      <c r="M168" t="b">
        <v>1</v>
      </c>
    </row>
    <row r="169" spans="1:13" x14ac:dyDescent="0.3">
      <c r="A169">
        <v>23</v>
      </c>
      <c r="B169" t="s">
        <v>25</v>
      </c>
      <c r="C169" s="1">
        <v>2</v>
      </c>
      <c r="D169" t="s">
        <v>19</v>
      </c>
      <c r="E169" t="s">
        <v>14</v>
      </c>
      <c r="F169" t="s">
        <v>27</v>
      </c>
      <c r="G169" t="s">
        <v>16</v>
      </c>
      <c r="H169">
        <f t="shared" si="2"/>
        <v>168</v>
      </c>
      <c r="I169" t="s">
        <v>24</v>
      </c>
      <c r="J169" s="3">
        <v>11294</v>
      </c>
      <c r="K169" t="b">
        <v>0</v>
      </c>
      <c r="L169" t="b">
        <v>1</v>
      </c>
      <c r="M169" t="b">
        <v>1</v>
      </c>
    </row>
    <row r="170" spans="1:13" x14ac:dyDescent="0.3">
      <c r="A170">
        <v>45</v>
      </c>
      <c r="B170" t="s">
        <v>25</v>
      </c>
      <c r="C170" s="1">
        <v>5</v>
      </c>
      <c r="D170" t="s">
        <v>13</v>
      </c>
      <c r="E170" t="s">
        <v>26</v>
      </c>
      <c r="F170" t="s">
        <v>27</v>
      </c>
      <c r="G170" t="s">
        <v>23</v>
      </c>
      <c r="H170">
        <f t="shared" si="2"/>
        <v>169</v>
      </c>
      <c r="I170" t="s">
        <v>17</v>
      </c>
      <c r="J170" s="3">
        <v>14065</v>
      </c>
      <c r="K170" t="b">
        <v>1</v>
      </c>
      <c r="L170" t="b">
        <v>0</v>
      </c>
      <c r="M170" t="b">
        <v>0</v>
      </c>
    </row>
    <row r="171" spans="1:13" x14ac:dyDescent="0.3">
      <c r="A171">
        <v>45</v>
      </c>
      <c r="B171" t="s">
        <v>12</v>
      </c>
      <c r="C171" s="1">
        <v>4</v>
      </c>
      <c r="D171" t="s">
        <v>28</v>
      </c>
      <c r="E171" t="s">
        <v>20</v>
      </c>
      <c r="F171" t="s">
        <v>15</v>
      </c>
      <c r="G171" t="s">
        <v>16</v>
      </c>
      <c r="H171">
        <f t="shared" si="2"/>
        <v>170</v>
      </c>
      <c r="I171" t="s">
        <v>24</v>
      </c>
      <c r="J171" s="3">
        <v>18014</v>
      </c>
      <c r="K171" t="b">
        <v>1</v>
      </c>
      <c r="L171" t="b">
        <v>1</v>
      </c>
      <c r="M171" t="b">
        <v>1</v>
      </c>
    </row>
    <row r="172" spans="1:13" x14ac:dyDescent="0.3">
      <c r="A172">
        <v>61</v>
      </c>
      <c r="B172" t="s">
        <v>25</v>
      </c>
      <c r="C172" s="1">
        <v>7</v>
      </c>
      <c r="D172" t="s">
        <v>19</v>
      </c>
      <c r="E172" t="s">
        <v>26</v>
      </c>
      <c r="F172" t="s">
        <v>22</v>
      </c>
      <c r="G172" t="s">
        <v>29</v>
      </c>
      <c r="H172">
        <f t="shared" si="2"/>
        <v>171</v>
      </c>
      <c r="I172" t="s">
        <v>24</v>
      </c>
      <c r="J172" s="3">
        <v>19945</v>
      </c>
      <c r="K172" t="b">
        <v>1</v>
      </c>
      <c r="L172" t="b">
        <v>1</v>
      </c>
      <c r="M172" t="b">
        <v>1</v>
      </c>
    </row>
    <row r="173" spans="1:13" x14ac:dyDescent="0.3">
      <c r="A173">
        <v>61</v>
      </c>
      <c r="B173" t="s">
        <v>12</v>
      </c>
      <c r="C173" s="1">
        <v>6</v>
      </c>
      <c r="D173" t="s">
        <v>13</v>
      </c>
      <c r="E173" t="s">
        <v>26</v>
      </c>
      <c r="F173" t="s">
        <v>27</v>
      </c>
      <c r="G173" t="s">
        <v>29</v>
      </c>
      <c r="H173">
        <f t="shared" si="2"/>
        <v>172</v>
      </c>
      <c r="I173" t="s">
        <v>21</v>
      </c>
      <c r="J173" s="3">
        <v>11603</v>
      </c>
      <c r="K173" t="b">
        <v>0</v>
      </c>
      <c r="L173" t="b">
        <v>0</v>
      </c>
      <c r="M173" t="b">
        <v>1</v>
      </c>
    </row>
    <row r="174" spans="1:13" x14ac:dyDescent="0.3">
      <c r="A174">
        <v>37</v>
      </c>
      <c r="B174" t="s">
        <v>12</v>
      </c>
      <c r="C174" s="1">
        <v>2</v>
      </c>
      <c r="D174" t="s">
        <v>28</v>
      </c>
      <c r="E174" t="s">
        <v>20</v>
      </c>
      <c r="F174" t="s">
        <v>22</v>
      </c>
      <c r="G174" t="s">
        <v>23</v>
      </c>
      <c r="H174">
        <f t="shared" si="2"/>
        <v>173</v>
      </c>
      <c r="I174" t="s">
        <v>24</v>
      </c>
      <c r="J174" s="3">
        <v>11322</v>
      </c>
      <c r="K174" t="b">
        <v>0</v>
      </c>
      <c r="L174" t="b">
        <v>0</v>
      </c>
      <c r="M174" t="b">
        <v>1</v>
      </c>
    </row>
    <row r="175" spans="1:13" x14ac:dyDescent="0.3">
      <c r="A175">
        <v>47</v>
      </c>
      <c r="B175" t="s">
        <v>12</v>
      </c>
      <c r="C175" s="1">
        <v>5</v>
      </c>
      <c r="D175" t="s">
        <v>28</v>
      </c>
      <c r="E175" t="s">
        <v>26</v>
      </c>
      <c r="F175" t="s">
        <v>22</v>
      </c>
      <c r="G175" t="s">
        <v>29</v>
      </c>
      <c r="H175">
        <f t="shared" si="2"/>
        <v>174</v>
      </c>
      <c r="I175" t="s">
        <v>24</v>
      </c>
      <c r="J175" s="3">
        <v>15956</v>
      </c>
      <c r="K175" t="b">
        <v>0</v>
      </c>
      <c r="L175" t="b">
        <v>0</v>
      </c>
      <c r="M175" t="b">
        <v>1</v>
      </c>
    </row>
    <row r="176" spans="1:13" x14ac:dyDescent="0.3">
      <c r="A176">
        <v>28</v>
      </c>
      <c r="B176" t="s">
        <v>18</v>
      </c>
      <c r="C176" s="1">
        <v>7</v>
      </c>
      <c r="D176" t="s">
        <v>13</v>
      </c>
      <c r="E176" t="s">
        <v>26</v>
      </c>
      <c r="F176" t="s">
        <v>15</v>
      </c>
      <c r="G176" t="s">
        <v>29</v>
      </c>
      <c r="H176">
        <f t="shared" si="2"/>
        <v>175</v>
      </c>
      <c r="I176" t="s">
        <v>17</v>
      </c>
      <c r="J176" s="3">
        <v>12441</v>
      </c>
      <c r="K176" t="b">
        <v>0</v>
      </c>
      <c r="L176" t="b">
        <v>1</v>
      </c>
      <c r="M176" t="b">
        <v>0</v>
      </c>
    </row>
    <row r="177" spans="1:13" x14ac:dyDescent="0.3">
      <c r="A177">
        <v>45</v>
      </c>
      <c r="B177" t="s">
        <v>12</v>
      </c>
      <c r="C177" s="1">
        <v>7</v>
      </c>
      <c r="D177" t="s">
        <v>13</v>
      </c>
      <c r="E177" t="s">
        <v>26</v>
      </c>
      <c r="F177" t="s">
        <v>27</v>
      </c>
      <c r="G177" t="s">
        <v>23</v>
      </c>
      <c r="H177">
        <f t="shared" si="2"/>
        <v>176</v>
      </c>
      <c r="I177" t="s">
        <v>21</v>
      </c>
      <c r="J177" s="3">
        <v>11098</v>
      </c>
      <c r="K177" t="b">
        <v>1</v>
      </c>
      <c r="L177" t="b">
        <v>0</v>
      </c>
      <c r="M177" t="b">
        <v>1</v>
      </c>
    </row>
    <row r="178" spans="1:13" x14ac:dyDescent="0.3">
      <c r="A178">
        <v>42</v>
      </c>
      <c r="B178" t="s">
        <v>12</v>
      </c>
      <c r="C178" s="1">
        <v>5</v>
      </c>
      <c r="D178" t="s">
        <v>19</v>
      </c>
      <c r="E178" t="s">
        <v>20</v>
      </c>
      <c r="F178" t="s">
        <v>22</v>
      </c>
      <c r="G178" t="s">
        <v>16</v>
      </c>
      <c r="H178">
        <f t="shared" si="2"/>
        <v>177</v>
      </c>
      <c r="I178" t="s">
        <v>21</v>
      </c>
      <c r="J178" s="3">
        <v>15073</v>
      </c>
      <c r="K178" t="b">
        <v>0</v>
      </c>
      <c r="L178" t="b">
        <v>1</v>
      </c>
      <c r="M178" t="b">
        <v>0</v>
      </c>
    </row>
    <row r="179" spans="1:13" x14ac:dyDescent="0.3">
      <c r="A179">
        <v>56</v>
      </c>
      <c r="B179" t="s">
        <v>18</v>
      </c>
      <c r="C179" s="1">
        <v>9</v>
      </c>
      <c r="D179" t="s">
        <v>28</v>
      </c>
      <c r="E179" t="s">
        <v>14</v>
      </c>
      <c r="F179" t="s">
        <v>27</v>
      </c>
      <c r="G179" t="s">
        <v>23</v>
      </c>
      <c r="H179">
        <f t="shared" si="2"/>
        <v>178</v>
      </c>
      <c r="I179" t="s">
        <v>21</v>
      </c>
      <c r="J179" s="3">
        <v>19697</v>
      </c>
      <c r="K179" t="b">
        <v>1</v>
      </c>
      <c r="L179" t="b">
        <v>0</v>
      </c>
      <c r="M179" t="b">
        <v>1</v>
      </c>
    </row>
    <row r="180" spans="1:13" x14ac:dyDescent="0.3">
      <c r="A180">
        <v>50</v>
      </c>
      <c r="B180" t="s">
        <v>12</v>
      </c>
      <c r="C180" s="1">
        <v>4</v>
      </c>
      <c r="D180" t="s">
        <v>28</v>
      </c>
      <c r="E180" t="s">
        <v>14</v>
      </c>
      <c r="F180" t="s">
        <v>27</v>
      </c>
      <c r="G180" t="s">
        <v>16</v>
      </c>
      <c r="H180">
        <f t="shared" si="2"/>
        <v>179</v>
      </c>
      <c r="I180" t="s">
        <v>24</v>
      </c>
      <c r="J180" s="3">
        <v>19318</v>
      </c>
      <c r="K180" t="b">
        <v>0</v>
      </c>
      <c r="L180" t="b">
        <v>0</v>
      </c>
      <c r="M180" t="b">
        <v>0</v>
      </c>
    </row>
    <row r="181" spans="1:13" x14ac:dyDescent="0.3">
      <c r="A181">
        <v>18</v>
      </c>
      <c r="B181" t="s">
        <v>25</v>
      </c>
      <c r="C181" s="1">
        <v>3</v>
      </c>
      <c r="D181" t="s">
        <v>13</v>
      </c>
      <c r="E181" t="s">
        <v>20</v>
      </c>
      <c r="F181" t="s">
        <v>15</v>
      </c>
      <c r="G181" t="s">
        <v>23</v>
      </c>
      <c r="H181">
        <f t="shared" si="2"/>
        <v>180</v>
      </c>
      <c r="I181" t="s">
        <v>21</v>
      </c>
      <c r="J181" s="3">
        <v>18488</v>
      </c>
      <c r="K181" t="b">
        <v>0</v>
      </c>
      <c r="L181" t="b">
        <v>1</v>
      </c>
      <c r="M181" t="b">
        <v>0</v>
      </c>
    </row>
    <row r="182" spans="1:13" x14ac:dyDescent="0.3">
      <c r="A182">
        <v>44</v>
      </c>
      <c r="B182" t="s">
        <v>25</v>
      </c>
      <c r="C182" s="1">
        <v>4</v>
      </c>
      <c r="D182" t="s">
        <v>28</v>
      </c>
      <c r="E182" t="s">
        <v>14</v>
      </c>
      <c r="F182" t="s">
        <v>27</v>
      </c>
      <c r="G182" t="s">
        <v>23</v>
      </c>
      <c r="H182">
        <f t="shared" si="2"/>
        <v>181</v>
      </c>
      <c r="I182" t="s">
        <v>17</v>
      </c>
      <c r="J182" s="3">
        <v>13787</v>
      </c>
      <c r="K182" t="b">
        <v>1</v>
      </c>
      <c r="L182" t="b">
        <v>1</v>
      </c>
      <c r="M182" t="b">
        <v>1</v>
      </c>
    </row>
    <row r="183" spans="1:13" x14ac:dyDescent="0.3">
      <c r="A183">
        <v>30</v>
      </c>
      <c r="B183" t="s">
        <v>12</v>
      </c>
      <c r="C183" s="1">
        <v>5</v>
      </c>
      <c r="D183" t="s">
        <v>19</v>
      </c>
      <c r="E183" t="s">
        <v>26</v>
      </c>
      <c r="F183" t="s">
        <v>27</v>
      </c>
      <c r="G183" t="s">
        <v>29</v>
      </c>
      <c r="H183">
        <f t="shared" si="2"/>
        <v>182</v>
      </c>
      <c r="I183" t="s">
        <v>21</v>
      </c>
      <c r="J183" s="3">
        <v>12096</v>
      </c>
      <c r="K183" t="b">
        <v>0</v>
      </c>
      <c r="L183" t="b">
        <v>0</v>
      </c>
      <c r="M183" t="b">
        <v>1</v>
      </c>
    </row>
    <row r="184" spans="1:13" x14ac:dyDescent="0.3">
      <c r="A184">
        <v>58</v>
      </c>
      <c r="B184" t="s">
        <v>18</v>
      </c>
      <c r="C184" s="1">
        <v>6</v>
      </c>
      <c r="D184" t="s">
        <v>28</v>
      </c>
      <c r="E184" t="s">
        <v>14</v>
      </c>
      <c r="F184" t="s">
        <v>22</v>
      </c>
      <c r="G184" t="s">
        <v>23</v>
      </c>
      <c r="H184">
        <f t="shared" si="2"/>
        <v>183</v>
      </c>
      <c r="I184" t="s">
        <v>17</v>
      </c>
      <c r="J184" s="3">
        <v>12208</v>
      </c>
      <c r="K184" t="b">
        <v>0</v>
      </c>
      <c r="L184" t="b">
        <v>0</v>
      </c>
      <c r="M184" t="b">
        <v>1</v>
      </c>
    </row>
    <row r="185" spans="1:13" x14ac:dyDescent="0.3">
      <c r="A185">
        <v>20</v>
      </c>
      <c r="B185" t="s">
        <v>25</v>
      </c>
      <c r="C185" s="1">
        <v>3</v>
      </c>
      <c r="D185" t="s">
        <v>13</v>
      </c>
      <c r="E185" t="s">
        <v>26</v>
      </c>
      <c r="F185" t="s">
        <v>15</v>
      </c>
      <c r="G185" t="s">
        <v>23</v>
      </c>
      <c r="H185">
        <f t="shared" si="2"/>
        <v>184</v>
      </c>
      <c r="I185" t="s">
        <v>21</v>
      </c>
      <c r="J185" s="3">
        <v>15988</v>
      </c>
      <c r="K185" t="b">
        <v>1</v>
      </c>
      <c r="L185" t="b">
        <v>0</v>
      </c>
      <c r="M185" t="b">
        <v>1</v>
      </c>
    </row>
    <row r="186" spans="1:13" x14ac:dyDescent="0.3">
      <c r="A186">
        <v>56</v>
      </c>
      <c r="B186" t="s">
        <v>18</v>
      </c>
      <c r="C186" s="1">
        <v>2</v>
      </c>
      <c r="D186" t="s">
        <v>13</v>
      </c>
      <c r="E186" t="s">
        <v>14</v>
      </c>
      <c r="F186" t="s">
        <v>27</v>
      </c>
      <c r="G186" t="s">
        <v>16</v>
      </c>
      <c r="H186">
        <f t="shared" si="2"/>
        <v>185</v>
      </c>
      <c r="I186" t="s">
        <v>21</v>
      </c>
      <c r="J186" s="3">
        <v>10175</v>
      </c>
      <c r="K186" t="b">
        <v>0</v>
      </c>
      <c r="L186" t="b">
        <v>0</v>
      </c>
      <c r="M186" t="b">
        <v>1</v>
      </c>
    </row>
    <row r="187" spans="1:13" x14ac:dyDescent="0.3">
      <c r="A187">
        <v>23</v>
      </c>
      <c r="B187" t="s">
        <v>18</v>
      </c>
      <c r="C187" s="1">
        <v>4</v>
      </c>
      <c r="D187" t="s">
        <v>19</v>
      </c>
      <c r="E187" t="s">
        <v>20</v>
      </c>
      <c r="F187" t="s">
        <v>22</v>
      </c>
      <c r="G187" t="s">
        <v>29</v>
      </c>
      <c r="H187">
        <f t="shared" si="2"/>
        <v>186</v>
      </c>
      <c r="I187" t="s">
        <v>17</v>
      </c>
      <c r="J187" s="3">
        <v>17169</v>
      </c>
      <c r="K187" t="b">
        <v>1</v>
      </c>
      <c r="L187" t="b">
        <v>0</v>
      </c>
      <c r="M187" t="b">
        <v>0</v>
      </c>
    </row>
    <row r="188" spans="1:13" x14ac:dyDescent="0.3">
      <c r="A188">
        <v>25</v>
      </c>
      <c r="B188" t="s">
        <v>25</v>
      </c>
      <c r="C188" s="1">
        <v>5</v>
      </c>
      <c r="D188" t="s">
        <v>19</v>
      </c>
      <c r="E188" t="s">
        <v>14</v>
      </c>
      <c r="F188" t="s">
        <v>15</v>
      </c>
      <c r="G188" t="s">
        <v>16</v>
      </c>
      <c r="H188">
        <f t="shared" si="2"/>
        <v>187</v>
      </c>
      <c r="I188" t="s">
        <v>21</v>
      </c>
      <c r="J188" s="3">
        <v>16014</v>
      </c>
      <c r="K188" t="b">
        <v>1</v>
      </c>
      <c r="L188" t="b">
        <v>1</v>
      </c>
      <c r="M188" t="b">
        <v>1</v>
      </c>
    </row>
    <row r="189" spans="1:13" x14ac:dyDescent="0.3">
      <c r="A189">
        <v>44</v>
      </c>
      <c r="B189" t="s">
        <v>18</v>
      </c>
      <c r="C189" s="1">
        <v>4</v>
      </c>
      <c r="D189" t="s">
        <v>28</v>
      </c>
      <c r="E189" t="s">
        <v>14</v>
      </c>
      <c r="F189" t="s">
        <v>15</v>
      </c>
      <c r="G189" t="s">
        <v>16</v>
      </c>
      <c r="H189">
        <f t="shared" si="2"/>
        <v>188</v>
      </c>
      <c r="I189" t="s">
        <v>21</v>
      </c>
      <c r="J189" s="3">
        <v>11667</v>
      </c>
      <c r="K189" t="b">
        <v>1</v>
      </c>
      <c r="L189" t="b">
        <v>1</v>
      </c>
      <c r="M189" t="b">
        <v>1</v>
      </c>
    </row>
    <row r="190" spans="1:13" x14ac:dyDescent="0.3">
      <c r="A190">
        <v>26</v>
      </c>
      <c r="B190" t="s">
        <v>25</v>
      </c>
      <c r="C190" s="1">
        <v>3</v>
      </c>
      <c r="D190" t="s">
        <v>28</v>
      </c>
      <c r="E190" t="s">
        <v>14</v>
      </c>
      <c r="F190" t="s">
        <v>22</v>
      </c>
      <c r="G190" t="s">
        <v>29</v>
      </c>
      <c r="H190">
        <f t="shared" si="2"/>
        <v>189</v>
      </c>
      <c r="I190" t="s">
        <v>21</v>
      </c>
      <c r="J190" s="3">
        <v>18867</v>
      </c>
      <c r="K190" t="b">
        <v>1</v>
      </c>
      <c r="L190" t="b">
        <v>1</v>
      </c>
      <c r="M190" t="b">
        <v>0</v>
      </c>
    </row>
    <row r="191" spans="1:13" x14ac:dyDescent="0.3">
      <c r="A191">
        <v>54</v>
      </c>
      <c r="B191" t="s">
        <v>18</v>
      </c>
      <c r="C191" s="1">
        <v>8</v>
      </c>
      <c r="D191" t="s">
        <v>13</v>
      </c>
      <c r="E191" t="s">
        <v>20</v>
      </c>
      <c r="F191" t="s">
        <v>22</v>
      </c>
      <c r="G191" t="s">
        <v>29</v>
      </c>
      <c r="H191">
        <f t="shared" si="2"/>
        <v>190</v>
      </c>
      <c r="I191" t="s">
        <v>24</v>
      </c>
      <c r="J191" s="3">
        <v>11823</v>
      </c>
      <c r="K191" t="b">
        <v>0</v>
      </c>
      <c r="L191" t="b">
        <v>1</v>
      </c>
      <c r="M191" t="b">
        <v>1</v>
      </c>
    </row>
    <row r="192" spans="1:13" x14ac:dyDescent="0.3">
      <c r="A192">
        <v>50</v>
      </c>
      <c r="B192" t="s">
        <v>25</v>
      </c>
      <c r="C192" s="1">
        <v>4</v>
      </c>
      <c r="D192" t="s">
        <v>19</v>
      </c>
      <c r="E192" t="s">
        <v>14</v>
      </c>
      <c r="F192" t="s">
        <v>22</v>
      </c>
      <c r="G192" t="s">
        <v>29</v>
      </c>
      <c r="H192">
        <f t="shared" si="2"/>
        <v>191</v>
      </c>
      <c r="I192" t="s">
        <v>17</v>
      </c>
      <c r="J192" s="3">
        <v>15147</v>
      </c>
      <c r="K192" t="b">
        <v>0</v>
      </c>
      <c r="L192" t="b">
        <v>0</v>
      </c>
      <c r="M192" t="b">
        <v>0</v>
      </c>
    </row>
    <row r="193" spans="1:13" x14ac:dyDescent="0.3">
      <c r="A193">
        <v>59</v>
      </c>
      <c r="B193" t="s">
        <v>12</v>
      </c>
      <c r="C193" s="1">
        <v>2</v>
      </c>
      <c r="D193" t="s">
        <v>19</v>
      </c>
      <c r="E193" t="s">
        <v>20</v>
      </c>
      <c r="F193" t="s">
        <v>22</v>
      </c>
      <c r="G193" t="s">
        <v>23</v>
      </c>
      <c r="H193">
        <f t="shared" si="2"/>
        <v>192</v>
      </c>
      <c r="I193" t="s">
        <v>21</v>
      </c>
      <c r="J193" s="3">
        <v>11356</v>
      </c>
      <c r="K193" t="b">
        <v>0</v>
      </c>
      <c r="L193" t="b">
        <v>1</v>
      </c>
      <c r="M193" t="b">
        <v>1</v>
      </c>
    </row>
    <row r="194" spans="1:13" x14ac:dyDescent="0.3">
      <c r="A194">
        <v>61</v>
      </c>
      <c r="B194" t="s">
        <v>25</v>
      </c>
      <c r="C194" s="1">
        <v>2</v>
      </c>
      <c r="D194" t="s">
        <v>19</v>
      </c>
      <c r="E194" t="s">
        <v>26</v>
      </c>
      <c r="F194" t="s">
        <v>22</v>
      </c>
      <c r="G194" t="s">
        <v>29</v>
      </c>
      <c r="H194">
        <f t="shared" si="2"/>
        <v>193</v>
      </c>
      <c r="I194" t="s">
        <v>17</v>
      </c>
      <c r="J194" s="3">
        <v>13072</v>
      </c>
      <c r="K194" t="b">
        <v>1</v>
      </c>
      <c r="L194" t="b">
        <v>1</v>
      </c>
      <c r="M194" t="b">
        <v>0</v>
      </c>
    </row>
    <row r="195" spans="1:13" x14ac:dyDescent="0.3">
      <c r="A195">
        <v>41</v>
      </c>
      <c r="B195" t="s">
        <v>25</v>
      </c>
      <c r="C195" s="1">
        <v>1</v>
      </c>
      <c r="D195" t="s">
        <v>28</v>
      </c>
      <c r="E195" t="s">
        <v>14</v>
      </c>
      <c r="F195" t="s">
        <v>27</v>
      </c>
      <c r="G195" t="s">
        <v>29</v>
      </c>
      <c r="H195">
        <f t="shared" si="2"/>
        <v>194</v>
      </c>
      <c r="I195" t="s">
        <v>17</v>
      </c>
      <c r="J195" s="3">
        <v>13259</v>
      </c>
      <c r="K195" t="b">
        <v>0</v>
      </c>
      <c r="L195" t="b">
        <v>1</v>
      </c>
      <c r="M195" t="b">
        <v>1</v>
      </c>
    </row>
    <row r="196" spans="1:13" x14ac:dyDescent="0.3">
      <c r="A196">
        <v>32</v>
      </c>
      <c r="B196" t="s">
        <v>25</v>
      </c>
      <c r="C196" s="1">
        <v>4</v>
      </c>
      <c r="D196" t="s">
        <v>19</v>
      </c>
      <c r="E196" t="s">
        <v>20</v>
      </c>
      <c r="F196" t="s">
        <v>27</v>
      </c>
      <c r="G196" t="s">
        <v>29</v>
      </c>
      <c r="H196">
        <f t="shared" ref="H196:I259" si="3">H195+1</f>
        <v>195</v>
      </c>
      <c r="I196" t="s">
        <v>17</v>
      </c>
      <c r="J196" s="3">
        <v>16199</v>
      </c>
      <c r="K196" t="b">
        <v>0</v>
      </c>
      <c r="L196" t="b">
        <v>0</v>
      </c>
      <c r="M196" t="b">
        <v>0</v>
      </c>
    </row>
    <row r="197" spans="1:13" x14ac:dyDescent="0.3">
      <c r="A197">
        <v>49</v>
      </c>
      <c r="B197" t="s">
        <v>25</v>
      </c>
      <c r="C197" s="1">
        <v>9</v>
      </c>
      <c r="D197" t="s">
        <v>13</v>
      </c>
      <c r="E197" t="s">
        <v>20</v>
      </c>
      <c r="F197" t="s">
        <v>15</v>
      </c>
      <c r="G197" t="s">
        <v>16</v>
      </c>
      <c r="H197">
        <f t="shared" si="3"/>
        <v>196</v>
      </c>
      <c r="I197" t="s">
        <v>21</v>
      </c>
      <c r="J197" s="3">
        <v>10546</v>
      </c>
      <c r="K197" t="b">
        <v>0</v>
      </c>
      <c r="L197" t="b">
        <v>1</v>
      </c>
      <c r="M197" t="b">
        <v>0</v>
      </c>
    </row>
    <row r="198" spans="1:13" x14ac:dyDescent="0.3">
      <c r="A198">
        <v>49</v>
      </c>
      <c r="B198" t="s">
        <v>18</v>
      </c>
      <c r="C198" s="1">
        <v>7</v>
      </c>
      <c r="D198" t="s">
        <v>13</v>
      </c>
      <c r="E198" t="s">
        <v>14</v>
      </c>
      <c r="F198" t="s">
        <v>27</v>
      </c>
      <c r="G198" t="s">
        <v>16</v>
      </c>
      <c r="H198">
        <f t="shared" si="3"/>
        <v>197</v>
      </c>
      <c r="I198" t="s">
        <v>21</v>
      </c>
      <c r="J198" s="3">
        <v>15231</v>
      </c>
      <c r="K198" t="b">
        <v>0</v>
      </c>
      <c r="L198" t="b">
        <v>0</v>
      </c>
      <c r="M198" t="b">
        <v>1</v>
      </c>
    </row>
    <row r="199" spans="1:13" x14ac:dyDescent="0.3">
      <c r="A199">
        <v>41</v>
      </c>
      <c r="B199" t="s">
        <v>12</v>
      </c>
      <c r="C199" s="1">
        <v>7</v>
      </c>
      <c r="D199" t="s">
        <v>28</v>
      </c>
      <c r="E199" t="s">
        <v>26</v>
      </c>
      <c r="F199" t="s">
        <v>27</v>
      </c>
      <c r="G199" t="s">
        <v>23</v>
      </c>
      <c r="H199">
        <f t="shared" si="3"/>
        <v>198</v>
      </c>
      <c r="I199" t="s">
        <v>17</v>
      </c>
      <c r="J199" s="3">
        <v>17965</v>
      </c>
      <c r="K199" t="b">
        <v>1</v>
      </c>
      <c r="L199" t="b">
        <v>1</v>
      </c>
      <c r="M199" t="b">
        <v>1</v>
      </c>
    </row>
    <row r="200" spans="1:13" x14ac:dyDescent="0.3">
      <c r="A200">
        <v>58</v>
      </c>
      <c r="B200" t="s">
        <v>25</v>
      </c>
      <c r="C200" s="1">
        <v>7</v>
      </c>
      <c r="D200" t="s">
        <v>28</v>
      </c>
      <c r="E200" t="s">
        <v>20</v>
      </c>
      <c r="F200" t="s">
        <v>27</v>
      </c>
      <c r="G200" t="s">
        <v>16</v>
      </c>
      <c r="H200">
        <f t="shared" si="3"/>
        <v>199</v>
      </c>
      <c r="I200" t="s">
        <v>24</v>
      </c>
      <c r="J200" s="3">
        <v>12083</v>
      </c>
      <c r="K200" t="b">
        <v>1</v>
      </c>
      <c r="L200" t="b">
        <v>0</v>
      </c>
      <c r="M200" t="b">
        <v>1</v>
      </c>
    </row>
    <row r="201" spans="1:13" x14ac:dyDescent="0.3">
      <c r="A201">
        <v>29</v>
      </c>
      <c r="B201" t="s">
        <v>18</v>
      </c>
      <c r="C201" s="1">
        <v>8</v>
      </c>
      <c r="D201" t="s">
        <v>19</v>
      </c>
      <c r="E201" t="s">
        <v>14</v>
      </c>
      <c r="F201" t="s">
        <v>22</v>
      </c>
      <c r="G201" t="s">
        <v>23</v>
      </c>
      <c r="H201">
        <f t="shared" si="3"/>
        <v>200</v>
      </c>
      <c r="I201" t="s">
        <v>17</v>
      </c>
      <c r="J201" s="3">
        <v>12040</v>
      </c>
      <c r="K201" t="b">
        <v>0</v>
      </c>
      <c r="L201" t="b">
        <v>1</v>
      </c>
      <c r="M201" t="b">
        <v>0</v>
      </c>
    </row>
    <row r="202" spans="1:13" x14ac:dyDescent="0.3">
      <c r="A202">
        <v>56</v>
      </c>
      <c r="B202" t="s">
        <v>12</v>
      </c>
      <c r="C202" s="1">
        <v>1</v>
      </c>
      <c r="D202" t="s">
        <v>28</v>
      </c>
      <c r="E202" t="s">
        <v>26</v>
      </c>
      <c r="F202" t="s">
        <v>15</v>
      </c>
      <c r="G202" t="s">
        <v>16</v>
      </c>
      <c r="H202">
        <f t="shared" si="3"/>
        <v>201</v>
      </c>
      <c r="I202" t="s">
        <v>24</v>
      </c>
      <c r="J202" s="3">
        <v>14534</v>
      </c>
      <c r="K202" t="b">
        <v>1</v>
      </c>
      <c r="L202" t="b">
        <v>0</v>
      </c>
      <c r="M202" t="b">
        <v>0</v>
      </c>
    </row>
    <row r="203" spans="1:13" x14ac:dyDescent="0.3">
      <c r="A203">
        <v>19</v>
      </c>
      <c r="B203" t="s">
        <v>12</v>
      </c>
      <c r="C203" s="1">
        <v>8</v>
      </c>
      <c r="D203" t="s">
        <v>13</v>
      </c>
      <c r="E203" t="s">
        <v>20</v>
      </c>
      <c r="F203" t="s">
        <v>15</v>
      </c>
      <c r="G203" t="s">
        <v>29</v>
      </c>
      <c r="H203">
        <f t="shared" si="3"/>
        <v>202</v>
      </c>
      <c r="I203" t="s">
        <v>17</v>
      </c>
      <c r="J203" s="3">
        <v>11752</v>
      </c>
      <c r="K203" t="b">
        <v>0</v>
      </c>
      <c r="L203" t="b">
        <v>1</v>
      </c>
      <c r="M203" t="b">
        <v>0</v>
      </c>
    </row>
    <row r="204" spans="1:13" x14ac:dyDescent="0.3">
      <c r="A204">
        <v>20</v>
      </c>
      <c r="B204" t="s">
        <v>12</v>
      </c>
      <c r="C204" s="1">
        <v>4</v>
      </c>
      <c r="D204" t="s">
        <v>19</v>
      </c>
      <c r="E204" t="s">
        <v>20</v>
      </c>
      <c r="F204" t="s">
        <v>15</v>
      </c>
      <c r="G204" t="s">
        <v>16</v>
      </c>
      <c r="H204">
        <f t="shared" si="3"/>
        <v>203</v>
      </c>
      <c r="I204" t="s">
        <v>17</v>
      </c>
      <c r="J204" s="3">
        <v>19807</v>
      </c>
      <c r="K204" t="b">
        <v>0</v>
      </c>
      <c r="L204" t="b">
        <v>0</v>
      </c>
      <c r="M204" t="b">
        <v>1</v>
      </c>
    </row>
    <row r="205" spans="1:13" x14ac:dyDescent="0.3">
      <c r="A205">
        <v>54</v>
      </c>
      <c r="B205" t="s">
        <v>12</v>
      </c>
      <c r="C205" s="1">
        <v>4</v>
      </c>
      <c r="D205" t="s">
        <v>13</v>
      </c>
      <c r="E205" t="s">
        <v>26</v>
      </c>
      <c r="F205" t="s">
        <v>15</v>
      </c>
      <c r="G205" t="s">
        <v>23</v>
      </c>
      <c r="H205">
        <f t="shared" si="3"/>
        <v>204</v>
      </c>
      <c r="I205" t="s">
        <v>17</v>
      </c>
      <c r="J205" s="3">
        <v>11849</v>
      </c>
      <c r="K205" t="b">
        <v>0</v>
      </c>
      <c r="L205" t="b">
        <v>0</v>
      </c>
      <c r="M205" t="b">
        <v>1</v>
      </c>
    </row>
    <row r="206" spans="1:13" x14ac:dyDescent="0.3">
      <c r="A206">
        <v>34</v>
      </c>
      <c r="B206" t="s">
        <v>25</v>
      </c>
      <c r="C206" s="1">
        <v>4</v>
      </c>
      <c r="D206" t="s">
        <v>19</v>
      </c>
      <c r="E206" t="s">
        <v>26</v>
      </c>
      <c r="F206" t="s">
        <v>27</v>
      </c>
      <c r="G206" t="s">
        <v>16</v>
      </c>
      <c r="H206">
        <f t="shared" si="3"/>
        <v>205</v>
      </c>
      <c r="I206" t="s">
        <v>21</v>
      </c>
      <c r="J206" s="3">
        <v>12642</v>
      </c>
      <c r="K206" t="b">
        <v>1</v>
      </c>
      <c r="L206" t="b">
        <v>1</v>
      </c>
      <c r="M206" t="b">
        <v>0</v>
      </c>
    </row>
    <row r="207" spans="1:13" x14ac:dyDescent="0.3">
      <c r="A207">
        <v>19</v>
      </c>
      <c r="B207" t="s">
        <v>25</v>
      </c>
      <c r="C207" s="1">
        <v>6</v>
      </c>
      <c r="D207" t="s">
        <v>28</v>
      </c>
      <c r="E207" t="s">
        <v>14</v>
      </c>
      <c r="F207" t="s">
        <v>27</v>
      </c>
      <c r="G207" t="s">
        <v>29</v>
      </c>
      <c r="H207">
        <f t="shared" si="3"/>
        <v>206</v>
      </c>
      <c r="I207" t="s">
        <v>24</v>
      </c>
      <c r="J207" s="3">
        <v>11600</v>
      </c>
      <c r="K207" t="b">
        <v>0</v>
      </c>
      <c r="L207" t="b">
        <v>0</v>
      </c>
      <c r="M207" t="b">
        <v>1</v>
      </c>
    </row>
    <row r="208" spans="1:13" x14ac:dyDescent="0.3">
      <c r="A208">
        <v>19</v>
      </c>
      <c r="B208" t="s">
        <v>18</v>
      </c>
      <c r="C208" s="1">
        <v>7</v>
      </c>
      <c r="D208" t="s">
        <v>19</v>
      </c>
      <c r="E208" t="s">
        <v>14</v>
      </c>
      <c r="F208" t="s">
        <v>22</v>
      </c>
      <c r="G208" t="s">
        <v>23</v>
      </c>
      <c r="H208">
        <f t="shared" si="3"/>
        <v>207</v>
      </c>
      <c r="I208" t="s">
        <v>24</v>
      </c>
      <c r="J208" s="3">
        <v>14402</v>
      </c>
      <c r="K208" t="b">
        <v>1</v>
      </c>
      <c r="L208" t="b">
        <v>0</v>
      </c>
      <c r="M208" t="b">
        <v>0</v>
      </c>
    </row>
    <row r="209" spans="1:13" x14ac:dyDescent="0.3">
      <c r="A209">
        <v>45</v>
      </c>
      <c r="B209" t="s">
        <v>18</v>
      </c>
      <c r="C209" s="1">
        <v>6</v>
      </c>
      <c r="D209" t="s">
        <v>19</v>
      </c>
      <c r="E209" t="s">
        <v>20</v>
      </c>
      <c r="F209" t="s">
        <v>15</v>
      </c>
      <c r="G209" t="s">
        <v>29</v>
      </c>
      <c r="H209">
        <f t="shared" si="3"/>
        <v>208</v>
      </c>
      <c r="I209" t="s">
        <v>17</v>
      </c>
      <c r="J209" s="3">
        <v>13799</v>
      </c>
      <c r="K209" t="b">
        <v>1</v>
      </c>
      <c r="L209" t="b">
        <v>1</v>
      </c>
      <c r="M209" t="b">
        <v>1</v>
      </c>
    </row>
    <row r="210" spans="1:13" x14ac:dyDescent="0.3">
      <c r="A210">
        <v>40</v>
      </c>
      <c r="B210" t="s">
        <v>18</v>
      </c>
      <c r="C210" s="1">
        <v>1</v>
      </c>
      <c r="D210" t="s">
        <v>13</v>
      </c>
      <c r="E210" t="s">
        <v>26</v>
      </c>
      <c r="F210" t="s">
        <v>27</v>
      </c>
      <c r="G210" t="s">
        <v>29</v>
      </c>
      <c r="H210">
        <f t="shared" si="3"/>
        <v>209</v>
      </c>
      <c r="I210" t="s">
        <v>21</v>
      </c>
      <c r="J210" s="3">
        <v>10618</v>
      </c>
      <c r="K210" t="b">
        <v>0</v>
      </c>
      <c r="L210" t="b">
        <v>1</v>
      </c>
      <c r="M210" t="b">
        <v>1</v>
      </c>
    </row>
    <row r="211" spans="1:13" x14ac:dyDescent="0.3">
      <c r="A211">
        <v>54</v>
      </c>
      <c r="B211" t="s">
        <v>12</v>
      </c>
      <c r="C211" s="1">
        <v>8</v>
      </c>
      <c r="D211" t="s">
        <v>13</v>
      </c>
      <c r="E211" t="s">
        <v>26</v>
      </c>
      <c r="F211" t="s">
        <v>27</v>
      </c>
      <c r="G211" t="s">
        <v>23</v>
      </c>
      <c r="H211">
        <f t="shared" si="3"/>
        <v>210</v>
      </c>
      <c r="I211" t="s">
        <v>21</v>
      </c>
      <c r="J211" s="3">
        <v>11132</v>
      </c>
      <c r="K211" t="b">
        <v>1</v>
      </c>
      <c r="L211" t="b">
        <v>0</v>
      </c>
      <c r="M211" t="b">
        <v>0</v>
      </c>
    </row>
    <row r="212" spans="1:13" x14ac:dyDescent="0.3">
      <c r="A212">
        <v>49</v>
      </c>
      <c r="B212" t="s">
        <v>12</v>
      </c>
      <c r="C212" s="1">
        <v>7</v>
      </c>
      <c r="D212" t="s">
        <v>19</v>
      </c>
      <c r="E212" t="s">
        <v>26</v>
      </c>
      <c r="F212" t="s">
        <v>22</v>
      </c>
      <c r="G212" t="s">
        <v>29</v>
      </c>
      <c r="H212">
        <f t="shared" si="3"/>
        <v>211</v>
      </c>
      <c r="I212" t="s">
        <v>24</v>
      </c>
      <c r="J212" s="3">
        <v>15491</v>
      </c>
      <c r="K212" t="b">
        <v>1</v>
      </c>
      <c r="L212" t="b">
        <v>1</v>
      </c>
      <c r="M212" t="b">
        <v>1</v>
      </c>
    </row>
    <row r="213" spans="1:13" x14ac:dyDescent="0.3">
      <c r="A213">
        <v>50</v>
      </c>
      <c r="B213" t="s">
        <v>25</v>
      </c>
      <c r="C213" s="1">
        <v>6</v>
      </c>
      <c r="D213" t="s">
        <v>28</v>
      </c>
      <c r="E213" t="s">
        <v>20</v>
      </c>
      <c r="F213" t="s">
        <v>22</v>
      </c>
      <c r="G213" t="s">
        <v>29</v>
      </c>
      <c r="H213">
        <f t="shared" si="3"/>
        <v>212</v>
      </c>
      <c r="I213" t="s">
        <v>21</v>
      </c>
      <c r="J213" s="3">
        <v>15795</v>
      </c>
      <c r="K213" t="b">
        <v>0</v>
      </c>
      <c r="L213" t="b">
        <v>1</v>
      </c>
      <c r="M213" t="b">
        <v>1</v>
      </c>
    </row>
    <row r="214" spans="1:13" x14ac:dyDescent="0.3">
      <c r="A214">
        <v>18</v>
      </c>
      <c r="B214" t="s">
        <v>12</v>
      </c>
      <c r="C214" s="1">
        <v>6</v>
      </c>
      <c r="D214" t="s">
        <v>28</v>
      </c>
      <c r="E214" t="s">
        <v>26</v>
      </c>
      <c r="F214" t="s">
        <v>22</v>
      </c>
      <c r="G214" t="s">
        <v>16</v>
      </c>
      <c r="H214">
        <f t="shared" si="3"/>
        <v>213</v>
      </c>
      <c r="I214" t="s">
        <v>24</v>
      </c>
      <c r="J214" s="3">
        <v>17633</v>
      </c>
      <c r="K214" t="b">
        <v>1</v>
      </c>
      <c r="L214" t="b">
        <v>1</v>
      </c>
      <c r="M214" t="b">
        <v>1</v>
      </c>
    </row>
    <row r="215" spans="1:13" x14ac:dyDescent="0.3">
      <c r="A215">
        <v>36</v>
      </c>
      <c r="B215" t="s">
        <v>12</v>
      </c>
      <c r="C215" s="1">
        <v>5</v>
      </c>
      <c r="D215" t="s">
        <v>13</v>
      </c>
      <c r="E215" t="s">
        <v>26</v>
      </c>
      <c r="F215" t="s">
        <v>27</v>
      </c>
      <c r="G215" t="s">
        <v>29</v>
      </c>
      <c r="H215">
        <f t="shared" si="3"/>
        <v>214</v>
      </c>
      <c r="I215" t="s">
        <v>24</v>
      </c>
      <c r="J215" s="3">
        <v>11487</v>
      </c>
      <c r="K215" t="b">
        <v>1</v>
      </c>
      <c r="L215" t="b">
        <v>0</v>
      </c>
      <c r="M215" t="b">
        <v>1</v>
      </c>
    </row>
    <row r="216" spans="1:13" x14ac:dyDescent="0.3">
      <c r="A216">
        <v>19</v>
      </c>
      <c r="B216" t="s">
        <v>12</v>
      </c>
      <c r="C216" s="1">
        <v>6</v>
      </c>
      <c r="D216" t="s">
        <v>28</v>
      </c>
      <c r="E216" t="s">
        <v>20</v>
      </c>
      <c r="F216" t="s">
        <v>27</v>
      </c>
      <c r="G216" t="s">
        <v>29</v>
      </c>
      <c r="H216">
        <f t="shared" si="3"/>
        <v>215</v>
      </c>
      <c r="I216" t="s">
        <v>24</v>
      </c>
      <c r="J216" s="3">
        <v>17848</v>
      </c>
      <c r="K216" t="b">
        <v>0</v>
      </c>
      <c r="L216" t="b">
        <v>0</v>
      </c>
      <c r="M216" t="b">
        <v>1</v>
      </c>
    </row>
    <row r="217" spans="1:13" x14ac:dyDescent="0.3">
      <c r="A217">
        <v>61</v>
      </c>
      <c r="B217" t="s">
        <v>18</v>
      </c>
      <c r="C217" s="1">
        <v>9</v>
      </c>
      <c r="D217" t="s">
        <v>13</v>
      </c>
      <c r="E217" t="s">
        <v>14</v>
      </c>
      <c r="F217" t="s">
        <v>22</v>
      </c>
      <c r="G217" t="s">
        <v>29</v>
      </c>
      <c r="H217">
        <f t="shared" si="3"/>
        <v>216</v>
      </c>
      <c r="I217" t="s">
        <v>21</v>
      </c>
      <c r="J217" s="3">
        <v>15009</v>
      </c>
      <c r="K217" t="b">
        <v>0</v>
      </c>
      <c r="L217" t="b">
        <v>0</v>
      </c>
      <c r="M217" t="b">
        <v>0</v>
      </c>
    </row>
    <row r="218" spans="1:13" x14ac:dyDescent="0.3">
      <c r="A218">
        <v>43</v>
      </c>
      <c r="B218" t="s">
        <v>18</v>
      </c>
      <c r="C218" s="1">
        <v>9</v>
      </c>
      <c r="D218" t="s">
        <v>28</v>
      </c>
      <c r="E218" t="s">
        <v>14</v>
      </c>
      <c r="F218" t="s">
        <v>15</v>
      </c>
      <c r="G218" t="s">
        <v>29</v>
      </c>
      <c r="H218">
        <f t="shared" si="3"/>
        <v>217</v>
      </c>
      <c r="I218" t="s">
        <v>24</v>
      </c>
      <c r="J218" s="3">
        <v>19749</v>
      </c>
      <c r="K218" t="b">
        <v>1</v>
      </c>
      <c r="L218" t="b">
        <v>0</v>
      </c>
      <c r="M218" t="b">
        <v>1</v>
      </c>
    </row>
    <row r="219" spans="1:13" x14ac:dyDescent="0.3">
      <c r="A219">
        <v>49</v>
      </c>
      <c r="B219" t="s">
        <v>25</v>
      </c>
      <c r="C219" s="1">
        <v>8</v>
      </c>
      <c r="D219" t="s">
        <v>19</v>
      </c>
      <c r="E219" t="s">
        <v>20</v>
      </c>
      <c r="F219" t="s">
        <v>22</v>
      </c>
      <c r="G219" t="s">
        <v>23</v>
      </c>
      <c r="H219">
        <f t="shared" si="3"/>
        <v>218</v>
      </c>
      <c r="I219" t="s">
        <v>24</v>
      </c>
      <c r="J219" s="3">
        <v>12113</v>
      </c>
      <c r="K219" t="b">
        <v>0</v>
      </c>
      <c r="L219" t="b">
        <v>0</v>
      </c>
      <c r="M219" t="b">
        <v>0</v>
      </c>
    </row>
    <row r="220" spans="1:13" x14ac:dyDescent="0.3">
      <c r="A220">
        <v>23</v>
      </c>
      <c r="B220" t="s">
        <v>12</v>
      </c>
      <c r="C220" s="1">
        <v>9</v>
      </c>
      <c r="D220" t="s">
        <v>13</v>
      </c>
      <c r="E220" t="s">
        <v>26</v>
      </c>
      <c r="F220" t="s">
        <v>22</v>
      </c>
      <c r="G220" t="s">
        <v>16</v>
      </c>
      <c r="H220">
        <f t="shared" si="3"/>
        <v>219</v>
      </c>
      <c r="I220" t="s">
        <v>17</v>
      </c>
      <c r="J220" s="3">
        <v>11044</v>
      </c>
      <c r="K220" t="b">
        <v>0</v>
      </c>
      <c r="L220" t="b">
        <v>0</v>
      </c>
      <c r="M220" t="b">
        <v>1</v>
      </c>
    </row>
    <row r="221" spans="1:13" x14ac:dyDescent="0.3">
      <c r="A221">
        <v>49</v>
      </c>
      <c r="B221" t="s">
        <v>12</v>
      </c>
      <c r="C221" s="1">
        <v>8</v>
      </c>
      <c r="D221" t="s">
        <v>13</v>
      </c>
      <c r="E221" t="s">
        <v>20</v>
      </c>
      <c r="F221" t="s">
        <v>22</v>
      </c>
      <c r="G221" t="s">
        <v>29</v>
      </c>
      <c r="H221">
        <f t="shared" si="3"/>
        <v>220</v>
      </c>
      <c r="I221" t="s">
        <v>24</v>
      </c>
      <c r="J221" s="3">
        <v>12431</v>
      </c>
      <c r="K221" t="b">
        <v>1</v>
      </c>
      <c r="L221" t="b">
        <v>0</v>
      </c>
      <c r="M221" t="b">
        <v>1</v>
      </c>
    </row>
    <row r="222" spans="1:13" x14ac:dyDescent="0.3">
      <c r="A222">
        <v>21</v>
      </c>
      <c r="B222" t="s">
        <v>25</v>
      </c>
      <c r="C222" s="1">
        <v>8</v>
      </c>
      <c r="D222" t="s">
        <v>19</v>
      </c>
      <c r="E222" t="s">
        <v>14</v>
      </c>
      <c r="F222" t="s">
        <v>22</v>
      </c>
      <c r="G222" t="s">
        <v>29</v>
      </c>
      <c r="H222">
        <f t="shared" si="3"/>
        <v>221</v>
      </c>
      <c r="I222" t="s">
        <v>24</v>
      </c>
      <c r="J222" s="3">
        <v>17979</v>
      </c>
      <c r="K222" t="b">
        <v>1</v>
      </c>
      <c r="L222" t="b">
        <v>1</v>
      </c>
      <c r="M222" t="b">
        <v>0</v>
      </c>
    </row>
    <row r="223" spans="1:13" x14ac:dyDescent="0.3">
      <c r="A223">
        <v>28</v>
      </c>
      <c r="B223" t="s">
        <v>12</v>
      </c>
      <c r="C223" s="1">
        <v>1</v>
      </c>
      <c r="D223" t="s">
        <v>13</v>
      </c>
      <c r="E223" t="s">
        <v>14</v>
      </c>
      <c r="F223" t="s">
        <v>27</v>
      </c>
      <c r="G223" t="s">
        <v>23</v>
      </c>
      <c r="H223">
        <f t="shared" si="3"/>
        <v>222</v>
      </c>
      <c r="I223" t="s">
        <v>17</v>
      </c>
      <c r="J223" s="3">
        <v>11582</v>
      </c>
      <c r="K223" t="b">
        <v>0</v>
      </c>
      <c r="L223" t="b">
        <v>0</v>
      </c>
      <c r="M223" t="b">
        <v>0</v>
      </c>
    </row>
    <row r="224" spans="1:13" x14ac:dyDescent="0.3">
      <c r="A224">
        <v>34</v>
      </c>
      <c r="B224" t="s">
        <v>12</v>
      </c>
      <c r="C224" s="1">
        <v>5</v>
      </c>
      <c r="D224" t="s">
        <v>28</v>
      </c>
      <c r="E224" t="s">
        <v>20</v>
      </c>
      <c r="F224" t="s">
        <v>15</v>
      </c>
      <c r="G224" t="s">
        <v>29</v>
      </c>
      <c r="H224">
        <f t="shared" si="3"/>
        <v>223</v>
      </c>
      <c r="I224" t="s">
        <v>17</v>
      </c>
      <c r="J224" s="3">
        <v>11308</v>
      </c>
      <c r="K224" t="b">
        <v>1</v>
      </c>
      <c r="L224" t="b">
        <v>0</v>
      </c>
      <c r="M224" t="b">
        <v>1</v>
      </c>
    </row>
    <row r="225" spans="1:13" x14ac:dyDescent="0.3">
      <c r="A225">
        <v>55</v>
      </c>
      <c r="B225" t="s">
        <v>18</v>
      </c>
      <c r="C225" s="1">
        <v>4</v>
      </c>
      <c r="D225" t="s">
        <v>28</v>
      </c>
      <c r="E225" t="s">
        <v>20</v>
      </c>
      <c r="F225" t="s">
        <v>22</v>
      </c>
      <c r="G225" t="s">
        <v>23</v>
      </c>
      <c r="H225">
        <f t="shared" si="3"/>
        <v>224</v>
      </c>
      <c r="I225" t="s">
        <v>21</v>
      </c>
      <c r="J225" s="3">
        <v>14917</v>
      </c>
      <c r="K225" t="b">
        <v>0</v>
      </c>
      <c r="L225" t="b">
        <v>1</v>
      </c>
      <c r="M225" t="b">
        <v>1</v>
      </c>
    </row>
    <row r="226" spans="1:13" x14ac:dyDescent="0.3">
      <c r="A226">
        <v>41</v>
      </c>
      <c r="B226" t="s">
        <v>25</v>
      </c>
      <c r="C226" s="1">
        <v>2</v>
      </c>
      <c r="D226" t="s">
        <v>13</v>
      </c>
      <c r="E226" t="s">
        <v>14</v>
      </c>
      <c r="F226" t="s">
        <v>15</v>
      </c>
      <c r="G226" t="s">
        <v>16</v>
      </c>
      <c r="H226">
        <f t="shared" si="3"/>
        <v>225</v>
      </c>
      <c r="I226" t="s">
        <v>24</v>
      </c>
      <c r="J226" s="3">
        <v>18793</v>
      </c>
      <c r="K226" t="b">
        <v>0</v>
      </c>
      <c r="L226" t="b">
        <v>1</v>
      </c>
      <c r="M226" t="b">
        <v>0</v>
      </c>
    </row>
    <row r="227" spans="1:13" x14ac:dyDescent="0.3">
      <c r="A227">
        <v>22</v>
      </c>
      <c r="B227" t="s">
        <v>25</v>
      </c>
      <c r="C227" s="1">
        <v>8</v>
      </c>
      <c r="D227" t="s">
        <v>28</v>
      </c>
      <c r="E227" t="s">
        <v>20</v>
      </c>
      <c r="F227" t="s">
        <v>15</v>
      </c>
      <c r="G227" t="s">
        <v>16</v>
      </c>
      <c r="H227">
        <f t="shared" si="3"/>
        <v>226</v>
      </c>
      <c r="I227" t="s">
        <v>21</v>
      </c>
      <c r="J227" s="3">
        <v>11620</v>
      </c>
      <c r="K227" t="b">
        <v>1</v>
      </c>
      <c r="L227" t="b">
        <v>1</v>
      </c>
      <c r="M227" t="b">
        <v>0</v>
      </c>
    </row>
    <row r="228" spans="1:13" x14ac:dyDescent="0.3">
      <c r="A228">
        <v>51</v>
      </c>
      <c r="B228" t="s">
        <v>25</v>
      </c>
      <c r="C228" s="1">
        <v>3</v>
      </c>
      <c r="D228" t="s">
        <v>13</v>
      </c>
      <c r="E228" t="s">
        <v>14</v>
      </c>
      <c r="F228" t="s">
        <v>15</v>
      </c>
      <c r="G228" t="s">
        <v>29</v>
      </c>
      <c r="H228">
        <f t="shared" si="3"/>
        <v>227</v>
      </c>
      <c r="I228" t="s">
        <v>21</v>
      </c>
      <c r="J228" s="3">
        <v>17503</v>
      </c>
      <c r="K228" t="b">
        <v>1</v>
      </c>
      <c r="L228" t="b">
        <v>0</v>
      </c>
      <c r="M228" t="b">
        <v>0</v>
      </c>
    </row>
    <row r="229" spans="1:13" x14ac:dyDescent="0.3">
      <c r="A229">
        <v>23</v>
      </c>
      <c r="B229" t="s">
        <v>25</v>
      </c>
      <c r="C229" s="1">
        <v>4</v>
      </c>
      <c r="D229" t="s">
        <v>19</v>
      </c>
      <c r="E229" t="s">
        <v>20</v>
      </c>
      <c r="F229" t="s">
        <v>22</v>
      </c>
      <c r="G229" t="s">
        <v>29</v>
      </c>
      <c r="H229">
        <f t="shared" si="3"/>
        <v>228</v>
      </c>
      <c r="I229" t="s">
        <v>17</v>
      </c>
      <c r="J229" s="3">
        <v>14766</v>
      </c>
      <c r="K229" t="b">
        <v>0</v>
      </c>
      <c r="L229" t="b">
        <v>1</v>
      </c>
      <c r="M229" t="b">
        <v>0</v>
      </c>
    </row>
    <row r="230" spans="1:13" x14ac:dyDescent="0.3">
      <c r="A230">
        <v>39</v>
      </c>
      <c r="B230" t="s">
        <v>18</v>
      </c>
      <c r="C230" s="1">
        <v>7</v>
      </c>
      <c r="D230" t="s">
        <v>13</v>
      </c>
      <c r="E230" t="s">
        <v>20</v>
      </c>
      <c r="F230" t="s">
        <v>27</v>
      </c>
      <c r="G230" t="s">
        <v>29</v>
      </c>
      <c r="H230">
        <f t="shared" si="3"/>
        <v>229</v>
      </c>
      <c r="I230" t="s">
        <v>21</v>
      </c>
      <c r="J230" s="3">
        <v>15362</v>
      </c>
      <c r="K230" t="b">
        <v>0</v>
      </c>
      <c r="L230" t="b">
        <v>0</v>
      </c>
      <c r="M230" t="b">
        <v>1</v>
      </c>
    </row>
    <row r="231" spans="1:13" x14ac:dyDescent="0.3">
      <c r="A231">
        <v>28</v>
      </c>
      <c r="B231" t="s">
        <v>18</v>
      </c>
      <c r="C231" s="1">
        <v>9</v>
      </c>
      <c r="D231" t="s">
        <v>19</v>
      </c>
      <c r="E231" t="s">
        <v>20</v>
      </c>
      <c r="F231" t="s">
        <v>22</v>
      </c>
      <c r="G231" t="s">
        <v>23</v>
      </c>
      <c r="H231">
        <f t="shared" si="3"/>
        <v>230</v>
      </c>
      <c r="I231" t="s">
        <v>24</v>
      </c>
      <c r="J231" s="3">
        <v>15192</v>
      </c>
      <c r="K231" t="b">
        <v>0</v>
      </c>
      <c r="L231" t="b">
        <v>0</v>
      </c>
      <c r="M231" t="b">
        <v>1</v>
      </c>
    </row>
    <row r="232" spans="1:13" x14ac:dyDescent="0.3">
      <c r="A232">
        <v>33</v>
      </c>
      <c r="B232" t="s">
        <v>12</v>
      </c>
      <c r="C232" s="1">
        <v>2</v>
      </c>
      <c r="D232" t="s">
        <v>28</v>
      </c>
      <c r="E232" t="s">
        <v>14</v>
      </c>
      <c r="F232" t="s">
        <v>15</v>
      </c>
      <c r="G232" t="s">
        <v>29</v>
      </c>
      <c r="H232">
        <f t="shared" si="3"/>
        <v>231</v>
      </c>
      <c r="I232" t="s">
        <v>17</v>
      </c>
      <c r="J232" s="3">
        <v>16622</v>
      </c>
      <c r="K232" t="b">
        <v>0</v>
      </c>
      <c r="L232" t="b">
        <v>0</v>
      </c>
      <c r="M232" t="b">
        <v>1</v>
      </c>
    </row>
    <row r="233" spans="1:13" x14ac:dyDescent="0.3">
      <c r="A233">
        <v>50</v>
      </c>
      <c r="B233" t="s">
        <v>12</v>
      </c>
      <c r="C233" s="1">
        <v>3</v>
      </c>
      <c r="D233" t="s">
        <v>19</v>
      </c>
      <c r="E233" t="s">
        <v>20</v>
      </c>
      <c r="F233" t="s">
        <v>15</v>
      </c>
      <c r="G233" t="s">
        <v>29</v>
      </c>
      <c r="H233">
        <f t="shared" si="3"/>
        <v>232</v>
      </c>
      <c r="I233" t="s">
        <v>24</v>
      </c>
      <c r="J233" s="3">
        <v>16093</v>
      </c>
      <c r="K233" t="b">
        <v>1</v>
      </c>
      <c r="L233" t="b">
        <v>1</v>
      </c>
      <c r="M233" t="b">
        <v>1</v>
      </c>
    </row>
    <row r="234" spans="1:13" x14ac:dyDescent="0.3">
      <c r="A234">
        <v>26</v>
      </c>
      <c r="B234" t="s">
        <v>12</v>
      </c>
      <c r="C234" s="1">
        <v>4</v>
      </c>
      <c r="D234" t="s">
        <v>28</v>
      </c>
      <c r="E234" t="s">
        <v>14</v>
      </c>
      <c r="F234" t="s">
        <v>27</v>
      </c>
      <c r="G234" t="s">
        <v>16</v>
      </c>
      <c r="H234">
        <f t="shared" si="3"/>
        <v>233</v>
      </c>
      <c r="I234" t="s">
        <v>24</v>
      </c>
      <c r="J234" s="3">
        <v>16704</v>
      </c>
      <c r="K234" t="b">
        <v>0</v>
      </c>
      <c r="L234" t="b">
        <v>1</v>
      </c>
      <c r="M234" t="b">
        <v>1</v>
      </c>
    </row>
    <row r="235" spans="1:13" x14ac:dyDescent="0.3">
      <c r="A235">
        <v>23</v>
      </c>
      <c r="B235" t="s">
        <v>12</v>
      </c>
      <c r="C235" s="1">
        <v>1</v>
      </c>
      <c r="D235" t="s">
        <v>13</v>
      </c>
      <c r="E235" t="s">
        <v>14</v>
      </c>
      <c r="F235" t="s">
        <v>22</v>
      </c>
      <c r="G235" t="s">
        <v>29</v>
      </c>
      <c r="H235">
        <f t="shared" si="3"/>
        <v>234</v>
      </c>
      <c r="I235" t="s">
        <v>17</v>
      </c>
      <c r="J235" s="3">
        <v>10100</v>
      </c>
      <c r="K235" t="b">
        <v>1</v>
      </c>
      <c r="L235" t="b">
        <v>0</v>
      </c>
      <c r="M235" t="b">
        <v>0</v>
      </c>
    </row>
    <row r="236" spans="1:13" x14ac:dyDescent="0.3">
      <c r="A236">
        <v>33</v>
      </c>
      <c r="B236" t="s">
        <v>18</v>
      </c>
      <c r="C236" s="1">
        <v>7</v>
      </c>
      <c r="D236" t="s">
        <v>28</v>
      </c>
      <c r="E236" t="s">
        <v>20</v>
      </c>
      <c r="F236" t="s">
        <v>15</v>
      </c>
      <c r="G236" t="s">
        <v>16</v>
      </c>
      <c r="H236">
        <f t="shared" si="3"/>
        <v>235</v>
      </c>
      <c r="I236" t="s">
        <v>24</v>
      </c>
      <c r="J236" s="3">
        <v>16657</v>
      </c>
      <c r="K236" t="b">
        <v>1</v>
      </c>
      <c r="L236" t="b">
        <v>0</v>
      </c>
      <c r="M236" t="b">
        <v>0</v>
      </c>
    </row>
    <row r="237" spans="1:13" x14ac:dyDescent="0.3">
      <c r="A237">
        <v>46</v>
      </c>
      <c r="B237" t="s">
        <v>25</v>
      </c>
      <c r="C237" s="1">
        <v>2</v>
      </c>
      <c r="D237" t="s">
        <v>13</v>
      </c>
      <c r="E237" t="s">
        <v>20</v>
      </c>
      <c r="F237" t="s">
        <v>27</v>
      </c>
      <c r="G237" t="s">
        <v>29</v>
      </c>
      <c r="H237">
        <f t="shared" si="3"/>
        <v>236</v>
      </c>
      <c r="I237" t="s">
        <v>17</v>
      </c>
      <c r="J237" s="3">
        <v>15875</v>
      </c>
      <c r="K237" t="b">
        <v>0</v>
      </c>
      <c r="L237" t="b">
        <v>0</v>
      </c>
      <c r="M237" t="b">
        <v>0</v>
      </c>
    </row>
    <row r="238" spans="1:13" x14ac:dyDescent="0.3">
      <c r="A238">
        <v>20</v>
      </c>
      <c r="B238" t="s">
        <v>18</v>
      </c>
      <c r="C238" s="1">
        <v>5</v>
      </c>
      <c r="D238" t="s">
        <v>13</v>
      </c>
      <c r="E238" t="s">
        <v>14</v>
      </c>
      <c r="F238" t="s">
        <v>15</v>
      </c>
      <c r="G238" t="s">
        <v>16</v>
      </c>
      <c r="H238">
        <f t="shared" si="3"/>
        <v>237</v>
      </c>
      <c r="I238" t="s">
        <v>24</v>
      </c>
      <c r="J238" s="3">
        <v>14271</v>
      </c>
      <c r="K238" t="b">
        <v>1</v>
      </c>
      <c r="L238" t="b">
        <v>1</v>
      </c>
      <c r="M238" t="b">
        <v>1</v>
      </c>
    </row>
    <row r="239" spans="1:13" x14ac:dyDescent="0.3">
      <c r="A239">
        <v>37</v>
      </c>
      <c r="B239" t="s">
        <v>12</v>
      </c>
      <c r="C239" s="1">
        <v>1</v>
      </c>
      <c r="D239" t="s">
        <v>19</v>
      </c>
      <c r="E239" t="s">
        <v>14</v>
      </c>
      <c r="F239" t="s">
        <v>27</v>
      </c>
      <c r="G239" t="s">
        <v>29</v>
      </c>
      <c r="H239">
        <f t="shared" si="3"/>
        <v>238</v>
      </c>
      <c r="I239" t="s">
        <v>17</v>
      </c>
      <c r="J239" s="3">
        <v>10237</v>
      </c>
      <c r="K239" t="b">
        <v>1</v>
      </c>
      <c r="L239" t="b">
        <v>0</v>
      </c>
      <c r="M239" t="b">
        <v>0</v>
      </c>
    </row>
    <row r="240" spans="1:13" x14ac:dyDescent="0.3">
      <c r="A240">
        <v>53</v>
      </c>
      <c r="B240" t="s">
        <v>18</v>
      </c>
      <c r="C240" s="1">
        <v>3</v>
      </c>
      <c r="D240" t="s">
        <v>19</v>
      </c>
      <c r="E240" t="s">
        <v>26</v>
      </c>
      <c r="F240" t="s">
        <v>27</v>
      </c>
      <c r="G240" t="s">
        <v>16</v>
      </c>
      <c r="H240">
        <f t="shared" si="3"/>
        <v>239</v>
      </c>
      <c r="I240" t="s">
        <v>21</v>
      </c>
      <c r="J240" s="3">
        <v>17226</v>
      </c>
      <c r="K240" t="b">
        <v>0</v>
      </c>
      <c r="L240" t="b">
        <v>1</v>
      </c>
      <c r="M240" t="b">
        <v>1</v>
      </c>
    </row>
    <row r="241" spans="1:13" x14ac:dyDescent="0.3">
      <c r="A241">
        <v>36</v>
      </c>
      <c r="B241" t="s">
        <v>25</v>
      </c>
      <c r="C241" s="1">
        <v>2</v>
      </c>
      <c r="D241" t="s">
        <v>19</v>
      </c>
      <c r="E241" t="s">
        <v>14</v>
      </c>
      <c r="F241" t="s">
        <v>22</v>
      </c>
      <c r="G241" t="s">
        <v>23</v>
      </c>
      <c r="H241">
        <f t="shared" si="3"/>
        <v>240</v>
      </c>
      <c r="I241" t="s">
        <v>24</v>
      </c>
      <c r="J241" s="3">
        <v>18032</v>
      </c>
      <c r="K241" t="b">
        <v>1</v>
      </c>
      <c r="L241" t="b">
        <v>0</v>
      </c>
      <c r="M241" t="b">
        <v>1</v>
      </c>
    </row>
    <row r="242" spans="1:13" x14ac:dyDescent="0.3">
      <c r="A242">
        <v>43</v>
      </c>
      <c r="B242" t="s">
        <v>25</v>
      </c>
      <c r="C242" s="1">
        <v>1</v>
      </c>
      <c r="D242" t="s">
        <v>19</v>
      </c>
      <c r="E242" t="s">
        <v>26</v>
      </c>
      <c r="F242" t="s">
        <v>15</v>
      </c>
      <c r="G242" t="s">
        <v>16</v>
      </c>
      <c r="H242">
        <f t="shared" si="3"/>
        <v>241</v>
      </c>
      <c r="I242" t="s">
        <v>17</v>
      </c>
      <c r="J242" s="3">
        <v>15218</v>
      </c>
      <c r="K242" t="b">
        <v>1</v>
      </c>
      <c r="L242" t="b">
        <v>1</v>
      </c>
      <c r="M242" t="b">
        <v>1</v>
      </c>
    </row>
    <row r="243" spans="1:13" x14ac:dyDescent="0.3">
      <c r="A243">
        <v>20</v>
      </c>
      <c r="B243" t="s">
        <v>18</v>
      </c>
      <c r="C243" s="1">
        <v>7</v>
      </c>
      <c r="D243" t="s">
        <v>28</v>
      </c>
      <c r="E243" t="s">
        <v>26</v>
      </c>
      <c r="F243" t="s">
        <v>22</v>
      </c>
      <c r="G243" t="s">
        <v>16</v>
      </c>
      <c r="H243">
        <f t="shared" si="3"/>
        <v>242</v>
      </c>
      <c r="I243" t="s">
        <v>24</v>
      </c>
      <c r="J243" s="3">
        <v>14025</v>
      </c>
      <c r="K243" t="b">
        <v>0</v>
      </c>
      <c r="L243" t="b">
        <v>0</v>
      </c>
      <c r="M243" t="b">
        <v>0</v>
      </c>
    </row>
    <row r="244" spans="1:13" x14ac:dyDescent="0.3">
      <c r="A244">
        <v>36</v>
      </c>
      <c r="B244" t="s">
        <v>18</v>
      </c>
      <c r="C244" s="1">
        <v>5</v>
      </c>
      <c r="D244" t="s">
        <v>28</v>
      </c>
      <c r="E244" t="s">
        <v>26</v>
      </c>
      <c r="F244" t="s">
        <v>15</v>
      </c>
      <c r="G244" t="s">
        <v>16</v>
      </c>
      <c r="H244">
        <f t="shared" si="3"/>
        <v>243</v>
      </c>
      <c r="I244" t="s">
        <v>24</v>
      </c>
      <c r="J244" s="3">
        <v>16073</v>
      </c>
      <c r="K244" t="b">
        <v>0</v>
      </c>
      <c r="L244" t="b">
        <v>1</v>
      </c>
      <c r="M244" t="b">
        <v>1</v>
      </c>
    </row>
    <row r="245" spans="1:13" x14ac:dyDescent="0.3">
      <c r="A245">
        <v>37</v>
      </c>
      <c r="B245" t="s">
        <v>18</v>
      </c>
      <c r="C245" s="1">
        <v>1</v>
      </c>
      <c r="D245" t="s">
        <v>28</v>
      </c>
      <c r="E245" t="s">
        <v>20</v>
      </c>
      <c r="F245" t="s">
        <v>22</v>
      </c>
      <c r="G245" t="s">
        <v>29</v>
      </c>
      <c r="H245">
        <f t="shared" si="3"/>
        <v>244</v>
      </c>
      <c r="I245" t="s">
        <v>24</v>
      </c>
      <c r="J245" s="3">
        <v>12542</v>
      </c>
      <c r="K245" t="b">
        <v>0</v>
      </c>
      <c r="L245" t="b">
        <v>1</v>
      </c>
      <c r="M245" t="b">
        <v>1</v>
      </c>
    </row>
    <row r="246" spans="1:13" x14ac:dyDescent="0.3">
      <c r="A246">
        <v>49</v>
      </c>
      <c r="B246" t="s">
        <v>12</v>
      </c>
      <c r="C246" s="1">
        <v>6</v>
      </c>
      <c r="D246" t="s">
        <v>13</v>
      </c>
      <c r="E246" t="s">
        <v>20</v>
      </c>
      <c r="F246" t="s">
        <v>15</v>
      </c>
      <c r="G246" t="s">
        <v>29</v>
      </c>
      <c r="H246">
        <f t="shared" si="3"/>
        <v>245</v>
      </c>
      <c r="I246" t="s">
        <v>17</v>
      </c>
      <c r="J246" s="3">
        <v>11537</v>
      </c>
      <c r="K246" t="b">
        <v>0</v>
      </c>
      <c r="L246" t="b">
        <v>1</v>
      </c>
      <c r="M246" t="b">
        <v>0</v>
      </c>
    </row>
    <row r="247" spans="1:13" x14ac:dyDescent="0.3">
      <c r="A247">
        <v>24</v>
      </c>
      <c r="B247" t="s">
        <v>18</v>
      </c>
      <c r="C247" s="1">
        <v>5</v>
      </c>
      <c r="D247" t="s">
        <v>28</v>
      </c>
      <c r="E247" t="s">
        <v>14</v>
      </c>
      <c r="F247" t="s">
        <v>22</v>
      </c>
      <c r="G247" t="s">
        <v>29</v>
      </c>
      <c r="H247">
        <f t="shared" si="3"/>
        <v>246</v>
      </c>
      <c r="I247" t="s">
        <v>21</v>
      </c>
      <c r="J247" s="3">
        <v>10754</v>
      </c>
      <c r="K247" t="b">
        <v>0</v>
      </c>
      <c r="L247" t="b">
        <v>1</v>
      </c>
      <c r="M247" t="b">
        <v>1</v>
      </c>
    </row>
    <row r="248" spans="1:13" x14ac:dyDescent="0.3">
      <c r="A248">
        <v>58</v>
      </c>
      <c r="B248" t="s">
        <v>18</v>
      </c>
      <c r="C248" s="1">
        <v>3</v>
      </c>
      <c r="D248" t="s">
        <v>28</v>
      </c>
      <c r="E248" t="s">
        <v>26</v>
      </c>
      <c r="F248" t="s">
        <v>27</v>
      </c>
      <c r="G248" t="s">
        <v>23</v>
      </c>
      <c r="H248">
        <f t="shared" si="3"/>
        <v>247</v>
      </c>
      <c r="I248" t="s">
        <v>21</v>
      </c>
      <c r="J248" s="3">
        <v>17396</v>
      </c>
      <c r="K248" t="b">
        <v>0</v>
      </c>
      <c r="L248" t="b">
        <v>1</v>
      </c>
      <c r="M248" t="b">
        <v>0</v>
      </c>
    </row>
    <row r="249" spans="1:13" x14ac:dyDescent="0.3">
      <c r="A249">
        <v>50</v>
      </c>
      <c r="B249" t="s">
        <v>18</v>
      </c>
      <c r="C249" s="1">
        <v>7</v>
      </c>
      <c r="D249" t="s">
        <v>28</v>
      </c>
      <c r="E249" t="s">
        <v>20</v>
      </c>
      <c r="F249" t="s">
        <v>15</v>
      </c>
      <c r="G249" t="s">
        <v>23</v>
      </c>
      <c r="H249">
        <f t="shared" si="3"/>
        <v>248</v>
      </c>
      <c r="I249" t="s">
        <v>21</v>
      </c>
      <c r="J249" s="3">
        <v>17823</v>
      </c>
      <c r="K249" t="b">
        <v>0</v>
      </c>
      <c r="L249" t="b">
        <v>1</v>
      </c>
      <c r="M249" t="b">
        <v>1</v>
      </c>
    </row>
    <row r="250" spans="1:13" x14ac:dyDescent="0.3">
      <c r="A250">
        <v>57</v>
      </c>
      <c r="B250" t="s">
        <v>25</v>
      </c>
      <c r="C250" s="1">
        <v>9</v>
      </c>
      <c r="D250" t="s">
        <v>19</v>
      </c>
      <c r="E250" t="s">
        <v>20</v>
      </c>
      <c r="F250" t="s">
        <v>15</v>
      </c>
      <c r="G250" t="s">
        <v>16</v>
      </c>
      <c r="H250">
        <f t="shared" si="3"/>
        <v>249</v>
      </c>
      <c r="I250" t="s">
        <v>17</v>
      </c>
      <c r="J250" s="3">
        <v>15507</v>
      </c>
      <c r="K250" t="b">
        <v>1</v>
      </c>
      <c r="L250" t="b">
        <v>0</v>
      </c>
      <c r="M250" t="b">
        <v>0</v>
      </c>
    </row>
    <row r="251" spans="1:13" x14ac:dyDescent="0.3">
      <c r="A251">
        <v>56</v>
      </c>
      <c r="B251" t="s">
        <v>25</v>
      </c>
      <c r="C251" s="1">
        <v>9</v>
      </c>
      <c r="D251" t="s">
        <v>28</v>
      </c>
      <c r="E251" t="s">
        <v>20</v>
      </c>
      <c r="F251" t="s">
        <v>27</v>
      </c>
      <c r="G251" t="s">
        <v>23</v>
      </c>
      <c r="H251">
        <f t="shared" si="3"/>
        <v>250</v>
      </c>
      <c r="I251" t="s">
        <v>21</v>
      </c>
      <c r="J251" s="3">
        <v>14235</v>
      </c>
      <c r="K251" t="b">
        <v>1</v>
      </c>
      <c r="L251" t="b">
        <v>0</v>
      </c>
      <c r="M251" t="b">
        <v>1</v>
      </c>
    </row>
    <row r="252" spans="1:13" x14ac:dyDescent="0.3">
      <c r="A252">
        <v>35</v>
      </c>
      <c r="B252" t="s">
        <v>12</v>
      </c>
      <c r="C252" s="1">
        <v>9</v>
      </c>
      <c r="D252" t="s">
        <v>13</v>
      </c>
      <c r="E252" t="s">
        <v>20</v>
      </c>
      <c r="F252" t="s">
        <v>22</v>
      </c>
      <c r="G252" t="s">
        <v>16</v>
      </c>
      <c r="H252">
        <f t="shared" si="3"/>
        <v>251</v>
      </c>
      <c r="I252" t="s">
        <v>17</v>
      </c>
      <c r="J252" s="3">
        <v>10540</v>
      </c>
      <c r="K252" t="b">
        <v>0</v>
      </c>
      <c r="L252" t="b">
        <v>0</v>
      </c>
      <c r="M252" t="b">
        <v>1</v>
      </c>
    </row>
    <row r="253" spans="1:13" x14ac:dyDescent="0.3">
      <c r="A253">
        <v>57</v>
      </c>
      <c r="B253" t="s">
        <v>12</v>
      </c>
      <c r="C253" s="1">
        <v>2</v>
      </c>
      <c r="D253" t="s">
        <v>19</v>
      </c>
      <c r="E253" t="s">
        <v>20</v>
      </c>
      <c r="F253" t="s">
        <v>15</v>
      </c>
      <c r="G253" t="s">
        <v>16</v>
      </c>
      <c r="H253">
        <f t="shared" si="3"/>
        <v>252</v>
      </c>
      <c r="I253" t="s">
        <v>24</v>
      </c>
      <c r="J253" s="3">
        <v>15510</v>
      </c>
      <c r="K253" t="b">
        <v>1</v>
      </c>
      <c r="L253" t="b">
        <v>0</v>
      </c>
      <c r="M253" t="b">
        <v>0</v>
      </c>
    </row>
    <row r="254" spans="1:13" x14ac:dyDescent="0.3">
      <c r="A254">
        <v>18</v>
      </c>
      <c r="B254" t="s">
        <v>25</v>
      </c>
      <c r="C254" s="1">
        <v>3</v>
      </c>
      <c r="D254" t="s">
        <v>13</v>
      </c>
      <c r="E254" t="s">
        <v>26</v>
      </c>
      <c r="F254" t="s">
        <v>15</v>
      </c>
      <c r="G254" t="s">
        <v>16</v>
      </c>
      <c r="H254">
        <f t="shared" si="3"/>
        <v>253</v>
      </c>
      <c r="I254" t="s">
        <v>24</v>
      </c>
      <c r="J254" s="3">
        <v>18461</v>
      </c>
      <c r="K254" t="b">
        <v>1</v>
      </c>
      <c r="L254" t="b">
        <v>1</v>
      </c>
      <c r="M254" t="b">
        <v>1</v>
      </c>
    </row>
    <row r="255" spans="1:13" x14ac:dyDescent="0.3">
      <c r="A255">
        <v>28</v>
      </c>
      <c r="B255" t="s">
        <v>25</v>
      </c>
      <c r="C255" s="1">
        <v>7</v>
      </c>
      <c r="D255" t="s">
        <v>28</v>
      </c>
      <c r="E255" t="s">
        <v>26</v>
      </c>
      <c r="F255" t="s">
        <v>22</v>
      </c>
      <c r="G255" t="s">
        <v>23</v>
      </c>
      <c r="H255">
        <f t="shared" si="3"/>
        <v>254</v>
      </c>
      <c r="I255" t="s">
        <v>21</v>
      </c>
      <c r="J255" s="3">
        <v>17926</v>
      </c>
      <c r="K255" t="b">
        <v>0</v>
      </c>
      <c r="L255" t="b">
        <v>0</v>
      </c>
      <c r="M255" t="b">
        <v>0</v>
      </c>
    </row>
    <row r="256" spans="1:13" x14ac:dyDescent="0.3">
      <c r="A256">
        <v>45</v>
      </c>
      <c r="B256" t="s">
        <v>25</v>
      </c>
      <c r="C256" s="1">
        <v>5</v>
      </c>
      <c r="D256" t="s">
        <v>19</v>
      </c>
      <c r="E256" t="s">
        <v>26</v>
      </c>
      <c r="F256" t="s">
        <v>27</v>
      </c>
      <c r="G256" t="s">
        <v>29</v>
      </c>
      <c r="H256">
        <f t="shared" si="3"/>
        <v>255</v>
      </c>
      <c r="I256" t="s">
        <v>17</v>
      </c>
      <c r="J256" s="3">
        <v>15131</v>
      </c>
      <c r="K256" t="b">
        <v>1</v>
      </c>
      <c r="L256" t="b">
        <v>1</v>
      </c>
      <c r="M256" t="b">
        <v>1</v>
      </c>
    </row>
    <row r="257" spans="1:13" x14ac:dyDescent="0.3">
      <c r="A257">
        <v>42</v>
      </c>
      <c r="B257" t="s">
        <v>18</v>
      </c>
      <c r="C257" s="1">
        <v>2</v>
      </c>
      <c r="D257" t="s">
        <v>13</v>
      </c>
      <c r="E257" t="s">
        <v>26</v>
      </c>
      <c r="F257" t="s">
        <v>22</v>
      </c>
      <c r="G257" t="s">
        <v>23</v>
      </c>
      <c r="H257">
        <f t="shared" si="3"/>
        <v>256</v>
      </c>
      <c r="I257" t="s">
        <v>24</v>
      </c>
      <c r="J257" s="3">
        <v>18697</v>
      </c>
      <c r="K257" t="b">
        <v>0</v>
      </c>
      <c r="L257" t="b">
        <v>1</v>
      </c>
      <c r="M257" t="b">
        <v>0</v>
      </c>
    </row>
    <row r="258" spans="1:13" x14ac:dyDescent="0.3">
      <c r="A258">
        <v>40</v>
      </c>
      <c r="B258" t="s">
        <v>18</v>
      </c>
      <c r="C258" s="1">
        <v>3</v>
      </c>
      <c r="D258" t="s">
        <v>28</v>
      </c>
      <c r="E258" t="s">
        <v>14</v>
      </c>
      <c r="F258" t="s">
        <v>22</v>
      </c>
      <c r="G258" t="s">
        <v>16</v>
      </c>
      <c r="H258">
        <f t="shared" si="3"/>
        <v>257</v>
      </c>
      <c r="I258" t="s">
        <v>17</v>
      </c>
      <c r="J258" s="3">
        <v>11129</v>
      </c>
      <c r="K258" t="b">
        <v>1</v>
      </c>
      <c r="L258" t="b">
        <v>1</v>
      </c>
      <c r="M258" t="b">
        <v>1</v>
      </c>
    </row>
    <row r="259" spans="1:13" x14ac:dyDescent="0.3">
      <c r="A259">
        <v>48</v>
      </c>
      <c r="B259" t="s">
        <v>25</v>
      </c>
      <c r="C259" s="1">
        <v>6</v>
      </c>
      <c r="D259" t="s">
        <v>13</v>
      </c>
      <c r="E259" t="s">
        <v>26</v>
      </c>
      <c r="F259" t="s">
        <v>22</v>
      </c>
      <c r="G259" t="s">
        <v>16</v>
      </c>
      <c r="H259">
        <f t="shared" si="3"/>
        <v>258</v>
      </c>
      <c r="I259" t="s">
        <v>17</v>
      </c>
      <c r="J259" s="3">
        <v>13145</v>
      </c>
      <c r="K259" t="b">
        <v>0</v>
      </c>
      <c r="L259" t="b">
        <v>0</v>
      </c>
      <c r="M259" t="b">
        <v>1</v>
      </c>
    </row>
    <row r="260" spans="1:13" x14ac:dyDescent="0.3">
      <c r="A260">
        <v>47</v>
      </c>
      <c r="B260" t="s">
        <v>18</v>
      </c>
      <c r="C260" s="1">
        <v>7</v>
      </c>
      <c r="D260" t="s">
        <v>13</v>
      </c>
      <c r="E260" t="s">
        <v>20</v>
      </c>
      <c r="F260" t="s">
        <v>15</v>
      </c>
      <c r="G260" t="s">
        <v>23</v>
      </c>
      <c r="H260">
        <f t="shared" ref="H260:I323" si="4">H259+1</f>
        <v>259</v>
      </c>
      <c r="I260" t="s">
        <v>24</v>
      </c>
      <c r="J260" s="3">
        <v>18553</v>
      </c>
      <c r="K260" t="b">
        <v>1</v>
      </c>
      <c r="L260" t="b">
        <v>1</v>
      </c>
      <c r="M260" t="b">
        <v>1</v>
      </c>
    </row>
    <row r="261" spans="1:13" x14ac:dyDescent="0.3">
      <c r="A261">
        <v>59</v>
      </c>
      <c r="B261" t="s">
        <v>18</v>
      </c>
      <c r="C261" s="1">
        <v>9</v>
      </c>
      <c r="D261" t="s">
        <v>13</v>
      </c>
      <c r="E261" t="s">
        <v>26</v>
      </c>
      <c r="F261" t="s">
        <v>27</v>
      </c>
      <c r="G261" t="s">
        <v>16</v>
      </c>
      <c r="H261">
        <f t="shared" si="4"/>
        <v>260</v>
      </c>
      <c r="I261" t="s">
        <v>17</v>
      </c>
      <c r="J261" s="3">
        <v>13720</v>
      </c>
      <c r="K261" t="b">
        <v>1</v>
      </c>
      <c r="L261" t="b">
        <v>0</v>
      </c>
      <c r="M261" t="b">
        <v>0</v>
      </c>
    </row>
    <row r="262" spans="1:13" x14ac:dyDescent="0.3">
      <c r="A262">
        <v>52</v>
      </c>
      <c r="B262" t="s">
        <v>12</v>
      </c>
      <c r="C262" s="1">
        <v>1</v>
      </c>
      <c r="D262" t="s">
        <v>28</v>
      </c>
      <c r="E262" t="s">
        <v>14</v>
      </c>
      <c r="F262" t="s">
        <v>27</v>
      </c>
      <c r="G262" t="s">
        <v>16</v>
      </c>
      <c r="H262">
        <f t="shared" si="4"/>
        <v>261</v>
      </c>
      <c r="I262" t="s">
        <v>24</v>
      </c>
      <c r="J262" s="3">
        <v>19648</v>
      </c>
      <c r="K262" t="b">
        <v>1</v>
      </c>
      <c r="L262" t="b">
        <v>0</v>
      </c>
      <c r="M262" t="b">
        <v>0</v>
      </c>
    </row>
    <row r="263" spans="1:13" x14ac:dyDescent="0.3">
      <c r="A263">
        <v>24</v>
      </c>
      <c r="B263" t="s">
        <v>25</v>
      </c>
      <c r="C263" s="1">
        <v>7</v>
      </c>
      <c r="D263" t="s">
        <v>28</v>
      </c>
      <c r="E263" t="s">
        <v>20</v>
      </c>
      <c r="F263" t="s">
        <v>22</v>
      </c>
      <c r="G263" t="s">
        <v>23</v>
      </c>
      <c r="H263">
        <f t="shared" si="4"/>
        <v>262</v>
      </c>
      <c r="I263" t="s">
        <v>24</v>
      </c>
      <c r="J263" s="3">
        <v>14067</v>
      </c>
      <c r="K263" t="b">
        <v>0</v>
      </c>
      <c r="L263" t="b">
        <v>0</v>
      </c>
      <c r="M263" t="b">
        <v>0</v>
      </c>
    </row>
    <row r="264" spans="1:13" x14ac:dyDescent="0.3">
      <c r="A264">
        <v>33</v>
      </c>
      <c r="B264" t="s">
        <v>25</v>
      </c>
      <c r="C264" s="1">
        <v>8</v>
      </c>
      <c r="D264" t="s">
        <v>13</v>
      </c>
      <c r="E264" t="s">
        <v>26</v>
      </c>
      <c r="F264" t="s">
        <v>15</v>
      </c>
      <c r="G264" t="s">
        <v>23</v>
      </c>
      <c r="H264">
        <f t="shared" si="4"/>
        <v>263</v>
      </c>
      <c r="I264" t="s">
        <v>24</v>
      </c>
      <c r="J264" s="3">
        <v>14195</v>
      </c>
      <c r="K264" t="b">
        <v>1</v>
      </c>
      <c r="L264" t="b">
        <v>0</v>
      </c>
      <c r="M264" t="b">
        <v>0</v>
      </c>
    </row>
    <row r="265" spans="1:13" x14ac:dyDescent="0.3">
      <c r="A265">
        <v>43</v>
      </c>
      <c r="B265" t="s">
        <v>18</v>
      </c>
      <c r="C265" s="1">
        <v>3</v>
      </c>
      <c r="D265" t="s">
        <v>19</v>
      </c>
      <c r="E265" t="s">
        <v>26</v>
      </c>
      <c r="F265" t="s">
        <v>22</v>
      </c>
      <c r="G265" t="s">
        <v>23</v>
      </c>
      <c r="H265">
        <f t="shared" si="4"/>
        <v>264</v>
      </c>
      <c r="I265" t="s">
        <v>17</v>
      </c>
      <c r="J265" s="3">
        <v>19873</v>
      </c>
      <c r="K265" t="b">
        <v>1</v>
      </c>
      <c r="L265" t="b">
        <v>0</v>
      </c>
      <c r="M265" t="b">
        <v>0</v>
      </c>
    </row>
    <row r="266" spans="1:13" x14ac:dyDescent="0.3">
      <c r="A266">
        <v>19</v>
      </c>
      <c r="B266" t="s">
        <v>25</v>
      </c>
      <c r="C266" s="1">
        <v>4</v>
      </c>
      <c r="D266" t="s">
        <v>19</v>
      </c>
      <c r="E266" t="s">
        <v>26</v>
      </c>
      <c r="F266" t="s">
        <v>15</v>
      </c>
      <c r="G266" t="s">
        <v>16</v>
      </c>
      <c r="H266">
        <f t="shared" si="4"/>
        <v>265</v>
      </c>
      <c r="I266" t="s">
        <v>24</v>
      </c>
      <c r="J266" s="3">
        <v>19244</v>
      </c>
      <c r="K266" t="b">
        <v>0</v>
      </c>
      <c r="L266" t="b">
        <v>1</v>
      </c>
      <c r="M266" t="b">
        <v>1</v>
      </c>
    </row>
    <row r="267" spans="1:13" x14ac:dyDescent="0.3">
      <c r="A267">
        <v>18</v>
      </c>
      <c r="B267" t="s">
        <v>12</v>
      </c>
      <c r="C267" s="1">
        <v>6</v>
      </c>
      <c r="D267" t="s">
        <v>28</v>
      </c>
      <c r="E267" t="s">
        <v>20</v>
      </c>
      <c r="F267" t="s">
        <v>15</v>
      </c>
      <c r="G267" t="s">
        <v>16</v>
      </c>
      <c r="H267">
        <f t="shared" si="4"/>
        <v>266</v>
      </c>
      <c r="I267" t="s">
        <v>17</v>
      </c>
      <c r="J267" s="3">
        <v>17281</v>
      </c>
      <c r="K267" t="b">
        <v>0</v>
      </c>
      <c r="L267" t="b">
        <v>1</v>
      </c>
      <c r="M267" t="b">
        <v>1</v>
      </c>
    </row>
    <row r="268" spans="1:13" x14ac:dyDescent="0.3">
      <c r="A268">
        <v>29</v>
      </c>
      <c r="B268" t="s">
        <v>12</v>
      </c>
      <c r="C268" s="1">
        <v>7</v>
      </c>
      <c r="D268" t="s">
        <v>28</v>
      </c>
      <c r="E268" t="s">
        <v>20</v>
      </c>
      <c r="F268" t="s">
        <v>15</v>
      </c>
      <c r="G268" t="s">
        <v>29</v>
      </c>
      <c r="H268">
        <f t="shared" si="4"/>
        <v>267</v>
      </c>
      <c r="I268" t="s">
        <v>24</v>
      </c>
      <c r="J268" s="3">
        <v>12509</v>
      </c>
      <c r="K268" t="b">
        <v>1</v>
      </c>
      <c r="L268" t="b">
        <v>0</v>
      </c>
      <c r="M268" t="b">
        <v>1</v>
      </c>
    </row>
    <row r="269" spans="1:13" x14ac:dyDescent="0.3">
      <c r="A269">
        <v>22</v>
      </c>
      <c r="B269" t="s">
        <v>12</v>
      </c>
      <c r="C269" s="1">
        <v>4</v>
      </c>
      <c r="D269" t="s">
        <v>28</v>
      </c>
      <c r="E269" t="s">
        <v>14</v>
      </c>
      <c r="F269" t="s">
        <v>15</v>
      </c>
      <c r="G269" t="s">
        <v>29</v>
      </c>
      <c r="H269">
        <f t="shared" si="4"/>
        <v>268</v>
      </c>
      <c r="I269" t="s">
        <v>24</v>
      </c>
      <c r="J269" s="3">
        <v>15016</v>
      </c>
      <c r="K269" t="b">
        <v>1</v>
      </c>
      <c r="L269" t="b">
        <v>1</v>
      </c>
      <c r="M269" t="b">
        <v>1</v>
      </c>
    </row>
    <row r="270" spans="1:13" x14ac:dyDescent="0.3">
      <c r="A270">
        <v>54</v>
      </c>
      <c r="B270" t="s">
        <v>25</v>
      </c>
      <c r="C270" s="1">
        <v>8</v>
      </c>
      <c r="D270" t="s">
        <v>28</v>
      </c>
      <c r="E270" t="s">
        <v>20</v>
      </c>
      <c r="F270" t="s">
        <v>27</v>
      </c>
      <c r="G270" t="s">
        <v>23</v>
      </c>
      <c r="H270">
        <f t="shared" si="4"/>
        <v>269</v>
      </c>
      <c r="I270" t="s">
        <v>21</v>
      </c>
      <c r="J270" s="3">
        <v>16533</v>
      </c>
      <c r="K270" t="b">
        <v>1</v>
      </c>
      <c r="L270" t="b">
        <v>0</v>
      </c>
      <c r="M270" t="b">
        <v>1</v>
      </c>
    </row>
    <row r="271" spans="1:13" x14ac:dyDescent="0.3">
      <c r="A271">
        <v>49</v>
      </c>
      <c r="B271" t="s">
        <v>25</v>
      </c>
      <c r="C271" s="1">
        <v>5</v>
      </c>
      <c r="D271" t="s">
        <v>28</v>
      </c>
      <c r="E271" t="s">
        <v>20</v>
      </c>
      <c r="F271" t="s">
        <v>15</v>
      </c>
      <c r="G271" t="s">
        <v>29</v>
      </c>
      <c r="H271">
        <f t="shared" si="4"/>
        <v>270</v>
      </c>
      <c r="I271" t="s">
        <v>21</v>
      </c>
      <c r="J271" s="3">
        <v>14727</v>
      </c>
      <c r="K271" t="b">
        <v>1</v>
      </c>
      <c r="L271" t="b">
        <v>1</v>
      </c>
      <c r="M271" t="b">
        <v>0</v>
      </c>
    </row>
    <row r="272" spans="1:13" x14ac:dyDescent="0.3">
      <c r="A272">
        <v>26</v>
      </c>
      <c r="B272" t="s">
        <v>25</v>
      </c>
      <c r="C272" s="1">
        <v>1</v>
      </c>
      <c r="D272" t="s">
        <v>19</v>
      </c>
      <c r="E272" t="s">
        <v>26</v>
      </c>
      <c r="F272" t="s">
        <v>15</v>
      </c>
      <c r="G272" t="s">
        <v>16</v>
      </c>
      <c r="H272">
        <f t="shared" si="4"/>
        <v>271</v>
      </c>
      <c r="I272" t="s">
        <v>21</v>
      </c>
      <c r="J272" s="3">
        <v>10681</v>
      </c>
      <c r="K272" t="b">
        <v>0</v>
      </c>
      <c r="L272" t="b">
        <v>1</v>
      </c>
      <c r="M272" t="b">
        <v>1</v>
      </c>
    </row>
    <row r="273" spans="1:13" x14ac:dyDescent="0.3">
      <c r="A273">
        <v>58</v>
      </c>
      <c r="B273" t="s">
        <v>25</v>
      </c>
      <c r="C273" s="1">
        <v>4</v>
      </c>
      <c r="D273" t="s">
        <v>28</v>
      </c>
      <c r="E273" t="s">
        <v>20</v>
      </c>
      <c r="F273" t="s">
        <v>22</v>
      </c>
      <c r="G273" t="s">
        <v>29</v>
      </c>
      <c r="H273">
        <f t="shared" si="4"/>
        <v>272</v>
      </c>
      <c r="I273" t="s">
        <v>17</v>
      </c>
      <c r="J273" s="3">
        <v>13932</v>
      </c>
      <c r="K273" t="b">
        <v>1</v>
      </c>
      <c r="L273" t="b">
        <v>1</v>
      </c>
      <c r="M273" t="b">
        <v>0</v>
      </c>
    </row>
    <row r="274" spans="1:13" x14ac:dyDescent="0.3">
      <c r="A274">
        <v>52</v>
      </c>
      <c r="B274" t="s">
        <v>25</v>
      </c>
      <c r="C274" s="1">
        <v>3</v>
      </c>
      <c r="D274" t="s">
        <v>13</v>
      </c>
      <c r="E274" t="s">
        <v>26</v>
      </c>
      <c r="F274" t="s">
        <v>22</v>
      </c>
      <c r="G274" t="s">
        <v>16</v>
      </c>
      <c r="H274">
        <f t="shared" si="4"/>
        <v>273</v>
      </c>
      <c r="I274" t="s">
        <v>17</v>
      </c>
      <c r="J274" s="3">
        <v>15560</v>
      </c>
      <c r="K274" t="b">
        <v>1</v>
      </c>
      <c r="L274" t="b">
        <v>1</v>
      </c>
      <c r="M274" t="b">
        <v>1</v>
      </c>
    </row>
    <row r="275" spans="1:13" x14ac:dyDescent="0.3">
      <c r="A275">
        <v>36</v>
      </c>
      <c r="B275" t="s">
        <v>12</v>
      </c>
      <c r="C275" s="1">
        <v>9</v>
      </c>
      <c r="D275" t="s">
        <v>13</v>
      </c>
      <c r="E275" t="s">
        <v>26</v>
      </c>
      <c r="F275" t="s">
        <v>27</v>
      </c>
      <c r="G275" t="s">
        <v>23</v>
      </c>
      <c r="H275">
        <f t="shared" si="4"/>
        <v>274</v>
      </c>
      <c r="I275" t="s">
        <v>24</v>
      </c>
      <c r="J275" s="3">
        <v>14016</v>
      </c>
      <c r="K275" t="b">
        <v>0</v>
      </c>
      <c r="L275" t="b">
        <v>1</v>
      </c>
      <c r="M275" t="b">
        <v>0</v>
      </c>
    </row>
    <row r="276" spans="1:13" x14ac:dyDescent="0.3">
      <c r="A276">
        <v>33</v>
      </c>
      <c r="B276" t="s">
        <v>18</v>
      </c>
      <c r="C276" s="1">
        <v>8</v>
      </c>
      <c r="D276" t="s">
        <v>19</v>
      </c>
      <c r="E276" t="s">
        <v>20</v>
      </c>
      <c r="F276" t="s">
        <v>22</v>
      </c>
      <c r="G276" t="s">
        <v>23</v>
      </c>
      <c r="H276">
        <f t="shared" si="4"/>
        <v>275</v>
      </c>
      <c r="I276" t="s">
        <v>24</v>
      </c>
      <c r="J276" s="3">
        <v>17339</v>
      </c>
      <c r="K276" t="b">
        <v>1</v>
      </c>
      <c r="L276" t="b">
        <v>1</v>
      </c>
      <c r="M276" t="b">
        <v>0</v>
      </c>
    </row>
    <row r="277" spans="1:13" x14ac:dyDescent="0.3">
      <c r="A277">
        <v>20</v>
      </c>
      <c r="B277" t="s">
        <v>12</v>
      </c>
      <c r="C277" s="1">
        <v>1</v>
      </c>
      <c r="D277" t="s">
        <v>13</v>
      </c>
      <c r="E277" t="s">
        <v>14</v>
      </c>
      <c r="F277" t="s">
        <v>15</v>
      </c>
      <c r="G277" t="s">
        <v>16</v>
      </c>
      <c r="H277">
        <f t="shared" si="4"/>
        <v>276</v>
      </c>
      <c r="I277" t="s">
        <v>24</v>
      </c>
      <c r="J277" s="3">
        <v>10719</v>
      </c>
      <c r="K277" t="b">
        <v>1</v>
      </c>
      <c r="L277" t="b">
        <v>1</v>
      </c>
      <c r="M277" t="b">
        <v>0</v>
      </c>
    </row>
    <row r="278" spans="1:13" x14ac:dyDescent="0.3">
      <c r="A278">
        <v>37</v>
      </c>
      <c r="B278" t="s">
        <v>25</v>
      </c>
      <c r="C278" s="1">
        <v>6</v>
      </c>
      <c r="D278" t="s">
        <v>19</v>
      </c>
      <c r="E278" t="s">
        <v>14</v>
      </c>
      <c r="F278" t="s">
        <v>22</v>
      </c>
      <c r="G278" t="s">
        <v>29</v>
      </c>
      <c r="H278">
        <f t="shared" si="4"/>
        <v>277</v>
      </c>
      <c r="I278" t="s">
        <v>24</v>
      </c>
      <c r="J278" s="3">
        <v>10074</v>
      </c>
      <c r="K278" t="b">
        <v>1</v>
      </c>
      <c r="L278" t="b">
        <v>1</v>
      </c>
      <c r="M278" t="b">
        <v>1</v>
      </c>
    </row>
    <row r="279" spans="1:13" x14ac:dyDescent="0.3">
      <c r="A279">
        <v>41</v>
      </c>
      <c r="B279" t="s">
        <v>12</v>
      </c>
      <c r="C279" s="1">
        <v>9</v>
      </c>
      <c r="D279" t="s">
        <v>19</v>
      </c>
      <c r="E279" t="s">
        <v>20</v>
      </c>
      <c r="F279" t="s">
        <v>27</v>
      </c>
      <c r="G279" t="s">
        <v>23</v>
      </c>
      <c r="H279">
        <f t="shared" si="4"/>
        <v>278</v>
      </c>
      <c r="I279" t="s">
        <v>17</v>
      </c>
      <c r="J279" s="3">
        <v>19485</v>
      </c>
      <c r="K279" t="b">
        <v>0</v>
      </c>
      <c r="L279" t="b">
        <v>1</v>
      </c>
      <c r="M279" t="b">
        <v>1</v>
      </c>
    </row>
    <row r="280" spans="1:13" x14ac:dyDescent="0.3">
      <c r="A280">
        <v>50</v>
      </c>
      <c r="B280" t="s">
        <v>25</v>
      </c>
      <c r="C280" s="1">
        <v>7</v>
      </c>
      <c r="D280" t="s">
        <v>13</v>
      </c>
      <c r="E280" t="s">
        <v>14</v>
      </c>
      <c r="F280" t="s">
        <v>22</v>
      </c>
      <c r="G280" t="s">
        <v>23</v>
      </c>
      <c r="H280">
        <f t="shared" si="4"/>
        <v>279</v>
      </c>
      <c r="I280" t="s">
        <v>24</v>
      </c>
      <c r="J280" s="3">
        <v>14157</v>
      </c>
      <c r="K280" t="b">
        <v>0</v>
      </c>
      <c r="L280" t="b">
        <v>1</v>
      </c>
      <c r="M280" t="b">
        <v>1</v>
      </c>
    </row>
    <row r="281" spans="1:13" x14ac:dyDescent="0.3">
      <c r="A281">
        <v>41</v>
      </c>
      <c r="B281" t="s">
        <v>25</v>
      </c>
      <c r="C281" s="1">
        <v>4</v>
      </c>
      <c r="D281" t="s">
        <v>28</v>
      </c>
      <c r="E281" t="s">
        <v>26</v>
      </c>
      <c r="F281" t="s">
        <v>22</v>
      </c>
      <c r="G281" t="s">
        <v>29</v>
      </c>
      <c r="H281">
        <f t="shared" si="4"/>
        <v>280</v>
      </c>
      <c r="I281" t="s">
        <v>24</v>
      </c>
      <c r="J281" s="3">
        <v>18511</v>
      </c>
      <c r="K281" t="b">
        <v>1</v>
      </c>
      <c r="L281" t="b">
        <v>1</v>
      </c>
      <c r="M281" t="b">
        <v>1</v>
      </c>
    </row>
    <row r="282" spans="1:13" x14ac:dyDescent="0.3">
      <c r="A282">
        <v>28</v>
      </c>
      <c r="B282" t="s">
        <v>12</v>
      </c>
      <c r="C282" s="1">
        <v>1</v>
      </c>
      <c r="D282" t="s">
        <v>13</v>
      </c>
      <c r="E282" t="s">
        <v>26</v>
      </c>
      <c r="F282" t="s">
        <v>27</v>
      </c>
      <c r="G282" t="s">
        <v>29</v>
      </c>
      <c r="H282">
        <f t="shared" si="4"/>
        <v>281</v>
      </c>
      <c r="I282" t="s">
        <v>21</v>
      </c>
      <c r="J282" s="3">
        <v>12149</v>
      </c>
      <c r="K282" t="b">
        <v>1</v>
      </c>
      <c r="L282" t="b">
        <v>1</v>
      </c>
      <c r="M282" t="b">
        <v>0</v>
      </c>
    </row>
    <row r="283" spans="1:13" x14ac:dyDescent="0.3">
      <c r="A283">
        <v>25</v>
      </c>
      <c r="B283" t="s">
        <v>25</v>
      </c>
      <c r="C283" s="1">
        <v>2</v>
      </c>
      <c r="D283" t="s">
        <v>13</v>
      </c>
      <c r="E283" t="s">
        <v>20</v>
      </c>
      <c r="F283" t="s">
        <v>27</v>
      </c>
      <c r="G283" t="s">
        <v>16</v>
      </c>
      <c r="H283">
        <f t="shared" si="4"/>
        <v>282</v>
      </c>
      <c r="I283" t="s">
        <v>24</v>
      </c>
      <c r="J283" s="3">
        <v>19644</v>
      </c>
      <c r="K283" t="b">
        <v>0</v>
      </c>
      <c r="L283" t="b">
        <v>1</v>
      </c>
      <c r="M283" t="b">
        <v>0</v>
      </c>
    </row>
    <row r="284" spans="1:13" x14ac:dyDescent="0.3">
      <c r="A284">
        <v>53</v>
      </c>
      <c r="B284" t="s">
        <v>18</v>
      </c>
      <c r="C284" s="1">
        <v>5</v>
      </c>
      <c r="D284" t="s">
        <v>19</v>
      </c>
      <c r="E284" t="s">
        <v>14</v>
      </c>
      <c r="F284" t="s">
        <v>15</v>
      </c>
      <c r="G284" t="s">
        <v>29</v>
      </c>
      <c r="H284">
        <f t="shared" si="4"/>
        <v>283</v>
      </c>
      <c r="I284" t="s">
        <v>24</v>
      </c>
      <c r="J284" s="3">
        <v>19747</v>
      </c>
      <c r="K284" t="b">
        <v>1</v>
      </c>
      <c r="L284" t="b">
        <v>0</v>
      </c>
      <c r="M284" t="b">
        <v>0</v>
      </c>
    </row>
    <row r="285" spans="1:13" x14ac:dyDescent="0.3">
      <c r="A285">
        <v>55</v>
      </c>
      <c r="B285" t="s">
        <v>25</v>
      </c>
      <c r="C285" s="1">
        <v>5</v>
      </c>
      <c r="D285" t="s">
        <v>13</v>
      </c>
      <c r="E285" t="s">
        <v>14</v>
      </c>
      <c r="F285" t="s">
        <v>22</v>
      </c>
      <c r="G285" t="s">
        <v>29</v>
      </c>
      <c r="H285">
        <f t="shared" si="4"/>
        <v>284</v>
      </c>
      <c r="I285" t="s">
        <v>24</v>
      </c>
      <c r="J285" s="3">
        <v>16713</v>
      </c>
      <c r="K285" t="b">
        <v>1</v>
      </c>
      <c r="L285" t="b">
        <v>1</v>
      </c>
      <c r="M285" t="b">
        <v>0</v>
      </c>
    </row>
    <row r="286" spans="1:13" x14ac:dyDescent="0.3">
      <c r="A286">
        <v>57</v>
      </c>
      <c r="B286" t="s">
        <v>18</v>
      </c>
      <c r="C286" s="1">
        <v>8</v>
      </c>
      <c r="D286" t="s">
        <v>19</v>
      </c>
      <c r="E286" t="s">
        <v>26</v>
      </c>
      <c r="F286" t="s">
        <v>15</v>
      </c>
      <c r="G286" t="s">
        <v>29</v>
      </c>
      <c r="H286">
        <f t="shared" si="4"/>
        <v>285</v>
      </c>
      <c r="I286" t="s">
        <v>17</v>
      </c>
      <c r="J286" s="3">
        <v>14207</v>
      </c>
      <c r="K286" t="b">
        <v>0</v>
      </c>
      <c r="L286" t="b">
        <v>1</v>
      </c>
      <c r="M286" t="b">
        <v>1</v>
      </c>
    </row>
    <row r="287" spans="1:13" x14ac:dyDescent="0.3">
      <c r="A287">
        <v>37</v>
      </c>
      <c r="B287" t="s">
        <v>18</v>
      </c>
      <c r="C287" s="1">
        <v>6</v>
      </c>
      <c r="D287" t="s">
        <v>28</v>
      </c>
      <c r="E287" t="s">
        <v>20</v>
      </c>
      <c r="F287" t="s">
        <v>22</v>
      </c>
      <c r="G287" t="s">
        <v>16</v>
      </c>
      <c r="H287">
        <f t="shared" si="4"/>
        <v>286</v>
      </c>
      <c r="I287" t="s">
        <v>21</v>
      </c>
      <c r="J287" s="3">
        <v>17141</v>
      </c>
      <c r="K287" t="b">
        <v>0</v>
      </c>
      <c r="L287" t="b">
        <v>1</v>
      </c>
      <c r="M287" t="b">
        <v>0</v>
      </c>
    </row>
    <row r="288" spans="1:13" x14ac:dyDescent="0.3">
      <c r="A288">
        <v>52</v>
      </c>
      <c r="B288" t="s">
        <v>25</v>
      </c>
      <c r="C288" s="1">
        <v>8</v>
      </c>
      <c r="D288" t="s">
        <v>28</v>
      </c>
      <c r="E288" t="s">
        <v>14</v>
      </c>
      <c r="F288" t="s">
        <v>22</v>
      </c>
      <c r="G288" t="s">
        <v>16</v>
      </c>
      <c r="H288">
        <f t="shared" si="4"/>
        <v>287</v>
      </c>
      <c r="I288" t="s">
        <v>24</v>
      </c>
      <c r="J288" s="3">
        <v>18652</v>
      </c>
      <c r="K288" t="b">
        <v>0</v>
      </c>
      <c r="L288" t="b">
        <v>1</v>
      </c>
      <c r="M288" t="b">
        <v>1</v>
      </c>
    </row>
    <row r="289" spans="1:13" x14ac:dyDescent="0.3">
      <c r="A289">
        <v>42</v>
      </c>
      <c r="B289" t="s">
        <v>12</v>
      </c>
      <c r="C289" s="1">
        <v>2</v>
      </c>
      <c r="D289" t="s">
        <v>28</v>
      </c>
      <c r="E289" t="s">
        <v>20</v>
      </c>
      <c r="F289" t="s">
        <v>15</v>
      </c>
      <c r="G289" t="s">
        <v>23</v>
      </c>
      <c r="H289">
        <f t="shared" si="4"/>
        <v>288</v>
      </c>
      <c r="I289" t="s">
        <v>24</v>
      </c>
      <c r="J289" s="3">
        <v>19078</v>
      </c>
      <c r="K289" t="b">
        <v>1</v>
      </c>
      <c r="L289" t="b">
        <v>1</v>
      </c>
      <c r="M289" t="b">
        <v>0</v>
      </c>
    </row>
    <row r="290" spans="1:13" x14ac:dyDescent="0.3">
      <c r="A290">
        <v>52</v>
      </c>
      <c r="B290" t="s">
        <v>18</v>
      </c>
      <c r="C290" s="1">
        <v>3</v>
      </c>
      <c r="D290" t="s">
        <v>13</v>
      </c>
      <c r="E290" t="s">
        <v>14</v>
      </c>
      <c r="F290" t="s">
        <v>22</v>
      </c>
      <c r="G290" t="s">
        <v>16</v>
      </c>
      <c r="H290">
        <f t="shared" si="4"/>
        <v>289</v>
      </c>
      <c r="I290" t="s">
        <v>21</v>
      </c>
      <c r="J290" s="3">
        <v>13936</v>
      </c>
      <c r="K290" t="b">
        <v>1</v>
      </c>
      <c r="L290" t="b">
        <v>1</v>
      </c>
      <c r="M290" t="b">
        <v>0</v>
      </c>
    </row>
    <row r="291" spans="1:13" x14ac:dyDescent="0.3">
      <c r="A291">
        <v>42</v>
      </c>
      <c r="B291" t="s">
        <v>12</v>
      </c>
      <c r="C291" s="1">
        <v>6</v>
      </c>
      <c r="D291" t="s">
        <v>19</v>
      </c>
      <c r="E291" t="s">
        <v>26</v>
      </c>
      <c r="F291" t="s">
        <v>22</v>
      </c>
      <c r="G291" t="s">
        <v>23</v>
      </c>
      <c r="H291">
        <f t="shared" si="4"/>
        <v>290</v>
      </c>
      <c r="I291" t="s">
        <v>24</v>
      </c>
      <c r="J291" s="3">
        <v>19307</v>
      </c>
      <c r="K291" t="b">
        <v>1</v>
      </c>
      <c r="L291" t="b">
        <v>0</v>
      </c>
      <c r="M291" t="b">
        <v>0</v>
      </c>
    </row>
    <row r="292" spans="1:13" x14ac:dyDescent="0.3">
      <c r="A292">
        <v>46</v>
      </c>
      <c r="B292" t="s">
        <v>18</v>
      </c>
      <c r="C292" s="1">
        <v>3</v>
      </c>
      <c r="D292" t="s">
        <v>28</v>
      </c>
      <c r="E292" t="s">
        <v>26</v>
      </c>
      <c r="F292" t="s">
        <v>22</v>
      </c>
      <c r="G292" t="s">
        <v>29</v>
      </c>
      <c r="H292">
        <f t="shared" si="4"/>
        <v>291</v>
      </c>
      <c r="I292" t="s">
        <v>17</v>
      </c>
      <c r="J292" s="3">
        <v>11075</v>
      </c>
      <c r="K292" t="b">
        <v>1</v>
      </c>
      <c r="L292" t="b">
        <v>0</v>
      </c>
      <c r="M292" t="b">
        <v>1</v>
      </c>
    </row>
    <row r="293" spans="1:13" x14ac:dyDescent="0.3">
      <c r="A293">
        <v>35</v>
      </c>
      <c r="B293" t="s">
        <v>25</v>
      </c>
      <c r="C293" s="1">
        <v>6</v>
      </c>
      <c r="D293" t="s">
        <v>19</v>
      </c>
      <c r="E293" t="s">
        <v>20</v>
      </c>
      <c r="F293" t="s">
        <v>27</v>
      </c>
      <c r="G293" t="s">
        <v>23</v>
      </c>
      <c r="H293">
        <f t="shared" si="4"/>
        <v>292</v>
      </c>
      <c r="I293" t="s">
        <v>24</v>
      </c>
      <c r="J293" s="3">
        <v>13876</v>
      </c>
      <c r="K293" t="b">
        <v>0</v>
      </c>
      <c r="L293" t="b">
        <v>0</v>
      </c>
      <c r="M293" t="b">
        <v>1</v>
      </c>
    </row>
    <row r="294" spans="1:13" x14ac:dyDescent="0.3">
      <c r="A294">
        <v>63</v>
      </c>
      <c r="B294" t="s">
        <v>25</v>
      </c>
      <c r="C294" s="1">
        <v>6</v>
      </c>
      <c r="D294" t="s">
        <v>19</v>
      </c>
      <c r="E294" t="s">
        <v>26</v>
      </c>
      <c r="F294" t="s">
        <v>15</v>
      </c>
      <c r="G294" t="s">
        <v>23</v>
      </c>
      <c r="H294">
        <f t="shared" si="4"/>
        <v>293</v>
      </c>
      <c r="I294" t="s">
        <v>17</v>
      </c>
      <c r="J294" s="3">
        <v>14615</v>
      </c>
      <c r="K294" t="b">
        <v>1</v>
      </c>
      <c r="L294" t="b">
        <v>1</v>
      </c>
      <c r="M294" t="b">
        <v>0</v>
      </c>
    </row>
    <row r="295" spans="1:13" x14ac:dyDescent="0.3">
      <c r="A295">
        <v>35</v>
      </c>
      <c r="B295" t="s">
        <v>18</v>
      </c>
      <c r="C295" s="1">
        <v>2</v>
      </c>
      <c r="D295" t="s">
        <v>28</v>
      </c>
      <c r="E295" t="s">
        <v>14</v>
      </c>
      <c r="F295" t="s">
        <v>27</v>
      </c>
      <c r="G295" t="s">
        <v>29</v>
      </c>
      <c r="H295">
        <f t="shared" si="4"/>
        <v>294</v>
      </c>
      <c r="I295" t="s">
        <v>17</v>
      </c>
      <c r="J295" s="3">
        <v>17265</v>
      </c>
      <c r="K295" t="b">
        <v>1</v>
      </c>
      <c r="L295" t="b">
        <v>1</v>
      </c>
      <c r="M295" t="b">
        <v>0</v>
      </c>
    </row>
    <row r="296" spans="1:13" x14ac:dyDescent="0.3">
      <c r="A296">
        <v>19</v>
      </c>
      <c r="B296" t="s">
        <v>25</v>
      </c>
      <c r="C296" s="1">
        <v>7</v>
      </c>
      <c r="D296" t="s">
        <v>28</v>
      </c>
      <c r="E296" t="s">
        <v>26</v>
      </c>
      <c r="F296" t="s">
        <v>15</v>
      </c>
      <c r="G296" t="s">
        <v>23</v>
      </c>
      <c r="H296">
        <f t="shared" si="4"/>
        <v>295</v>
      </c>
      <c r="I296" t="s">
        <v>24</v>
      </c>
      <c r="J296" s="3">
        <v>16379</v>
      </c>
      <c r="K296" t="b">
        <v>0</v>
      </c>
      <c r="L296" t="b">
        <v>1</v>
      </c>
      <c r="M296" t="b">
        <v>0</v>
      </c>
    </row>
    <row r="297" spans="1:13" x14ac:dyDescent="0.3">
      <c r="A297">
        <v>52</v>
      </c>
      <c r="B297" t="s">
        <v>18</v>
      </c>
      <c r="C297" s="1">
        <v>2</v>
      </c>
      <c r="D297" t="s">
        <v>19</v>
      </c>
      <c r="E297" t="s">
        <v>20</v>
      </c>
      <c r="F297" t="s">
        <v>15</v>
      </c>
      <c r="G297" t="s">
        <v>16</v>
      </c>
      <c r="H297">
        <f t="shared" si="4"/>
        <v>296</v>
      </c>
      <c r="I297" t="s">
        <v>21</v>
      </c>
      <c r="J297" s="3">
        <v>19118</v>
      </c>
      <c r="K297" t="b">
        <v>0</v>
      </c>
      <c r="L297" t="b">
        <v>0</v>
      </c>
      <c r="M297" t="b">
        <v>1</v>
      </c>
    </row>
    <row r="298" spans="1:13" x14ac:dyDescent="0.3">
      <c r="A298">
        <v>33</v>
      </c>
      <c r="B298" t="s">
        <v>25</v>
      </c>
      <c r="C298" s="1">
        <v>6</v>
      </c>
      <c r="D298" t="s">
        <v>28</v>
      </c>
      <c r="E298" t="s">
        <v>20</v>
      </c>
      <c r="F298" t="s">
        <v>22</v>
      </c>
      <c r="G298" t="s">
        <v>16</v>
      </c>
      <c r="H298">
        <f t="shared" si="4"/>
        <v>297</v>
      </c>
      <c r="I298" t="s">
        <v>17</v>
      </c>
      <c r="J298" s="3">
        <v>14652</v>
      </c>
      <c r="K298" t="b">
        <v>1</v>
      </c>
      <c r="L298" t="b">
        <v>1</v>
      </c>
      <c r="M298" t="b">
        <v>1</v>
      </c>
    </row>
    <row r="299" spans="1:13" x14ac:dyDescent="0.3">
      <c r="A299">
        <v>58</v>
      </c>
      <c r="B299" t="s">
        <v>12</v>
      </c>
      <c r="C299" s="1">
        <v>1</v>
      </c>
      <c r="D299" t="s">
        <v>19</v>
      </c>
      <c r="E299" t="s">
        <v>20</v>
      </c>
      <c r="F299" t="s">
        <v>15</v>
      </c>
      <c r="G299" t="s">
        <v>16</v>
      </c>
      <c r="H299">
        <f t="shared" si="4"/>
        <v>298</v>
      </c>
      <c r="I299" t="s">
        <v>21</v>
      </c>
      <c r="J299" s="3">
        <v>16792</v>
      </c>
      <c r="K299" t="b">
        <v>0</v>
      </c>
      <c r="L299" t="b">
        <v>1</v>
      </c>
      <c r="M299" t="b">
        <v>1</v>
      </c>
    </row>
    <row r="300" spans="1:13" x14ac:dyDescent="0.3">
      <c r="A300">
        <v>53</v>
      </c>
      <c r="B300" t="s">
        <v>25</v>
      </c>
      <c r="C300" s="1">
        <v>3</v>
      </c>
      <c r="D300" t="s">
        <v>19</v>
      </c>
      <c r="E300" t="s">
        <v>14</v>
      </c>
      <c r="F300" t="s">
        <v>27</v>
      </c>
      <c r="G300" t="s">
        <v>16</v>
      </c>
      <c r="H300">
        <f t="shared" si="4"/>
        <v>299</v>
      </c>
      <c r="I300" t="s">
        <v>24</v>
      </c>
      <c r="J300" s="3">
        <v>19247</v>
      </c>
      <c r="K300" t="b">
        <v>0</v>
      </c>
      <c r="L300" t="b">
        <v>0</v>
      </c>
      <c r="M300" t="b">
        <v>0</v>
      </c>
    </row>
    <row r="301" spans="1:13" x14ac:dyDescent="0.3">
      <c r="A301">
        <v>50</v>
      </c>
      <c r="B301" t="s">
        <v>12</v>
      </c>
      <c r="C301" s="1">
        <v>2</v>
      </c>
      <c r="D301" t="s">
        <v>28</v>
      </c>
      <c r="E301" t="s">
        <v>14</v>
      </c>
      <c r="F301" t="s">
        <v>27</v>
      </c>
      <c r="G301" t="s">
        <v>23</v>
      </c>
      <c r="H301">
        <f t="shared" si="4"/>
        <v>300</v>
      </c>
      <c r="I301" t="s">
        <v>17</v>
      </c>
      <c r="J301" s="3">
        <v>17456</v>
      </c>
      <c r="K301" t="b">
        <v>1</v>
      </c>
      <c r="L301" t="b">
        <v>0</v>
      </c>
      <c r="M301" t="b">
        <v>1</v>
      </c>
    </row>
    <row r="302" spans="1:13" x14ac:dyDescent="0.3">
      <c r="A302">
        <v>21</v>
      </c>
      <c r="B302" t="s">
        <v>25</v>
      </c>
      <c r="C302" s="1">
        <v>7</v>
      </c>
      <c r="D302" t="s">
        <v>13</v>
      </c>
      <c r="E302" t="s">
        <v>14</v>
      </c>
      <c r="F302" t="s">
        <v>27</v>
      </c>
      <c r="G302" t="s">
        <v>23</v>
      </c>
      <c r="H302">
        <f t="shared" si="4"/>
        <v>301</v>
      </c>
      <c r="I302" t="s">
        <v>24</v>
      </c>
      <c r="J302" s="3">
        <v>14674</v>
      </c>
      <c r="K302" t="b">
        <v>1</v>
      </c>
      <c r="L302" t="b">
        <v>1</v>
      </c>
      <c r="M302" t="b">
        <v>0</v>
      </c>
    </row>
    <row r="303" spans="1:13" x14ac:dyDescent="0.3">
      <c r="A303">
        <v>50</v>
      </c>
      <c r="B303" t="s">
        <v>12</v>
      </c>
      <c r="C303" s="1">
        <v>4</v>
      </c>
      <c r="D303" t="s">
        <v>28</v>
      </c>
      <c r="E303" t="s">
        <v>14</v>
      </c>
      <c r="F303" t="s">
        <v>15</v>
      </c>
      <c r="G303" t="s">
        <v>29</v>
      </c>
      <c r="H303">
        <f t="shared" si="4"/>
        <v>302</v>
      </c>
      <c r="I303" t="s">
        <v>21</v>
      </c>
      <c r="J303" s="3">
        <v>10541</v>
      </c>
      <c r="K303" t="b">
        <v>1</v>
      </c>
      <c r="L303" t="b">
        <v>1</v>
      </c>
      <c r="M303" t="b">
        <v>1</v>
      </c>
    </row>
    <row r="304" spans="1:13" x14ac:dyDescent="0.3">
      <c r="A304">
        <v>31</v>
      </c>
      <c r="B304" t="s">
        <v>25</v>
      </c>
      <c r="C304" s="1">
        <v>8</v>
      </c>
      <c r="D304" t="s">
        <v>13</v>
      </c>
      <c r="E304" t="s">
        <v>14</v>
      </c>
      <c r="F304" t="s">
        <v>27</v>
      </c>
      <c r="G304" t="s">
        <v>23</v>
      </c>
      <c r="H304">
        <f t="shared" si="4"/>
        <v>303</v>
      </c>
      <c r="I304" t="s">
        <v>24</v>
      </c>
      <c r="J304" s="3">
        <v>12161</v>
      </c>
      <c r="K304" t="b">
        <v>1</v>
      </c>
      <c r="L304" t="b">
        <v>1</v>
      </c>
      <c r="M304" t="b">
        <v>0</v>
      </c>
    </row>
    <row r="305" spans="1:13" x14ac:dyDescent="0.3">
      <c r="A305">
        <v>38</v>
      </c>
      <c r="B305" t="s">
        <v>12</v>
      </c>
      <c r="C305" s="1">
        <v>6</v>
      </c>
      <c r="D305" t="s">
        <v>19</v>
      </c>
      <c r="E305" t="s">
        <v>26</v>
      </c>
      <c r="F305" t="s">
        <v>15</v>
      </c>
      <c r="G305" t="s">
        <v>23</v>
      </c>
      <c r="H305">
        <f t="shared" si="4"/>
        <v>304</v>
      </c>
      <c r="I305" t="s">
        <v>24</v>
      </c>
      <c r="J305" s="3">
        <v>12251</v>
      </c>
      <c r="K305" t="b">
        <v>0</v>
      </c>
      <c r="L305" t="b">
        <v>1</v>
      </c>
      <c r="M305" t="b">
        <v>0</v>
      </c>
    </row>
    <row r="306" spans="1:13" x14ac:dyDescent="0.3">
      <c r="A306">
        <v>37</v>
      </c>
      <c r="B306" t="s">
        <v>18</v>
      </c>
      <c r="C306" s="1">
        <v>4</v>
      </c>
      <c r="D306" t="s">
        <v>19</v>
      </c>
      <c r="E306" t="s">
        <v>14</v>
      </c>
      <c r="F306" t="s">
        <v>27</v>
      </c>
      <c r="G306" t="s">
        <v>23</v>
      </c>
      <c r="H306">
        <f t="shared" si="4"/>
        <v>305</v>
      </c>
      <c r="I306" t="s">
        <v>17</v>
      </c>
      <c r="J306" s="3">
        <v>19244</v>
      </c>
      <c r="K306" t="b">
        <v>0</v>
      </c>
      <c r="L306" t="b">
        <v>0</v>
      </c>
      <c r="M306" t="b">
        <v>1</v>
      </c>
    </row>
    <row r="307" spans="1:13" x14ac:dyDescent="0.3">
      <c r="A307">
        <v>25</v>
      </c>
      <c r="B307" t="s">
        <v>18</v>
      </c>
      <c r="C307" s="1">
        <v>5</v>
      </c>
      <c r="D307" t="s">
        <v>13</v>
      </c>
      <c r="E307" t="s">
        <v>14</v>
      </c>
      <c r="F307" t="s">
        <v>27</v>
      </c>
      <c r="G307" t="s">
        <v>29</v>
      </c>
      <c r="H307">
        <f t="shared" si="4"/>
        <v>306</v>
      </c>
      <c r="I307" t="s">
        <v>24</v>
      </c>
      <c r="J307" s="3">
        <v>14569</v>
      </c>
      <c r="K307" t="b">
        <v>1</v>
      </c>
      <c r="L307" t="b">
        <v>1</v>
      </c>
      <c r="M307" t="b">
        <v>0</v>
      </c>
    </row>
    <row r="308" spans="1:13" x14ac:dyDescent="0.3">
      <c r="A308">
        <v>24</v>
      </c>
      <c r="B308" t="s">
        <v>12</v>
      </c>
      <c r="C308" s="1">
        <v>9</v>
      </c>
      <c r="D308" t="s">
        <v>19</v>
      </c>
      <c r="E308" t="s">
        <v>26</v>
      </c>
      <c r="F308" t="s">
        <v>15</v>
      </c>
      <c r="G308" t="s">
        <v>16</v>
      </c>
      <c r="H308">
        <f t="shared" si="4"/>
        <v>307</v>
      </c>
      <c r="I308" t="s">
        <v>24</v>
      </c>
      <c r="J308" s="3">
        <v>12744</v>
      </c>
      <c r="K308" t="b">
        <v>1</v>
      </c>
      <c r="L308" t="b">
        <v>1</v>
      </c>
      <c r="M308" t="b">
        <v>0</v>
      </c>
    </row>
    <row r="309" spans="1:13" x14ac:dyDescent="0.3">
      <c r="A309">
        <v>20</v>
      </c>
      <c r="B309" t="s">
        <v>25</v>
      </c>
      <c r="C309" s="1">
        <v>7</v>
      </c>
      <c r="D309" t="s">
        <v>13</v>
      </c>
      <c r="E309" t="s">
        <v>14</v>
      </c>
      <c r="F309" t="s">
        <v>27</v>
      </c>
      <c r="G309" t="s">
        <v>23</v>
      </c>
      <c r="H309">
        <f t="shared" si="4"/>
        <v>308</v>
      </c>
      <c r="I309" t="s">
        <v>24</v>
      </c>
      <c r="J309" s="3">
        <v>16041</v>
      </c>
      <c r="K309" t="b">
        <v>0</v>
      </c>
      <c r="L309" t="b">
        <v>0</v>
      </c>
      <c r="M309" t="b">
        <v>0</v>
      </c>
    </row>
    <row r="310" spans="1:13" x14ac:dyDescent="0.3">
      <c r="A310">
        <v>34</v>
      </c>
      <c r="B310" t="s">
        <v>12</v>
      </c>
      <c r="C310" s="1">
        <v>9</v>
      </c>
      <c r="D310" t="s">
        <v>13</v>
      </c>
      <c r="E310" t="s">
        <v>20</v>
      </c>
      <c r="F310" t="s">
        <v>22</v>
      </c>
      <c r="G310" t="s">
        <v>29</v>
      </c>
      <c r="H310">
        <f t="shared" si="4"/>
        <v>309</v>
      </c>
      <c r="I310" t="s">
        <v>17</v>
      </c>
      <c r="J310" s="3">
        <v>14675</v>
      </c>
      <c r="K310" t="b">
        <v>1</v>
      </c>
      <c r="L310" t="b">
        <v>1</v>
      </c>
      <c r="M310" t="b">
        <v>1</v>
      </c>
    </row>
    <row r="311" spans="1:13" x14ac:dyDescent="0.3">
      <c r="A311">
        <v>50</v>
      </c>
      <c r="B311" t="s">
        <v>25</v>
      </c>
      <c r="C311" s="1">
        <v>7</v>
      </c>
      <c r="D311" t="s">
        <v>19</v>
      </c>
      <c r="E311" t="s">
        <v>14</v>
      </c>
      <c r="F311" t="s">
        <v>15</v>
      </c>
      <c r="G311" t="s">
        <v>29</v>
      </c>
      <c r="H311">
        <f t="shared" si="4"/>
        <v>310</v>
      </c>
      <c r="I311" t="s">
        <v>21</v>
      </c>
      <c r="J311" s="3">
        <v>11560</v>
      </c>
      <c r="K311" t="b">
        <v>1</v>
      </c>
      <c r="L311" t="b">
        <v>1</v>
      </c>
      <c r="M311" t="b">
        <v>0</v>
      </c>
    </row>
    <row r="312" spans="1:13" x14ac:dyDescent="0.3">
      <c r="A312">
        <v>29</v>
      </c>
      <c r="B312" t="s">
        <v>18</v>
      </c>
      <c r="C312" s="1">
        <v>1</v>
      </c>
      <c r="D312" t="s">
        <v>13</v>
      </c>
      <c r="E312" t="s">
        <v>14</v>
      </c>
      <c r="F312" t="s">
        <v>15</v>
      </c>
      <c r="G312" t="s">
        <v>29</v>
      </c>
      <c r="H312">
        <f t="shared" si="4"/>
        <v>311</v>
      </c>
      <c r="I312" t="s">
        <v>21</v>
      </c>
      <c r="J312" s="3">
        <v>11164</v>
      </c>
      <c r="K312" t="b">
        <v>1</v>
      </c>
      <c r="L312" t="b">
        <v>0</v>
      </c>
      <c r="M312" t="b">
        <v>1</v>
      </c>
    </row>
    <row r="313" spans="1:13" x14ac:dyDescent="0.3">
      <c r="A313">
        <v>39</v>
      </c>
      <c r="B313" t="s">
        <v>25</v>
      </c>
      <c r="C313" s="1">
        <v>8</v>
      </c>
      <c r="D313" t="s">
        <v>28</v>
      </c>
      <c r="E313" t="s">
        <v>20</v>
      </c>
      <c r="F313" t="s">
        <v>15</v>
      </c>
      <c r="G313" t="s">
        <v>16</v>
      </c>
      <c r="H313">
        <f t="shared" si="4"/>
        <v>312</v>
      </c>
      <c r="I313" t="s">
        <v>24</v>
      </c>
      <c r="J313" s="3">
        <v>15419</v>
      </c>
      <c r="K313" t="b">
        <v>1</v>
      </c>
      <c r="L313" t="b">
        <v>0</v>
      </c>
      <c r="M313" t="b">
        <v>1</v>
      </c>
    </row>
    <row r="314" spans="1:13" x14ac:dyDescent="0.3">
      <c r="A314">
        <v>39</v>
      </c>
      <c r="B314" t="s">
        <v>18</v>
      </c>
      <c r="C314" s="1">
        <v>4</v>
      </c>
      <c r="D314" t="s">
        <v>28</v>
      </c>
      <c r="E314" t="s">
        <v>20</v>
      </c>
      <c r="F314" t="s">
        <v>22</v>
      </c>
      <c r="G314" t="s">
        <v>23</v>
      </c>
      <c r="H314">
        <f t="shared" si="4"/>
        <v>313</v>
      </c>
      <c r="I314" t="s">
        <v>17</v>
      </c>
      <c r="J314" s="3">
        <v>12722</v>
      </c>
      <c r="K314" t="b">
        <v>0</v>
      </c>
      <c r="L314" t="b">
        <v>1</v>
      </c>
      <c r="M314" t="b">
        <v>0</v>
      </c>
    </row>
    <row r="315" spans="1:13" x14ac:dyDescent="0.3">
      <c r="A315">
        <v>63</v>
      </c>
      <c r="B315" t="s">
        <v>25</v>
      </c>
      <c r="C315" s="1">
        <v>3</v>
      </c>
      <c r="D315" t="s">
        <v>19</v>
      </c>
      <c r="E315" t="s">
        <v>20</v>
      </c>
      <c r="F315" t="s">
        <v>15</v>
      </c>
      <c r="G315" t="s">
        <v>29</v>
      </c>
      <c r="H315">
        <f t="shared" si="4"/>
        <v>314</v>
      </c>
      <c r="I315" t="s">
        <v>24</v>
      </c>
      <c r="J315" s="3">
        <v>10470</v>
      </c>
      <c r="K315" t="b">
        <v>1</v>
      </c>
      <c r="L315" t="b">
        <v>0</v>
      </c>
      <c r="M315" t="b">
        <v>1</v>
      </c>
    </row>
    <row r="316" spans="1:13" x14ac:dyDescent="0.3">
      <c r="A316">
        <v>47</v>
      </c>
      <c r="B316" t="s">
        <v>25</v>
      </c>
      <c r="C316" s="1">
        <v>7</v>
      </c>
      <c r="D316" t="s">
        <v>19</v>
      </c>
      <c r="E316" t="s">
        <v>20</v>
      </c>
      <c r="F316" t="s">
        <v>27</v>
      </c>
      <c r="G316" t="s">
        <v>16</v>
      </c>
      <c r="H316">
        <f t="shared" si="4"/>
        <v>315</v>
      </c>
      <c r="I316" t="s">
        <v>21</v>
      </c>
      <c r="J316" s="3">
        <v>19608</v>
      </c>
      <c r="K316" t="b">
        <v>0</v>
      </c>
      <c r="L316" t="b">
        <v>0</v>
      </c>
      <c r="M316" t="b">
        <v>0</v>
      </c>
    </row>
    <row r="317" spans="1:13" x14ac:dyDescent="0.3">
      <c r="A317">
        <v>55</v>
      </c>
      <c r="B317" t="s">
        <v>25</v>
      </c>
      <c r="C317" s="1">
        <v>3</v>
      </c>
      <c r="D317" t="s">
        <v>13</v>
      </c>
      <c r="E317" t="s">
        <v>14</v>
      </c>
      <c r="F317" t="s">
        <v>27</v>
      </c>
      <c r="G317" t="s">
        <v>29</v>
      </c>
      <c r="H317">
        <f t="shared" si="4"/>
        <v>316</v>
      </c>
      <c r="I317" t="s">
        <v>17</v>
      </c>
      <c r="J317" s="3">
        <v>11468</v>
      </c>
      <c r="K317" t="b">
        <v>1</v>
      </c>
      <c r="L317" t="b">
        <v>1</v>
      </c>
      <c r="M317" t="b">
        <v>1</v>
      </c>
    </row>
    <row r="318" spans="1:13" x14ac:dyDescent="0.3">
      <c r="A318">
        <v>55</v>
      </c>
      <c r="B318" t="s">
        <v>12</v>
      </c>
      <c r="C318" s="1">
        <v>8</v>
      </c>
      <c r="D318" t="s">
        <v>13</v>
      </c>
      <c r="E318" t="s">
        <v>20</v>
      </c>
      <c r="F318" t="s">
        <v>27</v>
      </c>
      <c r="G318" t="s">
        <v>29</v>
      </c>
      <c r="H318">
        <f t="shared" si="4"/>
        <v>317</v>
      </c>
      <c r="I318" t="s">
        <v>21</v>
      </c>
      <c r="J318" s="3">
        <v>17925</v>
      </c>
      <c r="K318" t="b">
        <v>1</v>
      </c>
      <c r="L318" t="b">
        <v>0</v>
      </c>
      <c r="M318" t="b">
        <v>0</v>
      </c>
    </row>
    <row r="319" spans="1:13" x14ac:dyDescent="0.3">
      <c r="A319">
        <v>62</v>
      </c>
      <c r="B319" t="s">
        <v>12</v>
      </c>
      <c r="C319" s="1">
        <v>6</v>
      </c>
      <c r="D319" t="s">
        <v>13</v>
      </c>
      <c r="E319" t="s">
        <v>20</v>
      </c>
      <c r="F319" t="s">
        <v>15</v>
      </c>
      <c r="G319" t="s">
        <v>29</v>
      </c>
      <c r="H319">
        <f t="shared" si="4"/>
        <v>318</v>
      </c>
      <c r="I319" t="s">
        <v>21</v>
      </c>
      <c r="J319" s="3">
        <v>10808</v>
      </c>
      <c r="K319" t="b">
        <v>0</v>
      </c>
      <c r="L319" t="b">
        <v>1</v>
      </c>
      <c r="M319" t="b">
        <v>1</v>
      </c>
    </row>
    <row r="320" spans="1:13" x14ac:dyDescent="0.3">
      <c r="A320">
        <v>25</v>
      </c>
      <c r="B320" t="s">
        <v>18</v>
      </c>
      <c r="C320" s="1">
        <v>5</v>
      </c>
      <c r="D320" t="s">
        <v>13</v>
      </c>
      <c r="E320" t="s">
        <v>26</v>
      </c>
      <c r="F320" t="s">
        <v>27</v>
      </c>
      <c r="G320" t="s">
        <v>29</v>
      </c>
      <c r="H320">
        <f t="shared" si="4"/>
        <v>319</v>
      </c>
      <c r="I320" t="s">
        <v>17</v>
      </c>
      <c r="J320" s="3">
        <v>18363</v>
      </c>
      <c r="K320" t="b">
        <v>1</v>
      </c>
      <c r="L320" t="b">
        <v>1</v>
      </c>
      <c r="M320" t="b">
        <v>0</v>
      </c>
    </row>
    <row r="321" spans="1:13" x14ac:dyDescent="0.3">
      <c r="A321">
        <v>44</v>
      </c>
      <c r="B321" t="s">
        <v>18</v>
      </c>
      <c r="C321" s="1">
        <v>4</v>
      </c>
      <c r="D321" t="s">
        <v>28</v>
      </c>
      <c r="E321" t="s">
        <v>20</v>
      </c>
      <c r="F321" t="s">
        <v>15</v>
      </c>
      <c r="G321" t="s">
        <v>29</v>
      </c>
      <c r="H321">
        <f t="shared" si="4"/>
        <v>320</v>
      </c>
      <c r="I321" t="s">
        <v>17</v>
      </c>
      <c r="J321" s="3">
        <v>16719</v>
      </c>
      <c r="K321" t="b">
        <v>0</v>
      </c>
      <c r="L321" t="b">
        <v>1</v>
      </c>
      <c r="M321" t="b">
        <v>0</v>
      </c>
    </row>
    <row r="322" spans="1:13" x14ac:dyDescent="0.3">
      <c r="A322">
        <v>44</v>
      </c>
      <c r="B322" t="s">
        <v>12</v>
      </c>
      <c r="C322" s="1">
        <v>8</v>
      </c>
      <c r="D322" t="s">
        <v>28</v>
      </c>
      <c r="E322" t="s">
        <v>20</v>
      </c>
      <c r="F322" t="s">
        <v>27</v>
      </c>
      <c r="G322" t="s">
        <v>16</v>
      </c>
      <c r="H322">
        <f t="shared" si="4"/>
        <v>321</v>
      </c>
      <c r="I322" t="s">
        <v>24</v>
      </c>
      <c r="J322" s="3">
        <v>15073</v>
      </c>
      <c r="K322" t="b">
        <v>1</v>
      </c>
      <c r="L322" t="b">
        <v>1</v>
      </c>
      <c r="M322" t="b">
        <v>0</v>
      </c>
    </row>
    <row r="323" spans="1:13" x14ac:dyDescent="0.3">
      <c r="A323">
        <v>51</v>
      </c>
      <c r="B323" t="s">
        <v>18</v>
      </c>
      <c r="C323" s="1">
        <v>8</v>
      </c>
      <c r="D323" t="s">
        <v>19</v>
      </c>
      <c r="E323" t="s">
        <v>26</v>
      </c>
      <c r="F323" t="s">
        <v>22</v>
      </c>
      <c r="G323" t="s">
        <v>23</v>
      </c>
      <c r="H323">
        <f t="shared" si="4"/>
        <v>322</v>
      </c>
      <c r="I323" t="s">
        <v>24</v>
      </c>
      <c r="J323" s="3">
        <v>18012</v>
      </c>
      <c r="K323" t="b">
        <v>1</v>
      </c>
      <c r="L323" t="b">
        <v>0</v>
      </c>
      <c r="M323" t="b">
        <v>0</v>
      </c>
    </row>
    <row r="324" spans="1:13" x14ac:dyDescent="0.3">
      <c r="A324">
        <v>38</v>
      </c>
      <c r="B324" t="s">
        <v>12</v>
      </c>
      <c r="C324" s="1">
        <v>1</v>
      </c>
      <c r="D324" t="s">
        <v>13</v>
      </c>
      <c r="E324" t="s">
        <v>26</v>
      </c>
      <c r="F324" t="s">
        <v>22</v>
      </c>
      <c r="G324" t="s">
        <v>23</v>
      </c>
      <c r="H324">
        <f t="shared" ref="H324:I387" si="5">H323+1</f>
        <v>323</v>
      </c>
      <c r="I324" t="s">
        <v>21</v>
      </c>
      <c r="J324" s="3">
        <v>11645</v>
      </c>
      <c r="K324" t="b">
        <v>1</v>
      </c>
      <c r="L324" t="b">
        <v>1</v>
      </c>
      <c r="M324" t="b">
        <v>1</v>
      </c>
    </row>
    <row r="325" spans="1:13" x14ac:dyDescent="0.3">
      <c r="A325">
        <v>47</v>
      </c>
      <c r="B325" t="s">
        <v>25</v>
      </c>
      <c r="C325" s="1">
        <v>9</v>
      </c>
      <c r="D325" t="s">
        <v>13</v>
      </c>
      <c r="E325" t="s">
        <v>14</v>
      </c>
      <c r="F325" t="s">
        <v>22</v>
      </c>
      <c r="G325" t="s">
        <v>23</v>
      </c>
      <c r="H325">
        <f t="shared" si="5"/>
        <v>324</v>
      </c>
      <c r="I325" t="s">
        <v>17</v>
      </c>
      <c r="J325" s="3">
        <v>18249</v>
      </c>
      <c r="K325" t="b">
        <v>1</v>
      </c>
      <c r="L325" t="b">
        <v>1</v>
      </c>
      <c r="M325" t="b">
        <v>1</v>
      </c>
    </row>
    <row r="326" spans="1:13" x14ac:dyDescent="0.3">
      <c r="A326">
        <v>50</v>
      </c>
      <c r="B326" t="s">
        <v>18</v>
      </c>
      <c r="C326" s="1">
        <v>5</v>
      </c>
      <c r="D326" t="s">
        <v>19</v>
      </c>
      <c r="E326" t="s">
        <v>26</v>
      </c>
      <c r="F326" t="s">
        <v>22</v>
      </c>
      <c r="G326" t="s">
        <v>23</v>
      </c>
      <c r="H326">
        <f t="shared" si="5"/>
        <v>325</v>
      </c>
      <c r="I326" t="s">
        <v>17</v>
      </c>
      <c r="J326" s="3">
        <v>11129</v>
      </c>
      <c r="K326" t="b">
        <v>1</v>
      </c>
      <c r="L326" t="b">
        <v>1</v>
      </c>
      <c r="M326" t="b">
        <v>0</v>
      </c>
    </row>
    <row r="327" spans="1:13" x14ac:dyDescent="0.3">
      <c r="A327">
        <v>45</v>
      </c>
      <c r="B327" t="s">
        <v>18</v>
      </c>
      <c r="C327" s="1">
        <v>4</v>
      </c>
      <c r="D327" t="s">
        <v>13</v>
      </c>
      <c r="E327" t="s">
        <v>14</v>
      </c>
      <c r="F327" t="s">
        <v>15</v>
      </c>
      <c r="G327" t="s">
        <v>16</v>
      </c>
      <c r="H327">
        <f t="shared" si="5"/>
        <v>326</v>
      </c>
      <c r="I327" t="s">
        <v>24</v>
      </c>
      <c r="J327" s="3">
        <v>11353</v>
      </c>
      <c r="K327" t="b">
        <v>0</v>
      </c>
      <c r="L327" t="b">
        <v>1</v>
      </c>
      <c r="M327" t="b">
        <v>1</v>
      </c>
    </row>
    <row r="328" spans="1:13" x14ac:dyDescent="0.3">
      <c r="A328">
        <v>64</v>
      </c>
      <c r="B328" t="s">
        <v>12</v>
      </c>
      <c r="C328" s="1">
        <v>6</v>
      </c>
      <c r="D328" t="s">
        <v>13</v>
      </c>
      <c r="E328" t="s">
        <v>26</v>
      </c>
      <c r="F328" t="s">
        <v>27</v>
      </c>
      <c r="G328" t="s">
        <v>16</v>
      </c>
      <c r="H328">
        <f t="shared" si="5"/>
        <v>327</v>
      </c>
      <c r="I328" t="s">
        <v>21</v>
      </c>
      <c r="J328" s="3">
        <v>10767</v>
      </c>
      <c r="K328" t="b">
        <v>0</v>
      </c>
      <c r="L328" t="b">
        <v>0</v>
      </c>
      <c r="M328" t="b">
        <v>0</v>
      </c>
    </row>
    <row r="329" spans="1:13" x14ac:dyDescent="0.3">
      <c r="A329">
        <v>50</v>
      </c>
      <c r="B329" t="s">
        <v>18</v>
      </c>
      <c r="C329" s="1">
        <v>6</v>
      </c>
      <c r="D329" t="s">
        <v>13</v>
      </c>
      <c r="E329" t="s">
        <v>26</v>
      </c>
      <c r="F329" t="s">
        <v>22</v>
      </c>
      <c r="G329" t="s">
        <v>16</v>
      </c>
      <c r="H329">
        <f t="shared" si="5"/>
        <v>328</v>
      </c>
      <c r="I329" t="s">
        <v>21</v>
      </c>
      <c r="J329" s="3">
        <v>13895</v>
      </c>
      <c r="K329" t="b">
        <v>1</v>
      </c>
      <c r="L329" t="b">
        <v>0</v>
      </c>
      <c r="M329" t="b">
        <v>0</v>
      </c>
    </row>
    <row r="330" spans="1:13" x14ac:dyDescent="0.3">
      <c r="A330">
        <v>22</v>
      </c>
      <c r="B330" t="s">
        <v>18</v>
      </c>
      <c r="C330" s="1">
        <v>2</v>
      </c>
      <c r="D330" t="s">
        <v>13</v>
      </c>
      <c r="E330" t="s">
        <v>14</v>
      </c>
      <c r="F330" t="s">
        <v>15</v>
      </c>
      <c r="G330" t="s">
        <v>29</v>
      </c>
      <c r="H330">
        <f t="shared" si="5"/>
        <v>329</v>
      </c>
      <c r="I330" t="s">
        <v>24</v>
      </c>
      <c r="J330" s="3">
        <v>18874</v>
      </c>
      <c r="K330" t="b">
        <v>1</v>
      </c>
      <c r="L330" t="b">
        <v>0</v>
      </c>
      <c r="M330" t="b">
        <v>1</v>
      </c>
    </row>
    <row r="331" spans="1:13" x14ac:dyDescent="0.3">
      <c r="A331">
        <v>36</v>
      </c>
      <c r="B331" t="s">
        <v>25</v>
      </c>
      <c r="C331" s="1">
        <v>8</v>
      </c>
      <c r="D331" t="s">
        <v>13</v>
      </c>
      <c r="E331" t="s">
        <v>26</v>
      </c>
      <c r="F331" t="s">
        <v>22</v>
      </c>
      <c r="G331" t="s">
        <v>29</v>
      </c>
      <c r="H331">
        <f t="shared" si="5"/>
        <v>330</v>
      </c>
      <c r="I331" t="s">
        <v>17</v>
      </c>
      <c r="J331" s="3">
        <v>13454</v>
      </c>
      <c r="K331" t="b">
        <v>0</v>
      </c>
      <c r="L331" t="b">
        <v>1</v>
      </c>
      <c r="M331" t="b">
        <v>1</v>
      </c>
    </row>
    <row r="332" spans="1:13" x14ac:dyDescent="0.3">
      <c r="A332">
        <v>21</v>
      </c>
      <c r="B332" t="s">
        <v>18</v>
      </c>
      <c r="C332" s="1">
        <v>7</v>
      </c>
      <c r="D332" t="s">
        <v>19</v>
      </c>
      <c r="E332" t="s">
        <v>14</v>
      </c>
      <c r="F332" t="s">
        <v>22</v>
      </c>
      <c r="G332" t="s">
        <v>29</v>
      </c>
      <c r="H332">
        <f t="shared" si="5"/>
        <v>331</v>
      </c>
      <c r="I332" t="s">
        <v>24</v>
      </c>
      <c r="J332" s="3">
        <v>17329</v>
      </c>
      <c r="K332" t="b">
        <v>0</v>
      </c>
      <c r="L332" t="b">
        <v>0</v>
      </c>
      <c r="M332" t="b">
        <v>0</v>
      </c>
    </row>
    <row r="333" spans="1:13" x14ac:dyDescent="0.3">
      <c r="A333">
        <v>52</v>
      </c>
      <c r="B333" t="s">
        <v>25</v>
      </c>
      <c r="C333" s="1">
        <v>1</v>
      </c>
      <c r="D333" t="s">
        <v>13</v>
      </c>
      <c r="E333" t="s">
        <v>26</v>
      </c>
      <c r="F333" t="s">
        <v>15</v>
      </c>
      <c r="G333" t="s">
        <v>23</v>
      </c>
      <c r="H333">
        <f t="shared" si="5"/>
        <v>332</v>
      </c>
      <c r="I333" t="s">
        <v>24</v>
      </c>
      <c r="J333" s="3">
        <v>11790</v>
      </c>
      <c r="K333" t="b">
        <v>1</v>
      </c>
      <c r="L333" t="b">
        <v>0</v>
      </c>
      <c r="M333" t="b">
        <v>1</v>
      </c>
    </row>
    <row r="334" spans="1:13" x14ac:dyDescent="0.3">
      <c r="A334">
        <v>34</v>
      </c>
      <c r="B334" t="s">
        <v>12</v>
      </c>
      <c r="C334" s="1">
        <v>5</v>
      </c>
      <c r="D334" t="s">
        <v>19</v>
      </c>
      <c r="E334" t="s">
        <v>20</v>
      </c>
      <c r="F334" t="s">
        <v>15</v>
      </c>
      <c r="G334" t="s">
        <v>29</v>
      </c>
      <c r="H334">
        <f t="shared" si="5"/>
        <v>333</v>
      </c>
      <c r="I334" t="s">
        <v>24</v>
      </c>
      <c r="J334" s="3">
        <v>19669</v>
      </c>
      <c r="K334" t="b">
        <v>1</v>
      </c>
      <c r="L334" t="b">
        <v>1</v>
      </c>
      <c r="M334" t="b">
        <v>0</v>
      </c>
    </row>
    <row r="335" spans="1:13" x14ac:dyDescent="0.3">
      <c r="A335">
        <v>61</v>
      </c>
      <c r="B335" t="s">
        <v>18</v>
      </c>
      <c r="C335" s="1">
        <v>6</v>
      </c>
      <c r="D335" t="s">
        <v>13</v>
      </c>
      <c r="E335" t="s">
        <v>26</v>
      </c>
      <c r="F335" t="s">
        <v>27</v>
      </c>
      <c r="G335" t="s">
        <v>23</v>
      </c>
      <c r="H335">
        <f t="shared" si="5"/>
        <v>334</v>
      </c>
      <c r="I335" t="s">
        <v>24</v>
      </c>
      <c r="J335" s="3">
        <v>10885</v>
      </c>
      <c r="K335" t="b">
        <v>0</v>
      </c>
      <c r="L335" t="b">
        <v>0</v>
      </c>
      <c r="M335" t="b">
        <v>1</v>
      </c>
    </row>
    <row r="336" spans="1:13" x14ac:dyDescent="0.3">
      <c r="A336">
        <v>45</v>
      </c>
      <c r="B336" t="s">
        <v>25</v>
      </c>
      <c r="C336" s="1">
        <v>4</v>
      </c>
      <c r="D336" t="s">
        <v>28</v>
      </c>
      <c r="E336" t="s">
        <v>14</v>
      </c>
      <c r="F336" t="s">
        <v>27</v>
      </c>
      <c r="G336" t="s">
        <v>29</v>
      </c>
      <c r="H336">
        <f t="shared" si="5"/>
        <v>335</v>
      </c>
      <c r="I336" t="s">
        <v>17</v>
      </c>
      <c r="J336" s="3">
        <v>17734</v>
      </c>
      <c r="K336" t="b">
        <v>1</v>
      </c>
      <c r="L336" t="b">
        <v>1</v>
      </c>
      <c r="M336" t="b">
        <v>1</v>
      </c>
    </row>
    <row r="337" spans="1:13" x14ac:dyDescent="0.3">
      <c r="A337">
        <v>47</v>
      </c>
      <c r="B337" t="s">
        <v>12</v>
      </c>
      <c r="C337" s="1">
        <v>2</v>
      </c>
      <c r="D337" t="s">
        <v>28</v>
      </c>
      <c r="E337" t="s">
        <v>26</v>
      </c>
      <c r="F337" t="s">
        <v>22</v>
      </c>
      <c r="G337" t="s">
        <v>23</v>
      </c>
      <c r="H337">
        <f t="shared" si="5"/>
        <v>336</v>
      </c>
      <c r="I337" t="s">
        <v>24</v>
      </c>
      <c r="J337" s="3">
        <v>13906</v>
      </c>
      <c r="K337" t="b">
        <v>0</v>
      </c>
      <c r="L337" t="b">
        <v>0</v>
      </c>
      <c r="M337" t="b">
        <v>1</v>
      </c>
    </row>
    <row r="338" spans="1:13" x14ac:dyDescent="0.3">
      <c r="A338">
        <v>46</v>
      </c>
      <c r="B338" t="s">
        <v>18</v>
      </c>
      <c r="C338" s="1">
        <v>4</v>
      </c>
      <c r="D338" t="s">
        <v>28</v>
      </c>
      <c r="E338" t="s">
        <v>14</v>
      </c>
      <c r="F338" t="s">
        <v>22</v>
      </c>
      <c r="G338" t="s">
        <v>29</v>
      </c>
      <c r="H338">
        <f t="shared" si="5"/>
        <v>337</v>
      </c>
      <c r="I338" t="s">
        <v>17</v>
      </c>
      <c r="J338" s="3">
        <v>14492</v>
      </c>
      <c r="K338" t="b">
        <v>1</v>
      </c>
      <c r="L338" t="b">
        <v>0</v>
      </c>
      <c r="M338" t="b">
        <v>1</v>
      </c>
    </row>
    <row r="339" spans="1:13" x14ac:dyDescent="0.3">
      <c r="A339">
        <v>63</v>
      </c>
      <c r="B339" t="s">
        <v>12</v>
      </c>
      <c r="C339" s="1">
        <v>1</v>
      </c>
      <c r="D339" t="s">
        <v>28</v>
      </c>
      <c r="E339" t="s">
        <v>14</v>
      </c>
      <c r="F339" t="s">
        <v>27</v>
      </c>
      <c r="G339" t="s">
        <v>29</v>
      </c>
      <c r="H339">
        <f t="shared" si="5"/>
        <v>338</v>
      </c>
      <c r="I339" t="s">
        <v>24</v>
      </c>
      <c r="J339" s="3">
        <v>19730</v>
      </c>
      <c r="K339" t="b">
        <v>0</v>
      </c>
      <c r="L339" t="b">
        <v>0</v>
      </c>
      <c r="M339" t="b">
        <v>1</v>
      </c>
    </row>
    <row r="340" spans="1:13" x14ac:dyDescent="0.3">
      <c r="A340">
        <v>23</v>
      </c>
      <c r="B340" t="s">
        <v>18</v>
      </c>
      <c r="C340" s="1">
        <v>7</v>
      </c>
      <c r="D340" t="s">
        <v>19</v>
      </c>
      <c r="E340" t="s">
        <v>20</v>
      </c>
      <c r="F340" t="s">
        <v>27</v>
      </c>
      <c r="G340" t="s">
        <v>16</v>
      </c>
      <c r="H340">
        <f t="shared" si="5"/>
        <v>339</v>
      </c>
      <c r="I340" t="s">
        <v>21</v>
      </c>
      <c r="J340" s="3">
        <v>12073</v>
      </c>
      <c r="K340" t="b">
        <v>0</v>
      </c>
      <c r="L340" t="b">
        <v>0</v>
      </c>
      <c r="M340" t="b">
        <v>0</v>
      </c>
    </row>
    <row r="341" spans="1:13" x14ac:dyDescent="0.3">
      <c r="A341">
        <v>52</v>
      </c>
      <c r="B341" t="s">
        <v>12</v>
      </c>
      <c r="C341" s="1">
        <v>2</v>
      </c>
      <c r="D341" t="s">
        <v>19</v>
      </c>
      <c r="E341" t="s">
        <v>20</v>
      </c>
      <c r="F341" t="s">
        <v>15</v>
      </c>
      <c r="G341" t="s">
        <v>29</v>
      </c>
      <c r="H341">
        <f t="shared" si="5"/>
        <v>340</v>
      </c>
      <c r="I341" t="s">
        <v>17</v>
      </c>
      <c r="J341" s="3">
        <v>10312</v>
      </c>
      <c r="K341" t="b">
        <v>1</v>
      </c>
      <c r="L341" t="b">
        <v>1</v>
      </c>
      <c r="M341" t="b">
        <v>1</v>
      </c>
    </row>
    <row r="342" spans="1:13" x14ac:dyDescent="0.3">
      <c r="A342">
        <v>58</v>
      </c>
      <c r="B342" t="s">
        <v>12</v>
      </c>
      <c r="C342" s="1">
        <v>2</v>
      </c>
      <c r="D342" t="s">
        <v>13</v>
      </c>
      <c r="E342" t="s">
        <v>14</v>
      </c>
      <c r="F342" t="s">
        <v>27</v>
      </c>
      <c r="G342" t="s">
        <v>29</v>
      </c>
      <c r="H342">
        <f t="shared" si="5"/>
        <v>341</v>
      </c>
      <c r="I342" t="s">
        <v>21</v>
      </c>
      <c r="J342" s="3">
        <v>16269</v>
      </c>
      <c r="K342" t="b">
        <v>0</v>
      </c>
      <c r="L342" t="b">
        <v>1</v>
      </c>
      <c r="M342" t="b">
        <v>1</v>
      </c>
    </row>
    <row r="343" spans="1:13" x14ac:dyDescent="0.3">
      <c r="A343">
        <v>54</v>
      </c>
      <c r="B343" t="s">
        <v>25</v>
      </c>
      <c r="C343" s="1">
        <v>9</v>
      </c>
      <c r="D343" t="s">
        <v>28</v>
      </c>
      <c r="E343" t="s">
        <v>26</v>
      </c>
      <c r="F343" t="s">
        <v>27</v>
      </c>
      <c r="G343" t="s">
        <v>16</v>
      </c>
      <c r="H343">
        <f t="shared" si="5"/>
        <v>342</v>
      </c>
      <c r="I343" t="s">
        <v>24</v>
      </c>
      <c r="J343" s="3">
        <v>15317</v>
      </c>
      <c r="K343" t="b">
        <v>1</v>
      </c>
      <c r="L343" t="b">
        <v>0</v>
      </c>
      <c r="M343" t="b">
        <v>0</v>
      </c>
    </row>
    <row r="344" spans="1:13" x14ac:dyDescent="0.3">
      <c r="A344">
        <v>41</v>
      </c>
      <c r="B344" t="s">
        <v>12</v>
      </c>
      <c r="C344" s="1">
        <v>5</v>
      </c>
      <c r="D344" t="s">
        <v>19</v>
      </c>
      <c r="E344" t="s">
        <v>14</v>
      </c>
      <c r="F344" t="s">
        <v>22</v>
      </c>
      <c r="G344" t="s">
        <v>23</v>
      </c>
      <c r="H344">
        <f t="shared" si="5"/>
        <v>343</v>
      </c>
      <c r="I344" t="s">
        <v>24</v>
      </c>
      <c r="J344" s="3">
        <v>10810</v>
      </c>
      <c r="K344" t="b">
        <v>1</v>
      </c>
      <c r="L344" t="b">
        <v>1</v>
      </c>
      <c r="M344" t="b">
        <v>0</v>
      </c>
    </row>
    <row r="345" spans="1:13" x14ac:dyDescent="0.3">
      <c r="A345">
        <v>46</v>
      </c>
      <c r="B345" t="s">
        <v>18</v>
      </c>
      <c r="C345" s="1">
        <v>2</v>
      </c>
      <c r="D345" t="s">
        <v>13</v>
      </c>
      <c r="E345" t="s">
        <v>14</v>
      </c>
      <c r="F345" t="s">
        <v>27</v>
      </c>
      <c r="G345" t="s">
        <v>16</v>
      </c>
      <c r="H345">
        <f t="shared" si="5"/>
        <v>344</v>
      </c>
      <c r="I345" t="s">
        <v>24</v>
      </c>
      <c r="J345" s="3">
        <v>16841</v>
      </c>
      <c r="K345" t="b">
        <v>1</v>
      </c>
      <c r="L345" t="b">
        <v>0</v>
      </c>
      <c r="M345" t="b">
        <v>0</v>
      </c>
    </row>
    <row r="346" spans="1:13" x14ac:dyDescent="0.3">
      <c r="A346">
        <v>63</v>
      </c>
      <c r="B346" t="s">
        <v>18</v>
      </c>
      <c r="C346" s="1">
        <v>9</v>
      </c>
      <c r="D346" t="s">
        <v>13</v>
      </c>
      <c r="E346" t="s">
        <v>26</v>
      </c>
      <c r="F346" t="s">
        <v>22</v>
      </c>
      <c r="G346" t="s">
        <v>16</v>
      </c>
      <c r="H346">
        <f t="shared" si="5"/>
        <v>345</v>
      </c>
      <c r="I346" t="s">
        <v>17</v>
      </c>
      <c r="J346" s="3">
        <v>12032</v>
      </c>
      <c r="K346" t="b">
        <v>1</v>
      </c>
      <c r="L346" t="b">
        <v>0</v>
      </c>
      <c r="M346" t="b">
        <v>1</v>
      </c>
    </row>
    <row r="347" spans="1:13" x14ac:dyDescent="0.3">
      <c r="A347">
        <v>48</v>
      </c>
      <c r="B347" t="s">
        <v>25</v>
      </c>
      <c r="C347" s="1">
        <v>9</v>
      </c>
      <c r="D347" t="s">
        <v>19</v>
      </c>
      <c r="E347" t="s">
        <v>26</v>
      </c>
      <c r="F347" t="s">
        <v>27</v>
      </c>
      <c r="G347" t="s">
        <v>23</v>
      </c>
      <c r="H347">
        <f t="shared" si="5"/>
        <v>346</v>
      </c>
      <c r="I347" t="s">
        <v>21</v>
      </c>
      <c r="J347" s="3">
        <v>19699</v>
      </c>
      <c r="K347" t="b">
        <v>0</v>
      </c>
      <c r="L347" t="b">
        <v>0</v>
      </c>
      <c r="M347" t="b">
        <v>1</v>
      </c>
    </row>
    <row r="348" spans="1:13" x14ac:dyDescent="0.3">
      <c r="A348">
        <v>52</v>
      </c>
      <c r="B348" t="s">
        <v>18</v>
      </c>
      <c r="C348" s="1">
        <v>1</v>
      </c>
      <c r="D348" t="s">
        <v>28</v>
      </c>
      <c r="E348" t="s">
        <v>26</v>
      </c>
      <c r="F348" t="s">
        <v>15</v>
      </c>
      <c r="G348" t="s">
        <v>29</v>
      </c>
      <c r="H348">
        <f t="shared" si="5"/>
        <v>347</v>
      </c>
      <c r="I348" t="s">
        <v>17</v>
      </c>
      <c r="J348" s="3">
        <v>17129</v>
      </c>
      <c r="K348" t="b">
        <v>1</v>
      </c>
      <c r="L348" t="b">
        <v>0</v>
      </c>
      <c r="M348" t="b">
        <v>0</v>
      </c>
    </row>
    <row r="349" spans="1:13" x14ac:dyDescent="0.3">
      <c r="A349">
        <v>50</v>
      </c>
      <c r="B349" t="s">
        <v>18</v>
      </c>
      <c r="C349" s="1">
        <v>3</v>
      </c>
      <c r="D349" t="s">
        <v>13</v>
      </c>
      <c r="E349" t="s">
        <v>26</v>
      </c>
      <c r="F349" t="s">
        <v>27</v>
      </c>
      <c r="G349" t="s">
        <v>23</v>
      </c>
      <c r="H349">
        <f t="shared" si="5"/>
        <v>348</v>
      </c>
      <c r="I349" t="s">
        <v>17</v>
      </c>
      <c r="J349" s="3">
        <v>12705</v>
      </c>
      <c r="K349" t="b">
        <v>1</v>
      </c>
      <c r="L349" t="b">
        <v>0</v>
      </c>
      <c r="M349" t="b">
        <v>0</v>
      </c>
    </row>
    <row r="350" spans="1:13" x14ac:dyDescent="0.3">
      <c r="A350">
        <v>38</v>
      </c>
      <c r="B350" t="s">
        <v>18</v>
      </c>
      <c r="C350" s="1">
        <v>4</v>
      </c>
      <c r="D350" t="s">
        <v>28</v>
      </c>
      <c r="E350" t="s">
        <v>14</v>
      </c>
      <c r="F350" t="s">
        <v>27</v>
      </c>
      <c r="G350" t="s">
        <v>29</v>
      </c>
      <c r="H350">
        <f t="shared" si="5"/>
        <v>349</v>
      </c>
      <c r="I350" t="s">
        <v>24</v>
      </c>
      <c r="J350" s="3">
        <v>18788</v>
      </c>
      <c r="K350" t="b">
        <v>1</v>
      </c>
      <c r="L350" t="b">
        <v>0</v>
      </c>
      <c r="M350" t="b">
        <v>0</v>
      </c>
    </row>
    <row r="351" spans="1:13" x14ac:dyDescent="0.3">
      <c r="A351">
        <v>49</v>
      </c>
      <c r="B351" t="s">
        <v>12</v>
      </c>
      <c r="C351" s="1">
        <v>7</v>
      </c>
      <c r="D351" t="s">
        <v>28</v>
      </c>
      <c r="E351" t="s">
        <v>14</v>
      </c>
      <c r="F351" t="s">
        <v>27</v>
      </c>
      <c r="G351" t="s">
        <v>29</v>
      </c>
      <c r="H351">
        <f t="shared" si="5"/>
        <v>350</v>
      </c>
      <c r="I351" t="s">
        <v>21</v>
      </c>
      <c r="J351" s="3">
        <v>12147</v>
      </c>
      <c r="K351" t="b">
        <v>1</v>
      </c>
      <c r="L351" t="b">
        <v>1</v>
      </c>
      <c r="M351" t="b">
        <v>0</v>
      </c>
    </row>
    <row r="352" spans="1:13" x14ac:dyDescent="0.3">
      <c r="A352">
        <v>40</v>
      </c>
      <c r="B352" t="s">
        <v>12</v>
      </c>
      <c r="C352" s="1">
        <v>4</v>
      </c>
      <c r="D352" t="s">
        <v>28</v>
      </c>
      <c r="E352" t="s">
        <v>20</v>
      </c>
      <c r="F352" t="s">
        <v>22</v>
      </c>
      <c r="G352" t="s">
        <v>23</v>
      </c>
      <c r="H352">
        <f t="shared" si="5"/>
        <v>351</v>
      </c>
      <c r="I352" t="s">
        <v>24</v>
      </c>
      <c r="J352" s="3">
        <v>10615</v>
      </c>
      <c r="K352" t="b">
        <v>0</v>
      </c>
      <c r="L352" t="b">
        <v>1</v>
      </c>
      <c r="M352" t="b">
        <v>1</v>
      </c>
    </row>
    <row r="353" spans="1:13" x14ac:dyDescent="0.3">
      <c r="A353">
        <v>50</v>
      </c>
      <c r="B353" t="s">
        <v>18</v>
      </c>
      <c r="C353" s="1">
        <v>2</v>
      </c>
      <c r="D353" t="s">
        <v>13</v>
      </c>
      <c r="E353" t="s">
        <v>14</v>
      </c>
      <c r="F353" t="s">
        <v>15</v>
      </c>
      <c r="G353" t="s">
        <v>16</v>
      </c>
      <c r="H353">
        <f t="shared" si="5"/>
        <v>352</v>
      </c>
      <c r="I353" t="s">
        <v>17</v>
      </c>
      <c r="J353" s="3">
        <v>10947</v>
      </c>
      <c r="K353" t="b">
        <v>1</v>
      </c>
      <c r="L353" t="b">
        <v>0</v>
      </c>
      <c r="M353" t="b">
        <v>1</v>
      </c>
    </row>
    <row r="354" spans="1:13" x14ac:dyDescent="0.3">
      <c r="A354">
        <v>20</v>
      </c>
      <c r="B354" t="s">
        <v>25</v>
      </c>
      <c r="C354" s="1">
        <v>7</v>
      </c>
      <c r="D354" t="s">
        <v>28</v>
      </c>
      <c r="E354" t="s">
        <v>26</v>
      </c>
      <c r="F354" t="s">
        <v>27</v>
      </c>
      <c r="G354" t="s">
        <v>23</v>
      </c>
      <c r="H354">
        <f t="shared" si="5"/>
        <v>353</v>
      </c>
      <c r="I354" t="s">
        <v>24</v>
      </c>
      <c r="J354" s="3">
        <v>15677</v>
      </c>
      <c r="K354" t="b">
        <v>0</v>
      </c>
      <c r="L354" t="b">
        <v>1</v>
      </c>
      <c r="M354" t="b">
        <v>1</v>
      </c>
    </row>
    <row r="355" spans="1:13" x14ac:dyDescent="0.3">
      <c r="A355">
        <v>35</v>
      </c>
      <c r="B355" t="s">
        <v>12</v>
      </c>
      <c r="C355" s="1">
        <v>6</v>
      </c>
      <c r="D355" t="s">
        <v>13</v>
      </c>
      <c r="E355" t="s">
        <v>20</v>
      </c>
      <c r="F355" t="s">
        <v>22</v>
      </c>
      <c r="G355" t="s">
        <v>29</v>
      </c>
      <c r="H355">
        <f t="shared" si="5"/>
        <v>354</v>
      </c>
      <c r="I355" t="s">
        <v>21</v>
      </c>
      <c r="J355" s="3">
        <v>14651</v>
      </c>
      <c r="K355" t="b">
        <v>0</v>
      </c>
      <c r="L355" t="b">
        <v>0</v>
      </c>
      <c r="M355" t="b">
        <v>1</v>
      </c>
    </row>
    <row r="356" spans="1:13" x14ac:dyDescent="0.3">
      <c r="A356">
        <v>42</v>
      </c>
      <c r="B356" t="s">
        <v>25</v>
      </c>
      <c r="C356" s="1">
        <v>3</v>
      </c>
      <c r="D356" t="s">
        <v>28</v>
      </c>
      <c r="E356" t="s">
        <v>26</v>
      </c>
      <c r="F356" t="s">
        <v>15</v>
      </c>
      <c r="G356" t="s">
        <v>23</v>
      </c>
      <c r="H356">
        <f t="shared" si="5"/>
        <v>355</v>
      </c>
      <c r="I356" t="s">
        <v>24</v>
      </c>
      <c r="J356" s="3">
        <v>17866</v>
      </c>
      <c r="K356" t="b">
        <v>0</v>
      </c>
      <c r="L356" t="b">
        <v>1</v>
      </c>
      <c r="M356" t="b">
        <v>1</v>
      </c>
    </row>
    <row r="357" spans="1:13" x14ac:dyDescent="0.3">
      <c r="A357">
        <v>59</v>
      </c>
      <c r="B357" t="s">
        <v>18</v>
      </c>
      <c r="C357" s="1">
        <v>6</v>
      </c>
      <c r="D357" t="s">
        <v>13</v>
      </c>
      <c r="E357" t="s">
        <v>14</v>
      </c>
      <c r="F357" t="s">
        <v>22</v>
      </c>
      <c r="G357" t="s">
        <v>23</v>
      </c>
      <c r="H357">
        <f t="shared" si="5"/>
        <v>356</v>
      </c>
      <c r="I357" t="s">
        <v>21</v>
      </c>
      <c r="J357" s="3">
        <v>12013</v>
      </c>
      <c r="K357" t="b">
        <v>1</v>
      </c>
      <c r="L357" t="b">
        <v>1</v>
      </c>
      <c r="M357" t="b">
        <v>0</v>
      </c>
    </row>
    <row r="358" spans="1:13" x14ac:dyDescent="0.3">
      <c r="A358">
        <v>48</v>
      </c>
      <c r="B358" t="s">
        <v>18</v>
      </c>
      <c r="C358" s="1">
        <v>6</v>
      </c>
      <c r="D358" t="s">
        <v>28</v>
      </c>
      <c r="E358" t="s">
        <v>20</v>
      </c>
      <c r="F358" t="s">
        <v>22</v>
      </c>
      <c r="G358" t="s">
        <v>29</v>
      </c>
      <c r="H358">
        <f t="shared" si="5"/>
        <v>357</v>
      </c>
      <c r="I358" t="s">
        <v>21</v>
      </c>
      <c r="J358" s="3">
        <v>13697</v>
      </c>
      <c r="K358" t="b">
        <v>1</v>
      </c>
      <c r="L358" t="b">
        <v>1</v>
      </c>
      <c r="M358" t="b">
        <v>1</v>
      </c>
    </row>
    <row r="359" spans="1:13" x14ac:dyDescent="0.3">
      <c r="A359">
        <v>20</v>
      </c>
      <c r="B359" t="s">
        <v>12</v>
      </c>
      <c r="C359" s="1">
        <v>5</v>
      </c>
      <c r="D359" t="s">
        <v>19</v>
      </c>
      <c r="E359" t="s">
        <v>26</v>
      </c>
      <c r="F359" t="s">
        <v>15</v>
      </c>
      <c r="G359" t="s">
        <v>16</v>
      </c>
      <c r="H359">
        <f t="shared" si="5"/>
        <v>358</v>
      </c>
      <c r="I359" t="s">
        <v>24</v>
      </c>
      <c r="J359" s="3">
        <v>10490</v>
      </c>
      <c r="K359" t="b">
        <v>1</v>
      </c>
      <c r="L359" t="b">
        <v>0</v>
      </c>
      <c r="M359" t="b">
        <v>0</v>
      </c>
    </row>
    <row r="360" spans="1:13" x14ac:dyDescent="0.3">
      <c r="A360">
        <v>57</v>
      </c>
      <c r="B360" t="s">
        <v>18</v>
      </c>
      <c r="C360" s="1">
        <v>4</v>
      </c>
      <c r="D360" t="s">
        <v>28</v>
      </c>
      <c r="E360" t="s">
        <v>20</v>
      </c>
      <c r="F360" t="s">
        <v>27</v>
      </c>
      <c r="G360" t="s">
        <v>23</v>
      </c>
      <c r="H360">
        <f t="shared" si="5"/>
        <v>359</v>
      </c>
      <c r="I360" t="s">
        <v>17</v>
      </c>
      <c r="J360" s="3">
        <v>14350</v>
      </c>
      <c r="K360" t="b">
        <v>1</v>
      </c>
      <c r="L360" t="b">
        <v>1</v>
      </c>
      <c r="M360" t="b">
        <v>0</v>
      </c>
    </row>
    <row r="361" spans="1:13" x14ac:dyDescent="0.3">
      <c r="A361">
        <v>63</v>
      </c>
      <c r="B361" t="s">
        <v>12</v>
      </c>
      <c r="C361" s="1">
        <v>1</v>
      </c>
      <c r="D361" t="s">
        <v>28</v>
      </c>
      <c r="E361" t="s">
        <v>20</v>
      </c>
      <c r="F361" t="s">
        <v>22</v>
      </c>
      <c r="G361" t="s">
        <v>29</v>
      </c>
      <c r="H361">
        <f t="shared" si="5"/>
        <v>360</v>
      </c>
      <c r="I361" t="s">
        <v>24</v>
      </c>
      <c r="J361" s="3">
        <v>12428</v>
      </c>
      <c r="K361" t="b">
        <v>0</v>
      </c>
      <c r="L361" t="b">
        <v>0</v>
      </c>
      <c r="M361" t="b">
        <v>0</v>
      </c>
    </row>
    <row r="362" spans="1:13" x14ac:dyDescent="0.3">
      <c r="A362">
        <v>41</v>
      </c>
      <c r="B362" t="s">
        <v>18</v>
      </c>
      <c r="C362" s="1">
        <v>6</v>
      </c>
      <c r="D362" t="s">
        <v>13</v>
      </c>
      <c r="E362" t="s">
        <v>14</v>
      </c>
      <c r="F362" t="s">
        <v>22</v>
      </c>
      <c r="G362" t="s">
        <v>29</v>
      </c>
      <c r="H362">
        <f t="shared" si="5"/>
        <v>361</v>
      </c>
      <c r="I362" t="s">
        <v>17</v>
      </c>
      <c r="J362" s="3">
        <v>14987</v>
      </c>
      <c r="K362" t="b">
        <v>0</v>
      </c>
      <c r="L362" t="b">
        <v>0</v>
      </c>
      <c r="M362" t="b">
        <v>1</v>
      </c>
    </row>
    <row r="363" spans="1:13" x14ac:dyDescent="0.3">
      <c r="A363">
        <v>49</v>
      </c>
      <c r="B363" t="s">
        <v>18</v>
      </c>
      <c r="C363" s="1">
        <v>2</v>
      </c>
      <c r="D363" t="s">
        <v>13</v>
      </c>
      <c r="E363" t="s">
        <v>26</v>
      </c>
      <c r="F363" t="s">
        <v>27</v>
      </c>
      <c r="G363" t="s">
        <v>23</v>
      </c>
      <c r="H363">
        <f t="shared" si="5"/>
        <v>362</v>
      </c>
      <c r="I363" t="s">
        <v>17</v>
      </c>
      <c r="J363" s="3">
        <v>18733</v>
      </c>
      <c r="K363" t="b">
        <v>1</v>
      </c>
      <c r="L363" t="b">
        <v>0</v>
      </c>
      <c r="M363" t="b">
        <v>0</v>
      </c>
    </row>
    <row r="364" spans="1:13" x14ac:dyDescent="0.3">
      <c r="A364">
        <v>64</v>
      </c>
      <c r="B364" t="s">
        <v>12</v>
      </c>
      <c r="C364" s="1">
        <v>3</v>
      </c>
      <c r="D364" t="s">
        <v>28</v>
      </c>
      <c r="E364" t="s">
        <v>20</v>
      </c>
      <c r="F364" t="s">
        <v>27</v>
      </c>
      <c r="G364" t="s">
        <v>16</v>
      </c>
      <c r="H364">
        <f t="shared" si="5"/>
        <v>363</v>
      </c>
      <c r="I364" t="s">
        <v>24</v>
      </c>
      <c r="J364" s="3">
        <v>19479</v>
      </c>
      <c r="K364" t="b">
        <v>1</v>
      </c>
      <c r="L364" t="b">
        <v>1</v>
      </c>
      <c r="M364" t="b">
        <v>1</v>
      </c>
    </row>
    <row r="365" spans="1:13" x14ac:dyDescent="0.3">
      <c r="A365">
        <v>39</v>
      </c>
      <c r="B365" t="s">
        <v>12</v>
      </c>
      <c r="C365" s="1">
        <v>8</v>
      </c>
      <c r="D365" t="s">
        <v>19</v>
      </c>
      <c r="E365" t="s">
        <v>20</v>
      </c>
      <c r="F365" t="s">
        <v>15</v>
      </c>
      <c r="G365" t="s">
        <v>23</v>
      </c>
      <c r="H365">
        <f t="shared" si="5"/>
        <v>364</v>
      </c>
      <c r="I365" t="s">
        <v>17</v>
      </c>
      <c r="J365" s="3">
        <v>19825</v>
      </c>
      <c r="K365" t="b">
        <v>1</v>
      </c>
      <c r="L365" t="b">
        <v>1</v>
      </c>
      <c r="M365" t="b">
        <v>0</v>
      </c>
    </row>
    <row r="366" spans="1:13" x14ac:dyDescent="0.3">
      <c r="A366">
        <v>40</v>
      </c>
      <c r="B366" t="s">
        <v>12</v>
      </c>
      <c r="C366" s="1">
        <v>6</v>
      </c>
      <c r="D366" t="s">
        <v>19</v>
      </c>
      <c r="E366" t="s">
        <v>26</v>
      </c>
      <c r="F366" t="s">
        <v>15</v>
      </c>
      <c r="G366" t="s">
        <v>16</v>
      </c>
      <c r="H366">
        <f t="shared" si="5"/>
        <v>365</v>
      </c>
      <c r="I366" t="s">
        <v>17</v>
      </c>
      <c r="J366" s="3">
        <v>14920</v>
      </c>
      <c r="K366" t="b">
        <v>1</v>
      </c>
      <c r="L366" t="b">
        <v>1</v>
      </c>
      <c r="M366" t="b">
        <v>1</v>
      </c>
    </row>
    <row r="367" spans="1:13" x14ac:dyDescent="0.3">
      <c r="A367">
        <v>19</v>
      </c>
      <c r="B367" t="s">
        <v>18</v>
      </c>
      <c r="C367" s="1">
        <v>3</v>
      </c>
      <c r="D367" t="s">
        <v>13</v>
      </c>
      <c r="E367" t="s">
        <v>20</v>
      </c>
      <c r="F367" t="s">
        <v>15</v>
      </c>
      <c r="G367" t="s">
        <v>16</v>
      </c>
      <c r="H367">
        <f t="shared" si="5"/>
        <v>366</v>
      </c>
      <c r="I367" t="s">
        <v>24</v>
      </c>
      <c r="J367" s="3">
        <v>12926</v>
      </c>
      <c r="K367" t="b">
        <v>1</v>
      </c>
      <c r="L367" t="b">
        <v>0</v>
      </c>
      <c r="M367" t="b">
        <v>0</v>
      </c>
    </row>
    <row r="368" spans="1:13" x14ac:dyDescent="0.3">
      <c r="A368">
        <v>44</v>
      </c>
      <c r="B368" t="s">
        <v>18</v>
      </c>
      <c r="C368" s="1">
        <v>7</v>
      </c>
      <c r="D368" t="s">
        <v>19</v>
      </c>
      <c r="E368" t="s">
        <v>20</v>
      </c>
      <c r="F368" t="s">
        <v>27</v>
      </c>
      <c r="G368" t="s">
        <v>16</v>
      </c>
      <c r="H368">
        <f t="shared" si="5"/>
        <v>367</v>
      </c>
      <c r="I368" t="s">
        <v>24</v>
      </c>
      <c r="J368" s="3">
        <v>19544</v>
      </c>
      <c r="K368" t="b">
        <v>1</v>
      </c>
      <c r="L368" t="b">
        <v>0</v>
      </c>
      <c r="M368" t="b">
        <v>1</v>
      </c>
    </row>
    <row r="369" spans="1:13" x14ac:dyDescent="0.3">
      <c r="A369">
        <v>59</v>
      </c>
      <c r="B369" t="s">
        <v>25</v>
      </c>
      <c r="C369" s="1">
        <v>4</v>
      </c>
      <c r="D369" t="s">
        <v>28</v>
      </c>
      <c r="E369" t="s">
        <v>20</v>
      </c>
      <c r="F369" t="s">
        <v>22</v>
      </c>
      <c r="G369" t="s">
        <v>16</v>
      </c>
      <c r="H369">
        <f t="shared" si="5"/>
        <v>368</v>
      </c>
      <c r="I369" t="s">
        <v>24</v>
      </c>
      <c r="J369" s="3">
        <v>17282</v>
      </c>
      <c r="K369" t="b">
        <v>1</v>
      </c>
      <c r="L369" t="b">
        <v>1</v>
      </c>
      <c r="M369" t="b">
        <v>0</v>
      </c>
    </row>
    <row r="370" spans="1:13" x14ac:dyDescent="0.3">
      <c r="A370">
        <v>19</v>
      </c>
      <c r="B370" t="s">
        <v>12</v>
      </c>
      <c r="C370" s="1">
        <v>9</v>
      </c>
      <c r="D370" t="s">
        <v>13</v>
      </c>
      <c r="E370" t="s">
        <v>26</v>
      </c>
      <c r="F370" t="s">
        <v>22</v>
      </c>
      <c r="G370" t="s">
        <v>23</v>
      </c>
      <c r="H370">
        <f t="shared" si="5"/>
        <v>369</v>
      </c>
      <c r="I370" t="s">
        <v>17</v>
      </c>
      <c r="J370" s="3">
        <v>14376</v>
      </c>
      <c r="K370" t="b">
        <v>0</v>
      </c>
      <c r="L370" t="b">
        <v>0</v>
      </c>
      <c r="M370" t="b">
        <v>0</v>
      </c>
    </row>
    <row r="371" spans="1:13" x14ac:dyDescent="0.3">
      <c r="A371">
        <v>43</v>
      </c>
      <c r="B371" t="s">
        <v>18</v>
      </c>
      <c r="C371" s="1">
        <v>5</v>
      </c>
      <c r="D371" t="s">
        <v>28</v>
      </c>
      <c r="E371" t="s">
        <v>26</v>
      </c>
      <c r="F371" t="s">
        <v>15</v>
      </c>
      <c r="G371" t="s">
        <v>29</v>
      </c>
      <c r="H371">
        <f t="shared" si="5"/>
        <v>370</v>
      </c>
      <c r="I371" t="s">
        <v>21</v>
      </c>
      <c r="J371" s="3">
        <v>19490</v>
      </c>
      <c r="K371" t="b">
        <v>0</v>
      </c>
      <c r="L371" t="b">
        <v>1</v>
      </c>
      <c r="M371" t="b">
        <v>0</v>
      </c>
    </row>
    <row r="372" spans="1:13" x14ac:dyDescent="0.3">
      <c r="A372">
        <v>34</v>
      </c>
      <c r="B372" t="s">
        <v>18</v>
      </c>
      <c r="C372" s="1">
        <v>3</v>
      </c>
      <c r="D372" t="s">
        <v>13</v>
      </c>
      <c r="E372" t="s">
        <v>26</v>
      </c>
      <c r="F372" t="s">
        <v>27</v>
      </c>
      <c r="G372" t="s">
        <v>29</v>
      </c>
      <c r="H372">
        <f t="shared" si="5"/>
        <v>371</v>
      </c>
      <c r="I372" t="s">
        <v>17</v>
      </c>
      <c r="J372" s="3">
        <v>14868</v>
      </c>
      <c r="K372" t="b">
        <v>0</v>
      </c>
      <c r="L372" t="b">
        <v>1</v>
      </c>
      <c r="M372" t="b">
        <v>0</v>
      </c>
    </row>
    <row r="373" spans="1:13" x14ac:dyDescent="0.3">
      <c r="A373">
        <v>57</v>
      </c>
      <c r="B373" t="s">
        <v>12</v>
      </c>
      <c r="C373" s="1">
        <v>2</v>
      </c>
      <c r="D373" t="s">
        <v>13</v>
      </c>
      <c r="E373" t="s">
        <v>26</v>
      </c>
      <c r="F373" t="s">
        <v>22</v>
      </c>
      <c r="G373" t="s">
        <v>29</v>
      </c>
      <c r="H373">
        <f t="shared" si="5"/>
        <v>372</v>
      </c>
      <c r="I373" t="s">
        <v>21</v>
      </c>
      <c r="J373" s="3">
        <v>16986</v>
      </c>
      <c r="K373" t="b">
        <v>0</v>
      </c>
      <c r="L373" t="b">
        <v>1</v>
      </c>
      <c r="M373" t="b">
        <v>1</v>
      </c>
    </row>
    <row r="374" spans="1:13" x14ac:dyDescent="0.3">
      <c r="A374">
        <v>50</v>
      </c>
      <c r="B374" t="s">
        <v>25</v>
      </c>
      <c r="C374" s="1">
        <v>2</v>
      </c>
      <c r="D374" t="s">
        <v>13</v>
      </c>
      <c r="E374" t="s">
        <v>14</v>
      </c>
      <c r="F374" t="s">
        <v>15</v>
      </c>
      <c r="G374" t="s">
        <v>29</v>
      </c>
      <c r="H374">
        <f t="shared" si="5"/>
        <v>373</v>
      </c>
      <c r="I374" t="s">
        <v>24</v>
      </c>
      <c r="J374" s="3">
        <v>16862</v>
      </c>
      <c r="K374" t="b">
        <v>1</v>
      </c>
      <c r="L374" t="b">
        <v>1</v>
      </c>
      <c r="M374" t="b">
        <v>1</v>
      </c>
    </row>
    <row r="375" spans="1:13" x14ac:dyDescent="0.3">
      <c r="A375">
        <v>26</v>
      </c>
      <c r="B375" t="s">
        <v>12</v>
      </c>
      <c r="C375" s="1">
        <v>3</v>
      </c>
      <c r="D375" t="s">
        <v>13</v>
      </c>
      <c r="E375" t="s">
        <v>20</v>
      </c>
      <c r="F375" t="s">
        <v>22</v>
      </c>
      <c r="G375" t="s">
        <v>29</v>
      </c>
      <c r="H375">
        <f t="shared" si="5"/>
        <v>374</v>
      </c>
      <c r="I375" t="s">
        <v>21</v>
      </c>
      <c r="J375" s="3">
        <v>14423</v>
      </c>
      <c r="K375" t="b">
        <v>1</v>
      </c>
      <c r="L375" t="b">
        <v>0</v>
      </c>
      <c r="M375" t="b">
        <v>1</v>
      </c>
    </row>
    <row r="376" spans="1:13" x14ac:dyDescent="0.3">
      <c r="A376">
        <v>60</v>
      </c>
      <c r="B376" t="s">
        <v>25</v>
      </c>
      <c r="C376" s="1">
        <v>2</v>
      </c>
      <c r="D376" t="s">
        <v>19</v>
      </c>
      <c r="E376" t="s">
        <v>26</v>
      </c>
      <c r="F376" t="s">
        <v>22</v>
      </c>
      <c r="G376" t="s">
        <v>29</v>
      </c>
      <c r="H376">
        <f t="shared" si="5"/>
        <v>375</v>
      </c>
      <c r="I376" t="s">
        <v>24</v>
      </c>
      <c r="J376" s="3">
        <v>16870</v>
      </c>
      <c r="K376" t="b">
        <v>1</v>
      </c>
      <c r="L376" t="b">
        <v>1</v>
      </c>
      <c r="M376" t="b">
        <v>0</v>
      </c>
    </row>
    <row r="377" spans="1:13" x14ac:dyDescent="0.3">
      <c r="A377">
        <v>56</v>
      </c>
      <c r="B377" t="s">
        <v>18</v>
      </c>
      <c r="C377" s="1">
        <v>4</v>
      </c>
      <c r="D377" t="s">
        <v>28</v>
      </c>
      <c r="E377" t="s">
        <v>20</v>
      </c>
      <c r="F377" t="s">
        <v>27</v>
      </c>
      <c r="G377" t="s">
        <v>23</v>
      </c>
      <c r="H377">
        <f t="shared" si="5"/>
        <v>376</v>
      </c>
      <c r="I377" t="s">
        <v>24</v>
      </c>
      <c r="J377" s="3">
        <v>18159</v>
      </c>
      <c r="K377" t="b">
        <v>1</v>
      </c>
      <c r="L377" t="b">
        <v>1</v>
      </c>
      <c r="M377" t="b">
        <v>0</v>
      </c>
    </row>
    <row r="378" spans="1:13" x14ac:dyDescent="0.3">
      <c r="A378">
        <v>46</v>
      </c>
      <c r="B378" t="s">
        <v>25</v>
      </c>
      <c r="C378" s="1">
        <v>2</v>
      </c>
      <c r="D378" t="s">
        <v>28</v>
      </c>
      <c r="E378" t="s">
        <v>20</v>
      </c>
      <c r="F378" t="s">
        <v>27</v>
      </c>
      <c r="G378" t="s">
        <v>16</v>
      </c>
      <c r="H378">
        <f t="shared" si="5"/>
        <v>377</v>
      </c>
      <c r="I378" t="s">
        <v>21</v>
      </c>
      <c r="J378" s="3">
        <v>12073</v>
      </c>
      <c r="K378" t="b">
        <v>1</v>
      </c>
      <c r="L378" t="b">
        <v>1</v>
      </c>
      <c r="M378" t="b">
        <v>0</v>
      </c>
    </row>
    <row r="379" spans="1:13" x14ac:dyDescent="0.3">
      <c r="A379">
        <v>59</v>
      </c>
      <c r="B379" t="s">
        <v>18</v>
      </c>
      <c r="C379" s="1">
        <v>9</v>
      </c>
      <c r="D379" t="s">
        <v>28</v>
      </c>
      <c r="E379" t="s">
        <v>14</v>
      </c>
      <c r="F379" t="s">
        <v>22</v>
      </c>
      <c r="G379" t="s">
        <v>29</v>
      </c>
      <c r="H379">
        <f t="shared" si="5"/>
        <v>378</v>
      </c>
      <c r="I379" t="s">
        <v>24</v>
      </c>
      <c r="J379" s="3">
        <v>16170</v>
      </c>
      <c r="K379" t="b">
        <v>0</v>
      </c>
      <c r="L379" t="b">
        <v>1</v>
      </c>
      <c r="M379" t="b">
        <v>0</v>
      </c>
    </row>
    <row r="380" spans="1:13" x14ac:dyDescent="0.3">
      <c r="A380">
        <v>43</v>
      </c>
      <c r="B380" t="s">
        <v>12</v>
      </c>
      <c r="C380" s="1">
        <v>2</v>
      </c>
      <c r="D380" t="s">
        <v>13</v>
      </c>
      <c r="E380" t="s">
        <v>26</v>
      </c>
      <c r="F380" t="s">
        <v>15</v>
      </c>
      <c r="G380" t="s">
        <v>23</v>
      </c>
      <c r="H380">
        <f t="shared" si="5"/>
        <v>379</v>
      </c>
      <c r="I380" t="s">
        <v>21</v>
      </c>
      <c r="J380" s="3">
        <v>10701</v>
      </c>
      <c r="K380" t="b">
        <v>1</v>
      </c>
      <c r="L380" t="b">
        <v>1</v>
      </c>
      <c r="M380" t="b">
        <v>0</v>
      </c>
    </row>
    <row r="381" spans="1:13" x14ac:dyDescent="0.3">
      <c r="A381">
        <v>52</v>
      </c>
      <c r="B381" t="s">
        <v>12</v>
      </c>
      <c r="C381" s="1">
        <v>9</v>
      </c>
      <c r="D381" t="s">
        <v>19</v>
      </c>
      <c r="E381" t="s">
        <v>26</v>
      </c>
      <c r="F381" t="s">
        <v>27</v>
      </c>
      <c r="G381" t="s">
        <v>29</v>
      </c>
      <c r="H381">
        <f t="shared" si="5"/>
        <v>380</v>
      </c>
      <c r="I381" t="s">
        <v>24</v>
      </c>
      <c r="J381" s="3">
        <v>18113</v>
      </c>
      <c r="K381" t="b">
        <v>0</v>
      </c>
      <c r="L381" t="b">
        <v>1</v>
      </c>
      <c r="M381" t="b">
        <v>0</v>
      </c>
    </row>
    <row r="382" spans="1:13" x14ac:dyDescent="0.3">
      <c r="A382">
        <v>42</v>
      </c>
      <c r="B382" t="s">
        <v>12</v>
      </c>
      <c r="C382" s="1">
        <v>6</v>
      </c>
      <c r="D382" t="s">
        <v>28</v>
      </c>
      <c r="E382" t="s">
        <v>20</v>
      </c>
      <c r="F382" t="s">
        <v>22</v>
      </c>
      <c r="G382" t="s">
        <v>29</v>
      </c>
      <c r="H382">
        <f t="shared" si="5"/>
        <v>381</v>
      </c>
      <c r="I382" t="s">
        <v>17</v>
      </c>
      <c r="J382" s="3">
        <v>16825</v>
      </c>
      <c r="K382" t="b">
        <v>1</v>
      </c>
      <c r="L382" t="b">
        <v>1</v>
      </c>
      <c r="M382" t="b">
        <v>1</v>
      </c>
    </row>
    <row r="383" spans="1:13" x14ac:dyDescent="0.3">
      <c r="A383">
        <v>41</v>
      </c>
      <c r="B383" t="s">
        <v>25</v>
      </c>
      <c r="C383" s="1">
        <v>1</v>
      </c>
      <c r="D383" t="s">
        <v>19</v>
      </c>
      <c r="E383" t="s">
        <v>26</v>
      </c>
      <c r="F383" t="s">
        <v>27</v>
      </c>
      <c r="G383" t="s">
        <v>16</v>
      </c>
      <c r="H383">
        <f t="shared" si="5"/>
        <v>382</v>
      </c>
      <c r="I383" t="s">
        <v>17</v>
      </c>
      <c r="J383" s="3">
        <v>17867</v>
      </c>
      <c r="K383" t="b">
        <v>0</v>
      </c>
      <c r="L383" t="b">
        <v>0</v>
      </c>
      <c r="M383" t="b">
        <v>1</v>
      </c>
    </row>
    <row r="384" spans="1:13" x14ac:dyDescent="0.3">
      <c r="A384">
        <v>30</v>
      </c>
      <c r="B384" t="s">
        <v>18</v>
      </c>
      <c r="C384" s="1">
        <v>4</v>
      </c>
      <c r="D384" t="s">
        <v>13</v>
      </c>
      <c r="E384" t="s">
        <v>20</v>
      </c>
      <c r="F384" t="s">
        <v>27</v>
      </c>
      <c r="G384" t="s">
        <v>16</v>
      </c>
      <c r="H384">
        <f t="shared" si="5"/>
        <v>383</v>
      </c>
      <c r="I384" t="s">
        <v>24</v>
      </c>
      <c r="J384" s="3">
        <v>14264</v>
      </c>
      <c r="K384" t="b">
        <v>1</v>
      </c>
      <c r="L384" t="b">
        <v>0</v>
      </c>
      <c r="M384" t="b">
        <v>1</v>
      </c>
    </row>
    <row r="385" spans="1:13" x14ac:dyDescent="0.3">
      <c r="A385">
        <v>24</v>
      </c>
      <c r="B385" t="s">
        <v>12</v>
      </c>
      <c r="C385" s="1">
        <v>1</v>
      </c>
      <c r="D385" t="s">
        <v>28</v>
      </c>
      <c r="E385" t="s">
        <v>20</v>
      </c>
      <c r="F385" t="s">
        <v>27</v>
      </c>
      <c r="G385" t="s">
        <v>16</v>
      </c>
      <c r="H385">
        <f t="shared" si="5"/>
        <v>384</v>
      </c>
      <c r="I385" t="s">
        <v>24</v>
      </c>
      <c r="J385" s="3">
        <v>17968</v>
      </c>
      <c r="K385" t="b">
        <v>0</v>
      </c>
      <c r="L385" t="b">
        <v>0</v>
      </c>
      <c r="M385" t="b">
        <v>1</v>
      </c>
    </row>
    <row r="386" spans="1:13" x14ac:dyDescent="0.3">
      <c r="A386">
        <v>53</v>
      </c>
      <c r="B386" t="s">
        <v>12</v>
      </c>
      <c r="C386" s="1">
        <v>6</v>
      </c>
      <c r="D386" t="s">
        <v>19</v>
      </c>
      <c r="E386" t="s">
        <v>14</v>
      </c>
      <c r="F386" t="s">
        <v>22</v>
      </c>
      <c r="G386" t="s">
        <v>29</v>
      </c>
      <c r="H386">
        <f t="shared" si="5"/>
        <v>385</v>
      </c>
      <c r="I386" t="s">
        <v>21</v>
      </c>
      <c r="J386" s="3">
        <v>18146</v>
      </c>
      <c r="K386" t="b">
        <v>1</v>
      </c>
      <c r="L386" t="b">
        <v>0</v>
      </c>
      <c r="M386" t="b">
        <v>1</v>
      </c>
    </row>
    <row r="387" spans="1:13" x14ac:dyDescent="0.3">
      <c r="A387">
        <v>62</v>
      </c>
      <c r="B387" t="s">
        <v>18</v>
      </c>
      <c r="C387" s="1">
        <v>4</v>
      </c>
      <c r="D387" t="s">
        <v>13</v>
      </c>
      <c r="E387" t="s">
        <v>14</v>
      </c>
      <c r="F387" t="s">
        <v>15</v>
      </c>
      <c r="G387" t="s">
        <v>29</v>
      </c>
      <c r="H387">
        <f t="shared" si="5"/>
        <v>386</v>
      </c>
      <c r="I387" t="s">
        <v>17</v>
      </c>
      <c r="J387" s="3">
        <v>17776</v>
      </c>
      <c r="K387" t="b">
        <v>1</v>
      </c>
      <c r="L387" t="b">
        <v>1</v>
      </c>
      <c r="M387" t="b">
        <v>1</v>
      </c>
    </row>
    <row r="388" spans="1:13" x14ac:dyDescent="0.3">
      <c r="A388">
        <v>37</v>
      </c>
      <c r="B388" t="s">
        <v>12</v>
      </c>
      <c r="C388" s="1">
        <v>3</v>
      </c>
      <c r="D388" t="s">
        <v>19</v>
      </c>
      <c r="E388" t="s">
        <v>14</v>
      </c>
      <c r="F388" t="s">
        <v>15</v>
      </c>
      <c r="G388" t="s">
        <v>29</v>
      </c>
      <c r="H388">
        <f t="shared" ref="H388:I451" si="6">H387+1</f>
        <v>387</v>
      </c>
      <c r="I388" t="s">
        <v>21</v>
      </c>
      <c r="J388" s="3">
        <v>18558</v>
      </c>
      <c r="K388" t="b">
        <v>1</v>
      </c>
      <c r="L388" t="b">
        <v>0</v>
      </c>
      <c r="M388" t="b">
        <v>1</v>
      </c>
    </row>
    <row r="389" spans="1:13" x14ac:dyDescent="0.3">
      <c r="A389">
        <v>18</v>
      </c>
      <c r="B389" t="s">
        <v>18</v>
      </c>
      <c r="C389" s="1">
        <v>3</v>
      </c>
      <c r="D389" t="s">
        <v>28</v>
      </c>
      <c r="E389" t="s">
        <v>20</v>
      </c>
      <c r="F389" t="s">
        <v>15</v>
      </c>
      <c r="G389" t="s">
        <v>16</v>
      </c>
      <c r="H389">
        <f t="shared" si="6"/>
        <v>388</v>
      </c>
      <c r="I389" t="s">
        <v>24</v>
      </c>
      <c r="J389" s="3">
        <v>18719</v>
      </c>
      <c r="K389" t="b">
        <v>1</v>
      </c>
      <c r="L389" t="b">
        <v>0</v>
      </c>
      <c r="M389" t="b">
        <v>1</v>
      </c>
    </row>
    <row r="390" spans="1:13" x14ac:dyDescent="0.3">
      <c r="A390">
        <v>25</v>
      </c>
      <c r="B390" t="s">
        <v>18</v>
      </c>
      <c r="C390" s="1">
        <v>9</v>
      </c>
      <c r="D390" t="s">
        <v>28</v>
      </c>
      <c r="E390" t="s">
        <v>26</v>
      </c>
      <c r="F390" t="s">
        <v>27</v>
      </c>
      <c r="G390" t="s">
        <v>23</v>
      </c>
      <c r="H390">
        <f t="shared" si="6"/>
        <v>389</v>
      </c>
      <c r="I390" t="s">
        <v>24</v>
      </c>
      <c r="J390" s="3">
        <v>14886</v>
      </c>
      <c r="K390" t="b">
        <v>0</v>
      </c>
      <c r="L390" t="b">
        <v>0</v>
      </c>
      <c r="M390" t="b">
        <v>0</v>
      </c>
    </row>
    <row r="391" spans="1:13" x14ac:dyDescent="0.3">
      <c r="A391">
        <v>63</v>
      </c>
      <c r="B391" t="s">
        <v>18</v>
      </c>
      <c r="C391" s="1">
        <v>6</v>
      </c>
      <c r="D391" t="s">
        <v>13</v>
      </c>
      <c r="E391" t="s">
        <v>14</v>
      </c>
      <c r="F391" t="s">
        <v>22</v>
      </c>
      <c r="G391" t="s">
        <v>29</v>
      </c>
      <c r="H391">
        <f t="shared" si="6"/>
        <v>390</v>
      </c>
      <c r="I391" t="s">
        <v>21</v>
      </c>
      <c r="J391" s="3">
        <v>13935</v>
      </c>
      <c r="K391" t="b">
        <v>1</v>
      </c>
      <c r="L391" t="b">
        <v>1</v>
      </c>
      <c r="M391" t="b">
        <v>0</v>
      </c>
    </row>
    <row r="392" spans="1:13" x14ac:dyDescent="0.3">
      <c r="A392">
        <v>33</v>
      </c>
      <c r="B392" t="s">
        <v>18</v>
      </c>
      <c r="C392" s="1">
        <v>9</v>
      </c>
      <c r="D392" t="s">
        <v>13</v>
      </c>
      <c r="E392" t="s">
        <v>26</v>
      </c>
      <c r="F392" t="s">
        <v>27</v>
      </c>
      <c r="G392" t="s">
        <v>29</v>
      </c>
      <c r="H392">
        <f t="shared" si="6"/>
        <v>391</v>
      </c>
      <c r="I392" t="s">
        <v>24</v>
      </c>
      <c r="J392" s="3">
        <v>14619</v>
      </c>
      <c r="K392" t="b">
        <v>0</v>
      </c>
      <c r="L392" t="b">
        <v>0</v>
      </c>
      <c r="M392" t="b">
        <v>0</v>
      </c>
    </row>
    <row r="393" spans="1:13" x14ac:dyDescent="0.3">
      <c r="A393">
        <v>31</v>
      </c>
      <c r="B393" t="s">
        <v>18</v>
      </c>
      <c r="C393" s="1">
        <v>5</v>
      </c>
      <c r="D393" t="s">
        <v>13</v>
      </c>
      <c r="E393" t="s">
        <v>14</v>
      </c>
      <c r="F393" t="s">
        <v>15</v>
      </c>
      <c r="G393" t="s">
        <v>29</v>
      </c>
      <c r="H393">
        <f t="shared" si="6"/>
        <v>392</v>
      </c>
      <c r="I393" t="s">
        <v>17</v>
      </c>
      <c r="J393" s="3">
        <v>15191</v>
      </c>
      <c r="K393" t="b">
        <v>1</v>
      </c>
      <c r="L393" t="b">
        <v>0</v>
      </c>
      <c r="M393" t="b">
        <v>0</v>
      </c>
    </row>
    <row r="394" spans="1:13" x14ac:dyDescent="0.3">
      <c r="A394">
        <v>29</v>
      </c>
      <c r="B394" t="s">
        <v>25</v>
      </c>
      <c r="C394" s="1">
        <v>2</v>
      </c>
      <c r="D394" t="s">
        <v>19</v>
      </c>
      <c r="E394" t="s">
        <v>14</v>
      </c>
      <c r="F394" t="s">
        <v>15</v>
      </c>
      <c r="G394" t="s">
        <v>23</v>
      </c>
      <c r="H394">
        <f t="shared" si="6"/>
        <v>393</v>
      </c>
      <c r="I394" t="s">
        <v>21</v>
      </c>
      <c r="J394" s="3">
        <v>16875</v>
      </c>
      <c r="K394" t="b">
        <v>0</v>
      </c>
      <c r="L394" t="b">
        <v>1</v>
      </c>
      <c r="M394" t="b">
        <v>0</v>
      </c>
    </row>
    <row r="395" spans="1:13" x14ac:dyDescent="0.3">
      <c r="A395">
        <v>40</v>
      </c>
      <c r="B395" t="s">
        <v>12</v>
      </c>
      <c r="C395" s="1">
        <v>8</v>
      </c>
      <c r="D395" t="s">
        <v>19</v>
      </c>
      <c r="E395" t="s">
        <v>20</v>
      </c>
      <c r="F395" t="s">
        <v>22</v>
      </c>
      <c r="G395" t="s">
        <v>29</v>
      </c>
      <c r="H395">
        <f t="shared" si="6"/>
        <v>394</v>
      </c>
      <c r="I395" t="s">
        <v>17</v>
      </c>
      <c r="J395" s="3">
        <v>17856</v>
      </c>
      <c r="K395" t="b">
        <v>1</v>
      </c>
      <c r="L395" t="b">
        <v>0</v>
      </c>
      <c r="M395" t="b">
        <v>0</v>
      </c>
    </row>
    <row r="396" spans="1:13" x14ac:dyDescent="0.3">
      <c r="A396">
        <v>32</v>
      </c>
      <c r="B396" t="s">
        <v>25</v>
      </c>
      <c r="C396" s="1">
        <v>5</v>
      </c>
      <c r="D396" t="s">
        <v>19</v>
      </c>
      <c r="E396" t="s">
        <v>14</v>
      </c>
      <c r="F396" t="s">
        <v>27</v>
      </c>
      <c r="G396" t="s">
        <v>23</v>
      </c>
      <c r="H396">
        <f t="shared" si="6"/>
        <v>395</v>
      </c>
      <c r="I396" t="s">
        <v>17</v>
      </c>
      <c r="J396" s="3">
        <v>15401</v>
      </c>
      <c r="K396" t="b">
        <v>1</v>
      </c>
      <c r="L396" t="b">
        <v>1</v>
      </c>
      <c r="M396" t="b">
        <v>0</v>
      </c>
    </row>
    <row r="397" spans="1:13" x14ac:dyDescent="0.3">
      <c r="A397">
        <v>45</v>
      </c>
      <c r="B397" t="s">
        <v>12</v>
      </c>
      <c r="C397" s="1">
        <v>2</v>
      </c>
      <c r="D397" t="s">
        <v>13</v>
      </c>
      <c r="E397" t="s">
        <v>14</v>
      </c>
      <c r="F397" t="s">
        <v>15</v>
      </c>
      <c r="G397" t="s">
        <v>29</v>
      </c>
      <c r="H397">
        <f t="shared" si="6"/>
        <v>396</v>
      </c>
      <c r="I397" t="s">
        <v>17</v>
      </c>
      <c r="J397" s="3">
        <v>13022</v>
      </c>
      <c r="K397" t="b">
        <v>0</v>
      </c>
      <c r="L397" t="b">
        <v>0</v>
      </c>
      <c r="M397" t="b">
        <v>1</v>
      </c>
    </row>
    <row r="398" spans="1:13" x14ac:dyDescent="0.3">
      <c r="A398">
        <v>51</v>
      </c>
      <c r="B398" t="s">
        <v>25</v>
      </c>
      <c r="C398" s="1">
        <v>4</v>
      </c>
      <c r="D398" t="s">
        <v>28</v>
      </c>
      <c r="E398" t="s">
        <v>20</v>
      </c>
      <c r="F398" t="s">
        <v>22</v>
      </c>
      <c r="G398" t="s">
        <v>23</v>
      </c>
      <c r="H398">
        <f t="shared" si="6"/>
        <v>397</v>
      </c>
      <c r="I398" t="s">
        <v>21</v>
      </c>
      <c r="J398" s="3">
        <v>15738</v>
      </c>
      <c r="K398" t="b">
        <v>1</v>
      </c>
      <c r="L398" t="b">
        <v>1</v>
      </c>
      <c r="M398" t="b">
        <v>1</v>
      </c>
    </row>
    <row r="399" spans="1:13" x14ac:dyDescent="0.3">
      <c r="A399">
        <v>19</v>
      </c>
      <c r="B399" t="s">
        <v>18</v>
      </c>
      <c r="C399" s="1">
        <v>9</v>
      </c>
      <c r="D399" t="s">
        <v>28</v>
      </c>
      <c r="E399" t="s">
        <v>26</v>
      </c>
      <c r="F399" t="s">
        <v>27</v>
      </c>
      <c r="G399" t="s">
        <v>29</v>
      </c>
      <c r="H399">
        <f t="shared" si="6"/>
        <v>398</v>
      </c>
      <c r="I399" t="s">
        <v>24</v>
      </c>
      <c r="J399" s="3">
        <v>15984</v>
      </c>
      <c r="K399" t="b">
        <v>1</v>
      </c>
      <c r="L399" t="b">
        <v>0</v>
      </c>
      <c r="M399" t="b">
        <v>0</v>
      </c>
    </row>
    <row r="400" spans="1:13" x14ac:dyDescent="0.3">
      <c r="A400">
        <v>49</v>
      </c>
      <c r="B400" t="s">
        <v>12</v>
      </c>
      <c r="C400" s="1">
        <v>4</v>
      </c>
      <c r="D400" t="s">
        <v>19</v>
      </c>
      <c r="E400" t="s">
        <v>14</v>
      </c>
      <c r="F400" t="s">
        <v>27</v>
      </c>
      <c r="G400" t="s">
        <v>16</v>
      </c>
      <c r="H400">
        <f t="shared" si="6"/>
        <v>399</v>
      </c>
      <c r="I400" t="s">
        <v>17</v>
      </c>
      <c r="J400" s="3">
        <v>11770</v>
      </c>
      <c r="K400" t="b">
        <v>0</v>
      </c>
      <c r="L400" t="b">
        <v>0</v>
      </c>
      <c r="M400" t="b">
        <v>1</v>
      </c>
    </row>
    <row r="401" spans="1:13" x14ac:dyDescent="0.3">
      <c r="A401">
        <v>40</v>
      </c>
      <c r="B401" t="s">
        <v>12</v>
      </c>
      <c r="C401" s="1">
        <v>4</v>
      </c>
      <c r="D401" t="s">
        <v>19</v>
      </c>
      <c r="E401" t="s">
        <v>20</v>
      </c>
      <c r="F401" t="s">
        <v>15</v>
      </c>
      <c r="G401" t="s">
        <v>16</v>
      </c>
      <c r="H401">
        <f t="shared" si="6"/>
        <v>400</v>
      </c>
      <c r="I401" t="s">
        <v>17</v>
      </c>
      <c r="J401" s="3">
        <v>19969</v>
      </c>
      <c r="K401" t="b">
        <v>1</v>
      </c>
      <c r="L401" t="b">
        <v>0</v>
      </c>
      <c r="M401" t="b">
        <v>1</v>
      </c>
    </row>
    <row r="402" spans="1:13" x14ac:dyDescent="0.3">
      <c r="A402">
        <v>39</v>
      </c>
      <c r="B402" t="s">
        <v>25</v>
      </c>
      <c r="C402" s="1">
        <v>2</v>
      </c>
      <c r="D402" t="s">
        <v>28</v>
      </c>
      <c r="E402" t="s">
        <v>14</v>
      </c>
      <c r="F402" t="s">
        <v>15</v>
      </c>
      <c r="G402" t="s">
        <v>16</v>
      </c>
      <c r="H402">
        <f t="shared" si="6"/>
        <v>401</v>
      </c>
      <c r="I402" t="s">
        <v>17</v>
      </c>
      <c r="J402" s="3">
        <v>18989</v>
      </c>
      <c r="K402" t="b">
        <v>0</v>
      </c>
      <c r="L402" t="b">
        <v>1</v>
      </c>
      <c r="M402" t="b">
        <v>1</v>
      </c>
    </row>
    <row r="403" spans="1:13" x14ac:dyDescent="0.3">
      <c r="A403">
        <v>42</v>
      </c>
      <c r="B403" t="s">
        <v>25</v>
      </c>
      <c r="C403" s="1">
        <v>6</v>
      </c>
      <c r="D403" t="s">
        <v>28</v>
      </c>
      <c r="E403" t="s">
        <v>20</v>
      </c>
      <c r="F403" t="s">
        <v>27</v>
      </c>
      <c r="G403" t="s">
        <v>16</v>
      </c>
      <c r="H403">
        <f t="shared" si="6"/>
        <v>402</v>
      </c>
      <c r="I403" t="s">
        <v>24</v>
      </c>
      <c r="J403" s="3">
        <v>13215</v>
      </c>
      <c r="K403" t="b">
        <v>1</v>
      </c>
      <c r="L403" t="b">
        <v>0</v>
      </c>
      <c r="M403" t="b">
        <v>1</v>
      </c>
    </row>
    <row r="404" spans="1:13" x14ac:dyDescent="0.3">
      <c r="A404">
        <v>39</v>
      </c>
      <c r="B404" t="s">
        <v>12</v>
      </c>
      <c r="C404" s="1">
        <v>2</v>
      </c>
      <c r="D404" t="s">
        <v>19</v>
      </c>
      <c r="E404" t="s">
        <v>26</v>
      </c>
      <c r="F404" t="s">
        <v>27</v>
      </c>
      <c r="G404" t="s">
        <v>29</v>
      </c>
      <c r="H404">
        <f t="shared" si="6"/>
        <v>403</v>
      </c>
      <c r="I404" t="s">
        <v>24</v>
      </c>
      <c r="J404" s="3">
        <v>16694</v>
      </c>
      <c r="K404" t="b">
        <v>0</v>
      </c>
      <c r="L404" t="b">
        <v>1</v>
      </c>
      <c r="M404" t="b">
        <v>1</v>
      </c>
    </row>
    <row r="405" spans="1:13" x14ac:dyDescent="0.3">
      <c r="A405">
        <v>39</v>
      </c>
      <c r="B405" t="s">
        <v>25</v>
      </c>
      <c r="C405" s="1">
        <v>7</v>
      </c>
      <c r="D405" t="s">
        <v>19</v>
      </c>
      <c r="E405" t="s">
        <v>26</v>
      </c>
      <c r="F405" t="s">
        <v>15</v>
      </c>
      <c r="G405" t="s">
        <v>16</v>
      </c>
      <c r="H405">
        <f t="shared" si="6"/>
        <v>404</v>
      </c>
      <c r="I405" t="s">
        <v>21</v>
      </c>
      <c r="J405" s="3">
        <v>12976</v>
      </c>
      <c r="K405" t="b">
        <v>0</v>
      </c>
      <c r="L405" t="b">
        <v>1</v>
      </c>
      <c r="M405" t="b">
        <v>0</v>
      </c>
    </row>
    <row r="406" spans="1:13" x14ac:dyDescent="0.3">
      <c r="A406">
        <v>59</v>
      </c>
      <c r="B406" t="s">
        <v>25</v>
      </c>
      <c r="C406" s="1">
        <v>3</v>
      </c>
      <c r="D406" t="s">
        <v>28</v>
      </c>
      <c r="E406" t="s">
        <v>20</v>
      </c>
      <c r="F406" t="s">
        <v>27</v>
      </c>
      <c r="G406" t="s">
        <v>23</v>
      </c>
      <c r="H406">
        <f t="shared" si="6"/>
        <v>405</v>
      </c>
      <c r="I406" t="s">
        <v>24</v>
      </c>
      <c r="J406" s="3">
        <v>13737</v>
      </c>
      <c r="K406" t="b">
        <v>0</v>
      </c>
      <c r="L406" t="b">
        <v>1</v>
      </c>
      <c r="M406" t="b">
        <v>1</v>
      </c>
    </row>
    <row r="407" spans="1:13" x14ac:dyDescent="0.3">
      <c r="A407">
        <v>23</v>
      </c>
      <c r="B407" t="s">
        <v>25</v>
      </c>
      <c r="C407" s="1">
        <v>3</v>
      </c>
      <c r="D407" t="s">
        <v>13</v>
      </c>
      <c r="E407" t="s">
        <v>20</v>
      </c>
      <c r="F407" t="s">
        <v>15</v>
      </c>
      <c r="G407" t="s">
        <v>16</v>
      </c>
      <c r="H407">
        <f t="shared" si="6"/>
        <v>406</v>
      </c>
      <c r="I407" t="s">
        <v>21</v>
      </c>
      <c r="J407" s="3">
        <v>19903</v>
      </c>
      <c r="K407" t="b">
        <v>0</v>
      </c>
      <c r="L407" t="b">
        <v>1</v>
      </c>
      <c r="M407" t="b">
        <v>0</v>
      </c>
    </row>
    <row r="408" spans="1:13" x14ac:dyDescent="0.3">
      <c r="A408">
        <v>32</v>
      </c>
      <c r="B408" t="s">
        <v>18</v>
      </c>
      <c r="C408" s="1">
        <v>5</v>
      </c>
      <c r="D408" t="s">
        <v>19</v>
      </c>
      <c r="E408" t="s">
        <v>20</v>
      </c>
      <c r="F408" t="s">
        <v>27</v>
      </c>
      <c r="G408" t="s">
        <v>16</v>
      </c>
      <c r="H408">
        <f t="shared" si="6"/>
        <v>407</v>
      </c>
      <c r="I408" t="s">
        <v>21</v>
      </c>
      <c r="J408" s="3">
        <v>10752</v>
      </c>
      <c r="K408" t="b">
        <v>1</v>
      </c>
      <c r="L408" t="b">
        <v>0</v>
      </c>
      <c r="M408" t="b">
        <v>0</v>
      </c>
    </row>
    <row r="409" spans="1:13" x14ac:dyDescent="0.3">
      <c r="A409">
        <v>60</v>
      </c>
      <c r="B409" t="s">
        <v>18</v>
      </c>
      <c r="C409" s="1">
        <v>3</v>
      </c>
      <c r="D409" t="s">
        <v>28</v>
      </c>
      <c r="E409" t="s">
        <v>26</v>
      </c>
      <c r="F409" t="s">
        <v>15</v>
      </c>
      <c r="G409" t="s">
        <v>16</v>
      </c>
      <c r="H409">
        <f t="shared" si="6"/>
        <v>408</v>
      </c>
      <c r="I409" t="s">
        <v>21</v>
      </c>
      <c r="J409" s="3">
        <v>11392</v>
      </c>
      <c r="K409" t="b">
        <v>1</v>
      </c>
      <c r="L409" t="b">
        <v>0</v>
      </c>
      <c r="M409" t="b">
        <v>0</v>
      </c>
    </row>
    <row r="410" spans="1:13" x14ac:dyDescent="0.3">
      <c r="A410">
        <v>54</v>
      </c>
      <c r="B410" t="s">
        <v>25</v>
      </c>
      <c r="C410" s="1">
        <v>2</v>
      </c>
      <c r="D410" t="s">
        <v>28</v>
      </c>
      <c r="E410" t="s">
        <v>14</v>
      </c>
      <c r="F410" t="s">
        <v>22</v>
      </c>
      <c r="G410" t="s">
        <v>29</v>
      </c>
      <c r="H410">
        <f t="shared" si="6"/>
        <v>409</v>
      </c>
      <c r="I410" t="s">
        <v>21</v>
      </c>
      <c r="J410" s="3">
        <v>16789</v>
      </c>
      <c r="K410" t="b">
        <v>0</v>
      </c>
      <c r="L410" t="b">
        <v>0</v>
      </c>
      <c r="M410" t="b">
        <v>1</v>
      </c>
    </row>
    <row r="411" spans="1:13" x14ac:dyDescent="0.3">
      <c r="A411">
        <v>50</v>
      </c>
      <c r="B411" t="s">
        <v>25</v>
      </c>
      <c r="C411" s="1">
        <v>9</v>
      </c>
      <c r="D411" t="s">
        <v>28</v>
      </c>
      <c r="E411" t="s">
        <v>26</v>
      </c>
      <c r="F411" t="s">
        <v>15</v>
      </c>
      <c r="G411" t="s">
        <v>16</v>
      </c>
      <c r="H411">
        <f t="shared" si="6"/>
        <v>410</v>
      </c>
      <c r="I411" t="s">
        <v>21</v>
      </c>
      <c r="J411" s="3">
        <v>10677</v>
      </c>
      <c r="K411" t="b">
        <v>1</v>
      </c>
      <c r="L411" t="b">
        <v>1</v>
      </c>
      <c r="M411" t="b">
        <v>0</v>
      </c>
    </row>
    <row r="412" spans="1:13" x14ac:dyDescent="0.3">
      <c r="A412">
        <v>25</v>
      </c>
      <c r="B412" t="s">
        <v>18</v>
      </c>
      <c r="C412" s="1">
        <v>2</v>
      </c>
      <c r="D412" t="s">
        <v>28</v>
      </c>
      <c r="E412" t="s">
        <v>20</v>
      </c>
      <c r="F412" t="s">
        <v>15</v>
      </c>
      <c r="G412" t="s">
        <v>23</v>
      </c>
      <c r="H412">
        <f t="shared" si="6"/>
        <v>411</v>
      </c>
      <c r="I412" t="s">
        <v>17</v>
      </c>
      <c r="J412" s="3">
        <v>10105</v>
      </c>
      <c r="K412" t="b">
        <v>1</v>
      </c>
      <c r="L412" t="b">
        <v>0</v>
      </c>
      <c r="M412" t="b">
        <v>0</v>
      </c>
    </row>
    <row r="413" spans="1:13" x14ac:dyDescent="0.3">
      <c r="A413">
        <v>61</v>
      </c>
      <c r="B413" t="s">
        <v>18</v>
      </c>
      <c r="C413" s="1">
        <v>2</v>
      </c>
      <c r="D413" t="s">
        <v>13</v>
      </c>
      <c r="E413" t="s">
        <v>20</v>
      </c>
      <c r="F413" t="s">
        <v>22</v>
      </c>
      <c r="G413" t="s">
        <v>16</v>
      </c>
      <c r="H413">
        <f t="shared" si="6"/>
        <v>412</v>
      </c>
      <c r="I413" t="s">
        <v>24</v>
      </c>
      <c r="J413" s="3">
        <v>14753</v>
      </c>
      <c r="K413" t="b">
        <v>1</v>
      </c>
      <c r="L413" t="b">
        <v>1</v>
      </c>
      <c r="M413" t="b">
        <v>0</v>
      </c>
    </row>
    <row r="414" spans="1:13" x14ac:dyDescent="0.3">
      <c r="A414">
        <v>61</v>
      </c>
      <c r="B414" t="s">
        <v>12</v>
      </c>
      <c r="C414" s="1">
        <v>8</v>
      </c>
      <c r="D414" t="s">
        <v>28</v>
      </c>
      <c r="E414" t="s">
        <v>26</v>
      </c>
      <c r="F414" t="s">
        <v>27</v>
      </c>
      <c r="G414" t="s">
        <v>16</v>
      </c>
      <c r="H414">
        <f t="shared" si="6"/>
        <v>413</v>
      </c>
      <c r="I414" t="s">
        <v>17</v>
      </c>
      <c r="J414" s="3">
        <v>11946</v>
      </c>
      <c r="K414" t="b">
        <v>0</v>
      </c>
      <c r="L414" t="b">
        <v>1</v>
      </c>
      <c r="M414" t="b">
        <v>0</v>
      </c>
    </row>
    <row r="415" spans="1:13" x14ac:dyDescent="0.3">
      <c r="A415">
        <v>22</v>
      </c>
      <c r="B415" t="s">
        <v>12</v>
      </c>
      <c r="C415" s="1">
        <v>9</v>
      </c>
      <c r="D415" t="s">
        <v>19</v>
      </c>
      <c r="E415" t="s">
        <v>20</v>
      </c>
      <c r="F415" t="s">
        <v>22</v>
      </c>
      <c r="G415" t="s">
        <v>16</v>
      </c>
      <c r="H415">
        <f t="shared" si="6"/>
        <v>414</v>
      </c>
      <c r="I415" t="s">
        <v>21</v>
      </c>
      <c r="J415" s="3">
        <v>15544</v>
      </c>
      <c r="K415" t="b">
        <v>1</v>
      </c>
      <c r="L415" t="b">
        <v>1</v>
      </c>
      <c r="M415" t="b">
        <v>1</v>
      </c>
    </row>
    <row r="416" spans="1:13" x14ac:dyDescent="0.3">
      <c r="A416">
        <v>56</v>
      </c>
      <c r="B416" t="s">
        <v>18</v>
      </c>
      <c r="C416" s="1">
        <v>7</v>
      </c>
      <c r="D416" t="s">
        <v>13</v>
      </c>
      <c r="E416" t="s">
        <v>26</v>
      </c>
      <c r="F416" t="s">
        <v>15</v>
      </c>
      <c r="G416" t="s">
        <v>23</v>
      </c>
      <c r="H416">
        <f t="shared" si="6"/>
        <v>415</v>
      </c>
      <c r="I416" t="s">
        <v>24</v>
      </c>
      <c r="J416" s="3">
        <v>11095</v>
      </c>
      <c r="K416" t="b">
        <v>1</v>
      </c>
      <c r="L416" t="b">
        <v>0</v>
      </c>
      <c r="M416" t="b">
        <v>0</v>
      </c>
    </row>
    <row r="417" spans="1:13" x14ac:dyDescent="0.3">
      <c r="A417">
        <v>21</v>
      </c>
      <c r="B417" t="s">
        <v>25</v>
      </c>
      <c r="C417" s="1">
        <v>3</v>
      </c>
      <c r="D417" t="s">
        <v>28</v>
      </c>
      <c r="E417" t="s">
        <v>20</v>
      </c>
      <c r="F417" t="s">
        <v>27</v>
      </c>
      <c r="G417" t="s">
        <v>16</v>
      </c>
      <c r="H417">
        <f t="shared" si="6"/>
        <v>416</v>
      </c>
      <c r="I417" t="s">
        <v>17</v>
      </c>
      <c r="J417" s="3">
        <v>16985</v>
      </c>
      <c r="K417" t="b">
        <v>0</v>
      </c>
      <c r="L417" t="b">
        <v>0</v>
      </c>
      <c r="M417" t="b">
        <v>0</v>
      </c>
    </row>
    <row r="418" spans="1:13" x14ac:dyDescent="0.3">
      <c r="A418">
        <v>23</v>
      </c>
      <c r="B418" t="s">
        <v>25</v>
      </c>
      <c r="C418" s="1">
        <v>9</v>
      </c>
      <c r="D418" t="s">
        <v>13</v>
      </c>
      <c r="E418" t="s">
        <v>14</v>
      </c>
      <c r="F418" t="s">
        <v>22</v>
      </c>
      <c r="G418" t="s">
        <v>23</v>
      </c>
      <c r="H418">
        <f t="shared" si="6"/>
        <v>417</v>
      </c>
      <c r="I418" t="s">
        <v>17</v>
      </c>
      <c r="J418" s="3">
        <v>11782</v>
      </c>
      <c r="K418" t="b">
        <v>1</v>
      </c>
      <c r="L418" t="b">
        <v>1</v>
      </c>
      <c r="M418" t="b">
        <v>0</v>
      </c>
    </row>
    <row r="419" spans="1:13" x14ac:dyDescent="0.3">
      <c r="A419">
        <v>62</v>
      </c>
      <c r="B419" t="s">
        <v>25</v>
      </c>
      <c r="C419" s="1">
        <v>3</v>
      </c>
      <c r="D419" t="s">
        <v>19</v>
      </c>
      <c r="E419" t="s">
        <v>14</v>
      </c>
      <c r="F419" t="s">
        <v>27</v>
      </c>
      <c r="G419" t="s">
        <v>23</v>
      </c>
      <c r="H419">
        <f t="shared" si="6"/>
        <v>418</v>
      </c>
      <c r="I419" t="s">
        <v>21</v>
      </c>
      <c r="J419" s="3">
        <v>14541</v>
      </c>
      <c r="K419" t="b">
        <v>0</v>
      </c>
      <c r="L419" t="b">
        <v>0</v>
      </c>
      <c r="M419" t="b">
        <v>0</v>
      </c>
    </row>
    <row r="420" spans="1:13" x14ac:dyDescent="0.3">
      <c r="A420">
        <v>49</v>
      </c>
      <c r="B420" t="s">
        <v>25</v>
      </c>
      <c r="C420" s="1">
        <v>5</v>
      </c>
      <c r="D420" t="s">
        <v>28</v>
      </c>
      <c r="E420" t="s">
        <v>20</v>
      </c>
      <c r="F420" t="s">
        <v>27</v>
      </c>
      <c r="G420" t="s">
        <v>16</v>
      </c>
      <c r="H420">
        <f t="shared" si="6"/>
        <v>419</v>
      </c>
      <c r="I420" t="s">
        <v>17</v>
      </c>
      <c r="J420" s="3">
        <v>13257</v>
      </c>
      <c r="K420" t="b">
        <v>0</v>
      </c>
      <c r="L420" t="b">
        <v>0</v>
      </c>
      <c r="M420" t="b">
        <v>1</v>
      </c>
    </row>
    <row r="421" spans="1:13" x14ac:dyDescent="0.3">
      <c r="A421">
        <v>47</v>
      </c>
      <c r="B421" t="s">
        <v>12</v>
      </c>
      <c r="C421" s="1">
        <v>9</v>
      </c>
      <c r="D421" t="s">
        <v>19</v>
      </c>
      <c r="E421" t="s">
        <v>26</v>
      </c>
      <c r="F421" t="s">
        <v>22</v>
      </c>
      <c r="G421" t="s">
        <v>23</v>
      </c>
      <c r="H421">
        <f t="shared" si="6"/>
        <v>420</v>
      </c>
      <c r="I421" t="s">
        <v>17</v>
      </c>
      <c r="J421" s="3">
        <v>16213</v>
      </c>
      <c r="K421" t="b">
        <v>0</v>
      </c>
      <c r="L421" t="b">
        <v>1</v>
      </c>
      <c r="M421" t="b">
        <v>0</v>
      </c>
    </row>
    <row r="422" spans="1:13" x14ac:dyDescent="0.3">
      <c r="A422">
        <v>64</v>
      </c>
      <c r="B422" t="s">
        <v>18</v>
      </c>
      <c r="C422" s="1">
        <v>3</v>
      </c>
      <c r="D422" t="s">
        <v>28</v>
      </c>
      <c r="E422" t="s">
        <v>14</v>
      </c>
      <c r="F422" t="s">
        <v>27</v>
      </c>
      <c r="G422" t="s">
        <v>29</v>
      </c>
      <c r="H422">
        <f t="shared" si="6"/>
        <v>421</v>
      </c>
      <c r="I422" t="s">
        <v>17</v>
      </c>
      <c r="J422" s="3">
        <v>14869</v>
      </c>
      <c r="K422" t="b">
        <v>1</v>
      </c>
      <c r="L422" t="b">
        <v>1</v>
      </c>
      <c r="M422" t="b">
        <v>0</v>
      </c>
    </row>
    <row r="423" spans="1:13" x14ac:dyDescent="0.3">
      <c r="A423">
        <v>52</v>
      </c>
      <c r="B423" t="s">
        <v>25</v>
      </c>
      <c r="C423" s="1">
        <v>7</v>
      </c>
      <c r="D423" t="s">
        <v>28</v>
      </c>
      <c r="E423" t="s">
        <v>26</v>
      </c>
      <c r="F423" t="s">
        <v>22</v>
      </c>
      <c r="G423" t="s">
        <v>16</v>
      </c>
      <c r="H423">
        <f t="shared" si="6"/>
        <v>422</v>
      </c>
      <c r="I423" t="s">
        <v>17</v>
      </c>
      <c r="J423" s="3">
        <v>11561</v>
      </c>
      <c r="K423" t="b">
        <v>1</v>
      </c>
      <c r="L423" t="b">
        <v>0</v>
      </c>
      <c r="M423" t="b">
        <v>0</v>
      </c>
    </row>
    <row r="424" spans="1:13" x14ac:dyDescent="0.3">
      <c r="A424">
        <v>57</v>
      </c>
      <c r="B424" t="s">
        <v>12</v>
      </c>
      <c r="C424" s="1">
        <v>1</v>
      </c>
      <c r="D424" t="s">
        <v>28</v>
      </c>
      <c r="E424" t="s">
        <v>20</v>
      </c>
      <c r="F424" t="s">
        <v>15</v>
      </c>
      <c r="G424" t="s">
        <v>16</v>
      </c>
      <c r="H424">
        <f t="shared" si="6"/>
        <v>423</v>
      </c>
      <c r="I424" t="s">
        <v>17</v>
      </c>
      <c r="J424" s="3">
        <v>14006</v>
      </c>
      <c r="K424" t="b">
        <v>0</v>
      </c>
      <c r="L424" t="b">
        <v>1</v>
      </c>
      <c r="M424" t="b">
        <v>0</v>
      </c>
    </row>
    <row r="425" spans="1:13" x14ac:dyDescent="0.3">
      <c r="A425">
        <v>33</v>
      </c>
      <c r="B425" t="s">
        <v>25</v>
      </c>
      <c r="C425" s="1">
        <v>4</v>
      </c>
      <c r="D425" t="s">
        <v>28</v>
      </c>
      <c r="E425" t="s">
        <v>26</v>
      </c>
      <c r="F425" t="s">
        <v>27</v>
      </c>
      <c r="G425" t="s">
        <v>23</v>
      </c>
      <c r="H425">
        <f t="shared" si="6"/>
        <v>424</v>
      </c>
      <c r="I425" t="s">
        <v>21</v>
      </c>
      <c r="J425" s="3">
        <v>19867</v>
      </c>
      <c r="K425" t="b">
        <v>0</v>
      </c>
      <c r="L425" t="b">
        <v>1</v>
      </c>
      <c r="M425" t="b">
        <v>0</v>
      </c>
    </row>
    <row r="426" spans="1:13" x14ac:dyDescent="0.3">
      <c r="A426">
        <v>30</v>
      </c>
      <c r="B426" t="s">
        <v>18</v>
      </c>
      <c r="C426" s="1">
        <v>4</v>
      </c>
      <c r="D426" t="s">
        <v>28</v>
      </c>
      <c r="E426" t="s">
        <v>14</v>
      </c>
      <c r="F426" t="s">
        <v>15</v>
      </c>
      <c r="G426" t="s">
        <v>23</v>
      </c>
      <c r="H426">
        <f t="shared" si="6"/>
        <v>425</v>
      </c>
      <c r="I426" t="s">
        <v>21</v>
      </c>
      <c r="J426" s="3">
        <v>19314</v>
      </c>
      <c r="K426" t="b">
        <v>0</v>
      </c>
      <c r="L426" t="b">
        <v>0</v>
      </c>
      <c r="M426" t="b">
        <v>0</v>
      </c>
    </row>
    <row r="427" spans="1:13" x14ac:dyDescent="0.3">
      <c r="A427">
        <v>59</v>
      </c>
      <c r="B427" t="s">
        <v>12</v>
      </c>
      <c r="C427" s="1">
        <v>7</v>
      </c>
      <c r="D427" t="s">
        <v>13</v>
      </c>
      <c r="E427" t="s">
        <v>26</v>
      </c>
      <c r="F427" t="s">
        <v>15</v>
      </c>
      <c r="G427" t="s">
        <v>16</v>
      </c>
      <c r="H427">
        <f t="shared" si="6"/>
        <v>426</v>
      </c>
      <c r="I427" t="s">
        <v>17</v>
      </c>
      <c r="J427" s="3">
        <v>13981</v>
      </c>
      <c r="K427" t="b">
        <v>0</v>
      </c>
      <c r="L427" t="b">
        <v>0</v>
      </c>
      <c r="M427" t="b">
        <v>1</v>
      </c>
    </row>
    <row r="428" spans="1:13" x14ac:dyDescent="0.3">
      <c r="A428">
        <v>47</v>
      </c>
      <c r="B428" t="s">
        <v>18</v>
      </c>
      <c r="C428" s="1">
        <v>8</v>
      </c>
      <c r="D428" t="s">
        <v>28</v>
      </c>
      <c r="E428" t="s">
        <v>26</v>
      </c>
      <c r="F428" t="s">
        <v>27</v>
      </c>
      <c r="G428" t="s">
        <v>29</v>
      </c>
      <c r="H428">
        <f t="shared" si="6"/>
        <v>427</v>
      </c>
      <c r="I428" t="s">
        <v>21</v>
      </c>
      <c r="J428" s="3">
        <v>19493</v>
      </c>
      <c r="K428" t="b">
        <v>0</v>
      </c>
      <c r="L428" t="b">
        <v>1</v>
      </c>
      <c r="M428" t="b">
        <v>0</v>
      </c>
    </row>
    <row r="429" spans="1:13" x14ac:dyDescent="0.3">
      <c r="A429">
        <v>36</v>
      </c>
      <c r="B429" t="s">
        <v>18</v>
      </c>
      <c r="C429" s="1">
        <v>1</v>
      </c>
      <c r="D429" t="s">
        <v>28</v>
      </c>
      <c r="E429" t="s">
        <v>20</v>
      </c>
      <c r="F429" t="s">
        <v>22</v>
      </c>
      <c r="G429" t="s">
        <v>23</v>
      </c>
      <c r="H429">
        <f t="shared" si="6"/>
        <v>428</v>
      </c>
      <c r="I429" t="s">
        <v>21</v>
      </c>
      <c r="J429" s="3">
        <v>15682</v>
      </c>
      <c r="K429" t="b">
        <v>0</v>
      </c>
      <c r="L429" t="b">
        <v>0</v>
      </c>
      <c r="M429" t="b">
        <v>1</v>
      </c>
    </row>
    <row r="430" spans="1:13" x14ac:dyDescent="0.3">
      <c r="A430">
        <v>34</v>
      </c>
      <c r="B430" t="s">
        <v>12</v>
      </c>
      <c r="C430" s="1">
        <v>5</v>
      </c>
      <c r="D430" t="s">
        <v>13</v>
      </c>
      <c r="E430" t="s">
        <v>20</v>
      </c>
      <c r="F430" t="s">
        <v>27</v>
      </c>
      <c r="G430" t="s">
        <v>23</v>
      </c>
      <c r="H430">
        <f t="shared" si="6"/>
        <v>429</v>
      </c>
      <c r="I430" t="s">
        <v>24</v>
      </c>
      <c r="J430" s="3">
        <v>15782</v>
      </c>
      <c r="K430" t="b">
        <v>1</v>
      </c>
      <c r="L430" t="b">
        <v>1</v>
      </c>
      <c r="M430" t="b">
        <v>1</v>
      </c>
    </row>
    <row r="431" spans="1:13" x14ac:dyDescent="0.3">
      <c r="A431">
        <v>36</v>
      </c>
      <c r="B431" t="s">
        <v>12</v>
      </c>
      <c r="C431" s="1">
        <v>7</v>
      </c>
      <c r="D431" t="s">
        <v>13</v>
      </c>
      <c r="E431" t="s">
        <v>20</v>
      </c>
      <c r="F431" t="s">
        <v>15</v>
      </c>
      <c r="G431" t="s">
        <v>29</v>
      </c>
      <c r="H431">
        <f t="shared" si="6"/>
        <v>430</v>
      </c>
      <c r="I431" t="s">
        <v>17</v>
      </c>
      <c r="J431" s="3">
        <v>10943</v>
      </c>
      <c r="K431" t="b">
        <v>0</v>
      </c>
      <c r="L431" t="b">
        <v>1</v>
      </c>
      <c r="M431" t="b">
        <v>0</v>
      </c>
    </row>
    <row r="432" spans="1:13" x14ac:dyDescent="0.3">
      <c r="A432">
        <v>45</v>
      </c>
      <c r="B432" t="s">
        <v>12</v>
      </c>
      <c r="C432" s="1">
        <v>4</v>
      </c>
      <c r="D432" t="s">
        <v>13</v>
      </c>
      <c r="E432" t="s">
        <v>14</v>
      </c>
      <c r="F432" t="s">
        <v>15</v>
      </c>
      <c r="G432" t="s">
        <v>29</v>
      </c>
      <c r="H432">
        <f t="shared" si="6"/>
        <v>431</v>
      </c>
      <c r="I432" t="s">
        <v>21</v>
      </c>
      <c r="J432" s="3">
        <v>14550</v>
      </c>
      <c r="K432" t="b">
        <v>0</v>
      </c>
      <c r="L432" t="b">
        <v>0</v>
      </c>
      <c r="M432" t="b">
        <v>1</v>
      </c>
    </row>
    <row r="433" spans="1:13" x14ac:dyDescent="0.3">
      <c r="A433">
        <v>43</v>
      </c>
      <c r="B433" t="s">
        <v>12</v>
      </c>
      <c r="C433" s="1">
        <v>4</v>
      </c>
      <c r="D433" t="s">
        <v>13</v>
      </c>
      <c r="E433" t="s">
        <v>14</v>
      </c>
      <c r="F433" t="s">
        <v>22</v>
      </c>
      <c r="G433" t="s">
        <v>16</v>
      </c>
      <c r="H433">
        <f t="shared" si="6"/>
        <v>432</v>
      </c>
      <c r="I433" t="s">
        <v>21</v>
      </c>
      <c r="J433" s="3">
        <v>19137</v>
      </c>
      <c r="K433" t="b">
        <v>0</v>
      </c>
      <c r="L433" t="b">
        <v>1</v>
      </c>
      <c r="M433" t="b">
        <v>0</v>
      </c>
    </row>
    <row r="434" spans="1:13" x14ac:dyDescent="0.3">
      <c r="A434">
        <v>54</v>
      </c>
      <c r="B434" t="s">
        <v>12</v>
      </c>
      <c r="C434" s="1">
        <v>4</v>
      </c>
      <c r="D434" t="s">
        <v>13</v>
      </c>
      <c r="E434" t="s">
        <v>20</v>
      </c>
      <c r="F434" t="s">
        <v>27</v>
      </c>
      <c r="G434" t="s">
        <v>29</v>
      </c>
      <c r="H434">
        <f t="shared" si="6"/>
        <v>433</v>
      </c>
      <c r="I434" t="s">
        <v>17</v>
      </c>
      <c r="J434" s="3">
        <v>10600</v>
      </c>
      <c r="K434" t="b">
        <v>1</v>
      </c>
      <c r="L434" t="b">
        <v>1</v>
      </c>
      <c r="M434" t="b">
        <v>1</v>
      </c>
    </row>
    <row r="435" spans="1:13" x14ac:dyDescent="0.3">
      <c r="A435">
        <v>43</v>
      </c>
      <c r="B435" t="s">
        <v>12</v>
      </c>
      <c r="C435" s="1">
        <v>6</v>
      </c>
      <c r="D435" t="s">
        <v>13</v>
      </c>
      <c r="E435" t="s">
        <v>20</v>
      </c>
      <c r="F435" t="s">
        <v>15</v>
      </c>
      <c r="G435" t="s">
        <v>16</v>
      </c>
      <c r="H435">
        <f t="shared" si="6"/>
        <v>434</v>
      </c>
      <c r="I435" t="s">
        <v>24</v>
      </c>
      <c r="J435" s="3">
        <v>16376</v>
      </c>
      <c r="K435" t="b">
        <v>1</v>
      </c>
      <c r="L435" t="b">
        <v>1</v>
      </c>
      <c r="M435" t="b">
        <v>0</v>
      </c>
    </row>
    <row r="436" spans="1:13" x14ac:dyDescent="0.3">
      <c r="A436">
        <v>40</v>
      </c>
      <c r="B436" t="s">
        <v>12</v>
      </c>
      <c r="C436" s="1">
        <v>7</v>
      </c>
      <c r="D436" t="s">
        <v>28</v>
      </c>
      <c r="E436" t="s">
        <v>14</v>
      </c>
      <c r="F436" t="s">
        <v>15</v>
      </c>
      <c r="G436" t="s">
        <v>29</v>
      </c>
      <c r="H436">
        <f t="shared" si="6"/>
        <v>435</v>
      </c>
      <c r="I436" t="s">
        <v>17</v>
      </c>
      <c r="J436" s="3">
        <v>19609</v>
      </c>
      <c r="K436" t="b">
        <v>1</v>
      </c>
      <c r="L436" t="b">
        <v>0</v>
      </c>
      <c r="M436" t="b">
        <v>1</v>
      </c>
    </row>
    <row r="437" spans="1:13" x14ac:dyDescent="0.3">
      <c r="A437">
        <v>26</v>
      </c>
      <c r="B437" t="s">
        <v>25</v>
      </c>
      <c r="C437" s="1">
        <v>2</v>
      </c>
      <c r="D437" t="s">
        <v>28</v>
      </c>
      <c r="E437" t="s">
        <v>14</v>
      </c>
      <c r="F437" t="s">
        <v>15</v>
      </c>
      <c r="G437" t="s">
        <v>23</v>
      </c>
      <c r="H437">
        <f t="shared" si="6"/>
        <v>436</v>
      </c>
      <c r="I437" t="s">
        <v>24</v>
      </c>
      <c r="J437" s="3">
        <v>11524</v>
      </c>
      <c r="K437" t="b">
        <v>1</v>
      </c>
      <c r="L437" t="b">
        <v>0</v>
      </c>
      <c r="M437" t="b">
        <v>1</v>
      </c>
    </row>
    <row r="438" spans="1:13" x14ac:dyDescent="0.3">
      <c r="A438">
        <v>29</v>
      </c>
      <c r="B438" t="s">
        <v>18</v>
      </c>
      <c r="C438" s="1">
        <v>5</v>
      </c>
      <c r="D438" t="s">
        <v>19</v>
      </c>
      <c r="E438" t="s">
        <v>14</v>
      </c>
      <c r="F438" t="s">
        <v>22</v>
      </c>
      <c r="G438" t="s">
        <v>16</v>
      </c>
      <c r="H438">
        <f t="shared" si="6"/>
        <v>437</v>
      </c>
      <c r="I438" t="s">
        <v>17</v>
      </c>
      <c r="J438" s="3">
        <v>13766</v>
      </c>
      <c r="K438" t="b">
        <v>0</v>
      </c>
      <c r="L438" t="b">
        <v>0</v>
      </c>
      <c r="M438" t="b">
        <v>0</v>
      </c>
    </row>
    <row r="439" spans="1:13" x14ac:dyDescent="0.3">
      <c r="A439">
        <v>18</v>
      </c>
      <c r="B439" t="s">
        <v>12</v>
      </c>
      <c r="C439" s="1">
        <v>4</v>
      </c>
      <c r="D439" t="s">
        <v>28</v>
      </c>
      <c r="E439" t="s">
        <v>14</v>
      </c>
      <c r="F439" t="s">
        <v>15</v>
      </c>
      <c r="G439" t="s">
        <v>16</v>
      </c>
      <c r="H439">
        <f t="shared" si="6"/>
        <v>438</v>
      </c>
      <c r="I439" t="s">
        <v>17</v>
      </c>
      <c r="J439" s="3">
        <v>10250</v>
      </c>
      <c r="K439" t="b">
        <v>1</v>
      </c>
      <c r="L439" t="b">
        <v>1</v>
      </c>
      <c r="M439" t="b">
        <v>1</v>
      </c>
    </row>
    <row r="440" spans="1:13" x14ac:dyDescent="0.3">
      <c r="A440">
        <v>18</v>
      </c>
      <c r="B440" t="s">
        <v>25</v>
      </c>
      <c r="C440" s="1">
        <v>3</v>
      </c>
      <c r="D440" t="s">
        <v>28</v>
      </c>
      <c r="E440" t="s">
        <v>20</v>
      </c>
      <c r="F440" t="s">
        <v>15</v>
      </c>
      <c r="G440" t="s">
        <v>16</v>
      </c>
      <c r="H440">
        <f t="shared" si="6"/>
        <v>439</v>
      </c>
      <c r="I440" t="s">
        <v>17</v>
      </c>
      <c r="J440" s="3">
        <v>19736</v>
      </c>
      <c r="K440" t="b">
        <v>0</v>
      </c>
      <c r="L440" t="b">
        <v>1</v>
      </c>
      <c r="M440" t="b">
        <v>1</v>
      </c>
    </row>
    <row r="441" spans="1:13" x14ac:dyDescent="0.3">
      <c r="A441">
        <v>64</v>
      </c>
      <c r="B441" t="s">
        <v>25</v>
      </c>
      <c r="C441" s="1">
        <v>7</v>
      </c>
      <c r="D441" t="s">
        <v>13</v>
      </c>
      <c r="E441" t="s">
        <v>14</v>
      </c>
      <c r="F441" t="s">
        <v>27</v>
      </c>
      <c r="G441" t="s">
        <v>29</v>
      </c>
      <c r="H441">
        <f t="shared" si="6"/>
        <v>440</v>
      </c>
      <c r="I441" t="s">
        <v>17</v>
      </c>
      <c r="J441" s="3">
        <v>10078</v>
      </c>
      <c r="K441" t="b">
        <v>0</v>
      </c>
      <c r="L441" t="b">
        <v>0</v>
      </c>
      <c r="M441" t="b">
        <v>1</v>
      </c>
    </row>
    <row r="442" spans="1:13" x14ac:dyDescent="0.3">
      <c r="A442">
        <v>51</v>
      </c>
      <c r="B442" t="s">
        <v>25</v>
      </c>
      <c r="C442" s="1">
        <v>6</v>
      </c>
      <c r="D442" t="s">
        <v>13</v>
      </c>
      <c r="E442" t="s">
        <v>20</v>
      </c>
      <c r="F442" t="s">
        <v>27</v>
      </c>
      <c r="G442" t="s">
        <v>23</v>
      </c>
      <c r="H442">
        <f t="shared" si="6"/>
        <v>441</v>
      </c>
      <c r="I442" t="s">
        <v>24</v>
      </c>
      <c r="J442" s="3">
        <v>13123</v>
      </c>
      <c r="K442" t="b">
        <v>0</v>
      </c>
      <c r="L442" t="b">
        <v>0</v>
      </c>
      <c r="M442" t="b">
        <v>1</v>
      </c>
    </row>
    <row r="443" spans="1:13" x14ac:dyDescent="0.3">
      <c r="A443">
        <v>49</v>
      </c>
      <c r="B443" t="s">
        <v>18</v>
      </c>
      <c r="C443" s="1">
        <v>7</v>
      </c>
      <c r="D443" t="s">
        <v>28</v>
      </c>
      <c r="E443" t="s">
        <v>26</v>
      </c>
      <c r="F443" t="s">
        <v>15</v>
      </c>
      <c r="G443" t="s">
        <v>16</v>
      </c>
      <c r="H443">
        <f t="shared" si="6"/>
        <v>442</v>
      </c>
      <c r="I443" t="s">
        <v>24</v>
      </c>
      <c r="J443" s="3">
        <v>19089</v>
      </c>
      <c r="K443" t="b">
        <v>0</v>
      </c>
      <c r="L443" t="b">
        <v>0</v>
      </c>
      <c r="M443" t="b">
        <v>1</v>
      </c>
    </row>
    <row r="444" spans="1:13" x14ac:dyDescent="0.3">
      <c r="A444">
        <v>42</v>
      </c>
      <c r="B444" t="s">
        <v>12</v>
      </c>
      <c r="C444" s="1">
        <v>5</v>
      </c>
      <c r="D444" t="s">
        <v>19</v>
      </c>
      <c r="E444" t="s">
        <v>26</v>
      </c>
      <c r="F444" t="s">
        <v>15</v>
      </c>
      <c r="G444" t="s">
        <v>16</v>
      </c>
      <c r="H444">
        <f t="shared" si="6"/>
        <v>443</v>
      </c>
      <c r="I444" t="s">
        <v>21</v>
      </c>
      <c r="J444" s="3">
        <v>17064</v>
      </c>
      <c r="K444" t="b">
        <v>0</v>
      </c>
      <c r="L444" t="b">
        <v>1</v>
      </c>
      <c r="M444" t="b">
        <v>0</v>
      </c>
    </row>
    <row r="445" spans="1:13" x14ac:dyDescent="0.3">
      <c r="A445">
        <v>57</v>
      </c>
      <c r="B445" t="s">
        <v>25</v>
      </c>
      <c r="C445" s="1">
        <v>6</v>
      </c>
      <c r="D445" t="s">
        <v>13</v>
      </c>
      <c r="E445" t="s">
        <v>14</v>
      </c>
      <c r="F445" t="s">
        <v>27</v>
      </c>
      <c r="G445" t="s">
        <v>16</v>
      </c>
      <c r="H445">
        <f t="shared" si="6"/>
        <v>444</v>
      </c>
      <c r="I445" t="s">
        <v>17</v>
      </c>
      <c r="J445" s="3">
        <v>18417</v>
      </c>
      <c r="K445" t="b">
        <v>0</v>
      </c>
      <c r="L445" t="b">
        <v>0</v>
      </c>
      <c r="M445" t="b">
        <v>1</v>
      </c>
    </row>
    <row r="446" spans="1:13" x14ac:dyDescent="0.3">
      <c r="A446">
        <v>62</v>
      </c>
      <c r="B446" t="s">
        <v>18</v>
      </c>
      <c r="C446" s="1">
        <v>5</v>
      </c>
      <c r="D446" t="s">
        <v>28</v>
      </c>
      <c r="E446" t="s">
        <v>26</v>
      </c>
      <c r="F446" t="s">
        <v>22</v>
      </c>
      <c r="G446" t="s">
        <v>16</v>
      </c>
      <c r="H446">
        <f t="shared" si="6"/>
        <v>445</v>
      </c>
      <c r="I446" t="s">
        <v>24</v>
      </c>
      <c r="J446" s="3">
        <v>11209</v>
      </c>
      <c r="K446" t="b">
        <v>1</v>
      </c>
      <c r="L446" t="b">
        <v>1</v>
      </c>
      <c r="M446" t="b">
        <v>1</v>
      </c>
    </row>
    <row r="447" spans="1:13" x14ac:dyDescent="0.3">
      <c r="A447">
        <v>18</v>
      </c>
      <c r="B447" t="s">
        <v>18</v>
      </c>
      <c r="C447" s="1">
        <v>7</v>
      </c>
      <c r="D447" t="s">
        <v>28</v>
      </c>
      <c r="E447" t="s">
        <v>26</v>
      </c>
      <c r="F447" t="s">
        <v>22</v>
      </c>
      <c r="G447" t="s">
        <v>23</v>
      </c>
      <c r="H447">
        <f t="shared" si="6"/>
        <v>446</v>
      </c>
      <c r="I447" t="s">
        <v>24</v>
      </c>
      <c r="J447" s="3">
        <v>15153</v>
      </c>
      <c r="K447" t="b">
        <v>1</v>
      </c>
      <c r="L447" t="b">
        <v>0</v>
      </c>
      <c r="M447" t="b">
        <v>0</v>
      </c>
    </row>
    <row r="448" spans="1:13" x14ac:dyDescent="0.3">
      <c r="A448">
        <v>33</v>
      </c>
      <c r="B448" t="s">
        <v>18</v>
      </c>
      <c r="C448" s="1">
        <v>2</v>
      </c>
      <c r="D448" t="s">
        <v>19</v>
      </c>
      <c r="E448" t="s">
        <v>26</v>
      </c>
      <c r="F448" t="s">
        <v>22</v>
      </c>
      <c r="G448" t="s">
        <v>29</v>
      </c>
      <c r="H448">
        <f t="shared" si="6"/>
        <v>447</v>
      </c>
      <c r="I448" t="s">
        <v>24</v>
      </c>
      <c r="J448" s="3">
        <v>14898</v>
      </c>
      <c r="K448" t="b">
        <v>1</v>
      </c>
      <c r="L448" t="b">
        <v>1</v>
      </c>
      <c r="M448" t="b">
        <v>0</v>
      </c>
    </row>
    <row r="449" spans="1:13" x14ac:dyDescent="0.3">
      <c r="A449">
        <v>56</v>
      </c>
      <c r="B449" t="s">
        <v>25</v>
      </c>
      <c r="C449" s="1">
        <v>5</v>
      </c>
      <c r="D449" t="s">
        <v>19</v>
      </c>
      <c r="E449" t="s">
        <v>14</v>
      </c>
      <c r="F449" t="s">
        <v>22</v>
      </c>
      <c r="G449" t="s">
        <v>23</v>
      </c>
      <c r="H449">
        <f t="shared" si="6"/>
        <v>448</v>
      </c>
      <c r="I449" t="s">
        <v>17</v>
      </c>
      <c r="J449" s="3">
        <v>12178</v>
      </c>
      <c r="K449" t="b">
        <v>1</v>
      </c>
      <c r="L449" t="b">
        <v>1</v>
      </c>
      <c r="M449" t="b">
        <v>0</v>
      </c>
    </row>
    <row r="450" spans="1:13" x14ac:dyDescent="0.3">
      <c r="A450">
        <v>22</v>
      </c>
      <c r="B450" t="s">
        <v>12</v>
      </c>
      <c r="C450" s="1">
        <v>6</v>
      </c>
      <c r="D450" t="s">
        <v>13</v>
      </c>
      <c r="E450" t="s">
        <v>14</v>
      </c>
      <c r="F450" t="s">
        <v>22</v>
      </c>
      <c r="G450" t="s">
        <v>16</v>
      </c>
      <c r="H450">
        <f t="shared" si="6"/>
        <v>449</v>
      </c>
      <c r="I450" t="s">
        <v>21</v>
      </c>
      <c r="J450" s="3">
        <v>17610</v>
      </c>
      <c r="K450" t="b">
        <v>1</v>
      </c>
      <c r="L450" t="b">
        <v>0</v>
      </c>
      <c r="M450" t="b">
        <v>1</v>
      </c>
    </row>
    <row r="451" spans="1:13" x14ac:dyDescent="0.3">
      <c r="A451">
        <v>39</v>
      </c>
      <c r="B451" t="s">
        <v>25</v>
      </c>
      <c r="C451" s="1">
        <v>6</v>
      </c>
      <c r="D451" t="s">
        <v>19</v>
      </c>
      <c r="E451" t="s">
        <v>26</v>
      </c>
      <c r="F451" t="s">
        <v>22</v>
      </c>
      <c r="G451" t="s">
        <v>23</v>
      </c>
      <c r="H451">
        <f t="shared" si="6"/>
        <v>450</v>
      </c>
      <c r="I451" t="s">
        <v>24</v>
      </c>
      <c r="J451" s="3">
        <v>18895</v>
      </c>
      <c r="K451" t="b">
        <v>0</v>
      </c>
      <c r="L451" t="b">
        <v>1</v>
      </c>
      <c r="M451" t="b">
        <v>1</v>
      </c>
    </row>
    <row r="452" spans="1:13" x14ac:dyDescent="0.3">
      <c r="A452">
        <v>46</v>
      </c>
      <c r="B452" t="s">
        <v>25</v>
      </c>
      <c r="C452" s="1">
        <v>5</v>
      </c>
      <c r="D452" t="s">
        <v>28</v>
      </c>
      <c r="E452" t="s">
        <v>20</v>
      </c>
      <c r="F452" t="s">
        <v>22</v>
      </c>
      <c r="G452" t="s">
        <v>16</v>
      </c>
      <c r="H452">
        <f t="shared" ref="H452:I515" si="7">H451+1</f>
        <v>451</v>
      </c>
      <c r="I452" t="s">
        <v>17</v>
      </c>
      <c r="J452" s="3">
        <v>12544</v>
      </c>
      <c r="K452" t="b">
        <v>1</v>
      </c>
      <c r="L452" t="b">
        <v>0</v>
      </c>
      <c r="M452" t="b">
        <v>1</v>
      </c>
    </row>
    <row r="453" spans="1:13" x14ac:dyDescent="0.3">
      <c r="A453">
        <v>20</v>
      </c>
      <c r="B453" t="s">
        <v>12</v>
      </c>
      <c r="C453" s="1">
        <v>7</v>
      </c>
      <c r="D453" t="s">
        <v>28</v>
      </c>
      <c r="E453" t="s">
        <v>26</v>
      </c>
      <c r="F453" t="s">
        <v>22</v>
      </c>
      <c r="G453" t="s">
        <v>29</v>
      </c>
      <c r="H453">
        <f t="shared" si="7"/>
        <v>452</v>
      </c>
      <c r="I453" t="s">
        <v>24</v>
      </c>
      <c r="J453" s="3">
        <v>15522</v>
      </c>
      <c r="K453" t="b">
        <v>1</v>
      </c>
      <c r="L453" t="b">
        <v>1</v>
      </c>
      <c r="M453" t="b">
        <v>1</v>
      </c>
    </row>
    <row r="454" spans="1:13" x14ac:dyDescent="0.3">
      <c r="A454">
        <v>29</v>
      </c>
      <c r="B454" t="s">
        <v>12</v>
      </c>
      <c r="C454" s="1">
        <v>8</v>
      </c>
      <c r="D454" t="s">
        <v>19</v>
      </c>
      <c r="E454" t="s">
        <v>14</v>
      </c>
      <c r="F454" t="s">
        <v>27</v>
      </c>
      <c r="G454" t="s">
        <v>29</v>
      </c>
      <c r="H454">
        <f t="shared" si="7"/>
        <v>453</v>
      </c>
      <c r="I454" t="s">
        <v>24</v>
      </c>
      <c r="J454" s="3">
        <v>12370</v>
      </c>
      <c r="K454" t="b">
        <v>1</v>
      </c>
      <c r="L454" t="b">
        <v>1</v>
      </c>
      <c r="M454" t="b">
        <v>0</v>
      </c>
    </row>
    <row r="455" spans="1:13" x14ac:dyDescent="0.3">
      <c r="A455">
        <v>43</v>
      </c>
      <c r="B455" t="s">
        <v>12</v>
      </c>
      <c r="C455" s="1">
        <v>7</v>
      </c>
      <c r="D455" t="s">
        <v>19</v>
      </c>
      <c r="E455" t="s">
        <v>14</v>
      </c>
      <c r="F455" t="s">
        <v>22</v>
      </c>
      <c r="G455" t="s">
        <v>29</v>
      </c>
      <c r="H455">
        <f t="shared" si="7"/>
        <v>454</v>
      </c>
      <c r="I455" t="s">
        <v>21</v>
      </c>
      <c r="J455" s="3">
        <v>13281</v>
      </c>
      <c r="K455" t="b">
        <v>0</v>
      </c>
      <c r="L455" t="b">
        <v>0</v>
      </c>
      <c r="M455" t="b">
        <v>0</v>
      </c>
    </row>
    <row r="456" spans="1:13" x14ac:dyDescent="0.3">
      <c r="A456">
        <v>33</v>
      </c>
      <c r="B456" t="s">
        <v>18</v>
      </c>
      <c r="C456" s="1">
        <v>5</v>
      </c>
      <c r="D456" t="s">
        <v>19</v>
      </c>
      <c r="E456" t="s">
        <v>14</v>
      </c>
      <c r="F456" t="s">
        <v>22</v>
      </c>
      <c r="G456" t="s">
        <v>16</v>
      </c>
      <c r="H456">
        <f t="shared" si="7"/>
        <v>455</v>
      </c>
      <c r="I456" t="s">
        <v>24</v>
      </c>
      <c r="J456" s="3">
        <v>14710</v>
      </c>
      <c r="K456" t="b">
        <v>0</v>
      </c>
      <c r="L456" t="b">
        <v>1</v>
      </c>
      <c r="M456" t="b">
        <v>1</v>
      </c>
    </row>
    <row r="457" spans="1:13" x14ac:dyDescent="0.3">
      <c r="A457">
        <v>54</v>
      </c>
      <c r="B457" t="s">
        <v>12</v>
      </c>
      <c r="C457" s="1">
        <v>1</v>
      </c>
      <c r="D457" t="s">
        <v>19</v>
      </c>
      <c r="E457" t="s">
        <v>26</v>
      </c>
      <c r="F457" t="s">
        <v>22</v>
      </c>
      <c r="G457" t="s">
        <v>23</v>
      </c>
      <c r="H457">
        <f t="shared" si="7"/>
        <v>456</v>
      </c>
      <c r="I457" t="s">
        <v>24</v>
      </c>
      <c r="J457" s="3">
        <v>10328</v>
      </c>
      <c r="K457" t="b">
        <v>0</v>
      </c>
      <c r="L457" t="b">
        <v>0</v>
      </c>
      <c r="M457" t="b">
        <v>1</v>
      </c>
    </row>
    <row r="458" spans="1:13" x14ac:dyDescent="0.3">
      <c r="A458">
        <v>39</v>
      </c>
      <c r="B458" t="s">
        <v>25</v>
      </c>
      <c r="C458" s="1">
        <v>5</v>
      </c>
      <c r="D458" t="s">
        <v>13</v>
      </c>
      <c r="E458" t="s">
        <v>20</v>
      </c>
      <c r="F458" t="s">
        <v>15</v>
      </c>
      <c r="G458" t="s">
        <v>29</v>
      </c>
      <c r="H458">
        <f t="shared" si="7"/>
        <v>457</v>
      </c>
      <c r="I458" t="s">
        <v>17</v>
      </c>
      <c r="J458" s="3">
        <v>15579</v>
      </c>
      <c r="K458" t="b">
        <v>1</v>
      </c>
      <c r="L458" t="b">
        <v>0</v>
      </c>
      <c r="M458" t="b">
        <v>1</v>
      </c>
    </row>
    <row r="459" spans="1:13" x14ac:dyDescent="0.3">
      <c r="A459">
        <v>46</v>
      </c>
      <c r="B459" t="s">
        <v>12</v>
      </c>
      <c r="C459" s="1">
        <v>2</v>
      </c>
      <c r="D459" t="s">
        <v>19</v>
      </c>
      <c r="E459" t="s">
        <v>14</v>
      </c>
      <c r="F459" t="s">
        <v>27</v>
      </c>
      <c r="G459" t="s">
        <v>16</v>
      </c>
      <c r="H459">
        <f t="shared" si="7"/>
        <v>458</v>
      </c>
      <c r="I459" t="s">
        <v>17</v>
      </c>
      <c r="J459" s="3">
        <v>14228</v>
      </c>
      <c r="K459" t="b">
        <v>1</v>
      </c>
      <c r="L459" t="b">
        <v>0</v>
      </c>
      <c r="M459" t="b">
        <v>1</v>
      </c>
    </row>
    <row r="460" spans="1:13" x14ac:dyDescent="0.3">
      <c r="A460">
        <v>31</v>
      </c>
      <c r="B460" t="s">
        <v>25</v>
      </c>
      <c r="C460" s="1">
        <v>5</v>
      </c>
      <c r="D460" t="s">
        <v>13</v>
      </c>
      <c r="E460" t="s">
        <v>14</v>
      </c>
      <c r="F460" t="s">
        <v>27</v>
      </c>
      <c r="G460" t="s">
        <v>16</v>
      </c>
      <c r="H460">
        <f t="shared" si="7"/>
        <v>459</v>
      </c>
      <c r="I460" t="s">
        <v>21</v>
      </c>
      <c r="J460" s="3">
        <v>16794</v>
      </c>
      <c r="K460" t="b">
        <v>1</v>
      </c>
      <c r="L460" t="b">
        <v>1</v>
      </c>
      <c r="M460" t="b">
        <v>0</v>
      </c>
    </row>
    <row r="461" spans="1:13" x14ac:dyDescent="0.3">
      <c r="A461">
        <v>45</v>
      </c>
      <c r="B461" t="s">
        <v>18</v>
      </c>
      <c r="C461" s="1">
        <v>5</v>
      </c>
      <c r="D461" t="s">
        <v>28</v>
      </c>
      <c r="E461" t="s">
        <v>26</v>
      </c>
      <c r="F461" t="s">
        <v>27</v>
      </c>
      <c r="G461" t="s">
        <v>23</v>
      </c>
      <c r="H461">
        <f t="shared" si="7"/>
        <v>460</v>
      </c>
      <c r="I461" t="s">
        <v>17</v>
      </c>
      <c r="J461" s="3">
        <v>10120</v>
      </c>
      <c r="K461" t="b">
        <v>1</v>
      </c>
      <c r="L461" t="b">
        <v>1</v>
      </c>
      <c r="M461" t="b">
        <v>0</v>
      </c>
    </row>
    <row r="462" spans="1:13" x14ac:dyDescent="0.3">
      <c r="A462">
        <v>22</v>
      </c>
      <c r="B462" t="s">
        <v>25</v>
      </c>
      <c r="C462" s="1">
        <v>2</v>
      </c>
      <c r="D462" t="s">
        <v>19</v>
      </c>
      <c r="E462" t="s">
        <v>20</v>
      </c>
      <c r="F462" t="s">
        <v>22</v>
      </c>
      <c r="G462" t="s">
        <v>29</v>
      </c>
      <c r="H462">
        <f t="shared" si="7"/>
        <v>461</v>
      </c>
      <c r="I462" t="s">
        <v>17</v>
      </c>
      <c r="J462" s="3">
        <v>16749</v>
      </c>
      <c r="K462" t="b">
        <v>1</v>
      </c>
      <c r="L462" t="b">
        <v>1</v>
      </c>
      <c r="M462" t="b">
        <v>1</v>
      </c>
    </row>
    <row r="463" spans="1:13" x14ac:dyDescent="0.3">
      <c r="A463">
        <v>64</v>
      </c>
      <c r="B463" t="s">
        <v>25</v>
      </c>
      <c r="C463" s="1">
        <v>5</v>
      </c>
      <c r="D463" t="s">
        <v>13</v>
      </c>
      <c r="E463" t="s">
        <v>26</v>
      </c>
      <c r="F463" t="s">
        <v>22</v>
      </c>
      <c r="G463" t="s">
        <v>16</v>
      </c>
      <c r="H463">
        <f t="shared" si="7"/>
        <v>462</v>
      </c>
      <c r="I463" t="s">
        <v>21</v>
      </c>
      <c r="J463" s="3">
        <v>10964</v>
      </c>
      <c r="K463" t="b">
        <v>0</v>
      </c>
      <c r="L463" t="b">
        <v>0</v>
      </c>
      <c r="M463" t="b">
        <v>0</v>
      </c>
    </row>
    <row r="464" spans="1:13" x14ac:dyDescent="0.3">
      <c r="A464">
        <v>47</v>
      </c>
      <c r="B464" t="s">
        <v>12</v>
      </c>
      <c r="C464" s="1">
        <v>4</v>
      </c>
      <c r="D464" t="s">
        <v>19</v>
      </c>
      <c r="E464" t="s">
        <v>14</v>
      </c>
      <c r="F464" t="s">
        <v>15</v>
      </c>
      <c r="G464" t="s">
        <v>23</v>
      </c>
      <c r="H464">
        <f t="shared" si="7"/>
        <v>463</v>
      </c>
      <c r="I464" t="s">
        <v>24</v>
      </c>
      <c r="J464" s="3">
        <v>14224</v>
      </c>
      <c r="K464" t="b">
        <v>1</v>
      </c>
      <c r="L464" t="b">
        <v>0</v>
      </c>
      <c r="M464" t="b">
        <v>1</v>
      </c>
    </row>
    <row r="465" spans="1:13" x14ac:dyDescent="0.3">
      <c r="A465">
        <v>63</v>
      </c>
      <c r="B465" t="s">
        <v>12</v>
      </c>
      <c r="C465" s="1">
        <v>1</v>
      </c>
      <c r="D465" t="s">
        <v>28</v>
      </c>
      <c r="E465" t="s">
        <v>20</v>
      </c>
      <c r="F465" t="s">
        <v>27</v>
      </c>
      <c r="G465" t="s">
        <v>29</v>
      </c>
      <c r="H465">
        <f t="shared" si="7"/>
        <v>464</v>
      </c>
      <c r="I465" t="s">
        <v>21</v>
      </c>
      <c r="J465" s="3">
        <v>13675</v>
      </c>
      <c r="K465" t="b">
        <v>0</v>
      </c>
      <c r="L465" t="b">
        <v>1</v>
      </c>
      <c r="M465" t="b">
        <v>1</v>
      </c>
    </row>
    <row r="466" spans="1:13" x14ac:dyDescent="0.3">
      <c r="A466">
        <v>22</v>
      </c>
      <c r="B466" t="s">
        <v>25</v>
      </c>
      <c r="C466" s="1">
        <v>3</v>
      </c>
      <c r="D466" t="s">
        <v>28</v>
      </c>
      <c r="E466" t="s">
        <v>20</v>
      </c>
      <c r="F466" t="s">
        <v>22</v>
      </c>
      <c r="G466" t="s">
        <v>23</v>
      </c>
      <c r="H466">
        <f t="shared" si="7"/>
        <v>465</v>
      </c>
      <c r="I466" t="s">
        <v>17</v>
      </c>
      <c r="J466" s="3">
        <v>15694</v>
      </c>
      <c r="K466" t="b">
        <v>1</v>
      </c>
      <c r="L466" t="b">
        <v>1</v>
      </c>
      <c r="M466" t="b">
        <v>0</v>
      </c>
    </row>
    <row r="467" spans="1:13" x14ac:dyDescent="0.3">
      <c r="A467">
        <v>29</v>
      </c>
      <c r="B467" t="s">
        <v>12</v>
      </c>
      <c r="C467" s="1">
        <v>1</v>
      </c>
      <c r="D467" t="s">
        <v>28</v>
      </c>
      <c r="E467" t="s">
        <v>14</v>
      </c>
      <c r="F467" t="s">
        <v>27</v>
      </c>
      <c r="G467" t="s">
        <v>23</v>
      </c>
      <c r="H467">
        <f t="shared" si="7"/>
        <v>466</v>
      </c>
      <c r="I467" t="s">
        <v>21</v>
      </c>
      <c r="J467" s="3">
        <v>12076</v>
      </c>
      <c r="K467" t="b">
        <v>0</v>
      </c>
      <c r="L467" t="b">
        <v>0</v>
      </c>
      <c r="M467" t="b">
        <v>1</v>
      </c>
    </row>
    <row r="468" spans="1:13" x14ac:dyDescent="0.3">
      <c r="A468">
        <v>33</v>
      </c>
      <c r="B468" t="s">
        <v>18</v>
      </c>
      <c r="C468" s="1">
        <v>5</v>
      </c>
      <c r="D468" t="s">
        <v>19</v>
      </c>
      <c r="E468" t="s">
        <v>20</v>
      </c>
      <c r="F468" t="s">
        <v>15</v>
      </c>
      <c r="G468" t="s">
        <v>16</v>
      </c>
      <c r="H468">
        <f t="shared" si="7"/>
        <v>467</v>
      </c>
      <c r="I468" t="s">
        <v>24</v>
      </c>
      <c r="J468" s="3">
        <v>16865</v>
      </c>
      <c r="K468" t="b">
        <v>0</v>
      </c>
      <c r="L468" t="b">
        <v>1</v>
      </c>
      <c r="M468" t="b">
        <v>0</v>
      </c>
    </row>
    <row r="469" spans="1:13" x14ac:dyDescent="0.3">
      <c r="A469">
        <v>43</v>
      </c>
      <c r="B469" t="s">
        <v>18</v>
      </c>
      <c r="C469" s="1">
        <v>4</v>
      </c>
      <c r="D469" t="s">
        <v>19</v>
      </c>
      <c r="E469" t="s">
        <v>20</v>
      </c>
      <c r="F469" t="s">
        <v>15</v>
      </c>
      <c r="G469" t="s">
        <v>16</v>
      </c>
      <c r="H469">
        <f t="shared" si="7"/>
        <v>468</v>
      </c>
      <c r="I469" t="s">
        <v>21</v>
      </c>
      <c r="J469" s="3">
        <v>15643</v>
      </c>
      <c r="K469" t="b">
        <v>0</v>
      </c>
      <c r="L469" t="b">
        <v>0</v>
      </c>
      <c r="M469" t="b">
        <v>1</v>
      </c>
    </row>
    <row r="470" spans="1:13" x14ac:dyDescent="0.3">
      <c r="A470">
        <v>43</v>
      </c>
      <c r="B470" t="s">
        <v>12</v>
      </c>
      <c r="C470" s="1">
        <v>7</v>
      </c>
      <c r="D470" t="s">
        <v>13</v>
      </c>
      <c r="E470" t="s">
        <v>26</v>
      </c>
      <c r="F470" t="s">
        <v>15</v>
      </c>
      <c r="G470" t="s">
        <v>16</v>
      </c>
      <c r="H470">
        <f t="shared" si="7"/>
        <v>469</v>
      </c>
      <c r="I470" t="s">
        <v>17</v>
      </c>
      <c r="J470" s="3">
        <v>18524</v>
      </c>
      <c r="K470" t="b">
        <v>0</v>
      </c>
      <c r="L470" t="b">
        <v>1</v>
      </c>
      <c r="M470" t="b">
        <v>0</v>
      </c>
    </row>
    <row r="471" spans="1:13" x14ac:dyDescent="0.3">
      <c r="A471">
        <v>38</v>
      </c>
      <c r="B471" t="s">
        <v>18</v>
      </c>
      <c r="C471" s="1">
        <v>5</v>
      </c>
      <c r="D471" t="s">
        <v>28</v>
      </c>
      <c r="E471" t="s">
        <v>14</v>
      </c>
      <c r="F471" t="s">
        <v>27</v>
      </c>
      <c r="G471" t="s">
        <v>23</v>
      </c>
      <c r="H471">
        <f t="shared" si="7"/>
        <v>470</v>
      </c>
      <c r="I471" t="s">
        <v>17</v>
      </c>
      <c r="J471" s="3">
        <v>15249</v>
      </c>
      <c r="K471" t="b">
        <v>1</v>
      </c>
      <c r="L471" t="b">
        <v>0</v>
      </c>
      <c r="M471" t="b">
        <v>1</v>
      </c>
    </row>
    <row r="472" spans="1:13" x14ac:dyDescent="0.3">
      <c r="A472">
        <v>56</v>
      </c>
      <c r="B472" t="s">
        <v>12</v>
      </c>
      <c r="C472" s="1">
        <v>4</v>
      </c>
      <c r="D472" t="s">
        <v>19</v>
      </c>
      <c r="E472" t="s">
        <v>14</v>
      </c>
      <c r="F472" t="s">
        <v>22</v>
      </c>
      <c r="G472" t="s">
        <v>16</v>
      </c>
      <c r="H472">
        <f t="shared" si="7"/>
        <v>471</v>
      </c>
      <c r="I472" t="s">
        <v>21</v>
      </c>
      <c r="J472" s="3">
        <v>11316</v>
      </c>
      <c r="K472" t="b">
        <v>1</v>
      </c>
      <c r="L472" t="b">
        <v>1</v>
      </c>
      <c r="M472" t="b">
        <v>0</v>
      </c>
    </row>
    <row r="473" spans="1:13" x14ac:dyDescent="0.3">
      <c r="A473">
        <v>53</v>
      </c>
      <c r="B473" t="s">
        <v>25</v>
      </c>
      <c r="C473" s="1">
        <v>2</v>
      </c>
      <c r="D473" t="s">
        <v>28</v>
      </c>
      <c r="E473" t="s">
        <v>14</v>
      </c>
      <c r="F473" t="s">
        <v>22</v>
      </c>
      <c r="G473" t="s">
        <v>23</v>
      </c>
      <c r="H473">
        <f t="shared" si="7"/>
        <v>472</v>
      </c>
      <c r="I473" t="s">
        <v>24</v>
      </c>
      <c r="J473" s="3">
        <v>11196</v>
      </c>
      <c r="K473" t="b">
        <v>1</v>
      </c>
      <c r="L473" t="b">
        <v>1</v>
      </c>
      <c r="M473" t="b">
        <v>1</v>
      </c>
    </row>
    <row r="474" spans="1:13" x14ac:dyDescent="0.3">
      <c r="A474">
        <v>50</v>
      </c>
      <c r="B474" t="s">
        <v>25</v>
      </c>
      <c r="C474" s="1">
        <v>4</v>
      </c>
      <c r="D474" t="s">
        <v>28</v>
      </c>
      <c r="E474" t="s">
        <v>14</v>
      </c>
      <c r="F474" t="s">
        <v>15</v>
      </c>
      <c r="G474" t="s">
        <v>23</v>
      </c>
      <c r="H474">
        <f t="shared" si="7"/>
        <v>473</v>
      </c>
      <c r="I474" t="s">
        <v>21</v>
      </c>
      <c r="J474" s="3">
        <v>13170</v>
      </c>
      <c r="K474" t="b">
        <v>0</v>
      </c>
      <c r="L474" t="b">
        <v>0</v>
      </c>
      <c r="M474" t="b">
        <v>1</v>
      </c>
    </row>
    <row r="475" spans="1:13" x14ac:dyDescent="0.3">
      <c r="A475">
        <v>47</v>
      </c>
      <c r="B475" t="s">
        <v>18</v>
      </c>
      <c r="C475" s="1">
        <v>2</v>
      </c>
      <c r="D475" t="s">
        <v>13</v>
      </c>
      <c r="E475" t="s">
        <v>14</v>
      </c>
      <c r="F475" t="s">
        <v>22</v>
      </c>
      <c r="G475" t="s">
        <v>16</v>
      </c>
      <c r="H475">
        <f t="shared" si="7"/>
        <v>474</v>
      </c>
      <c r="I475" t="s">
        <v>24</v>
      </c>
      <c r="J475" s="3">
        <v>19621</v>
      </c>
      <c r="K475" t="b">
        <v>1</v>
      </c>
      <c r="L475" t="b">
        <v>0</v>
      </c>
      <c r="M475" t="b">
        <v>0</v>
      </c>
    </row>
    <row r="476" spans="1:13" x14ac:dyDescent="0.3">
      <c r="A476">
        <v>54</v>
      </c>
      <c r="B476" t="s">
        <v>12</v>
      </c>
      <c r="C476" s="1">
        <v>8</v>
      </c>
      <c r="D476" t="s">
        <v>13</v>
      </c>
      <c r="E476" t="s">
        <v>20</v>
      </c>
      <c r="F476" t="s">
        <v>15</v>
      </c>
      <c r="G476" t="s">
        <v>29</v>
      </c>
      <c r="H476">
        <f t="shared" si="7"/>
        <v>475</v>
      </c>
      <c r="I476" t="s">
        <v>24</v>
      </c>
      <c r="J476" s="3">
        <v>10355</v>
      </c>
      <c r="K476" t="b">
        <v>1</v>
      </c>
      <c r="L476" t="b">
        <v>0</v>
      </c>
      <c r="M476" t="b">
        <v>1</v>
      </c>
    </row>
    <row r="477" spans="1:13" x14ac:dyDescent="0.3">
      <c r="A477">
        <v>40</v>
      </c>
      <c r="B477" t="s">
        <v>12</v>
      </c>
      <c r="C477" s="1">
        <v>3</v>
      </c>
      <c r="D477" t="s">
        <v>13</v>
      </c>
      <c r="E477" t="s">
        <v>26</v>
      </c>
      <c r="F477" t="s">
        <v>27</v>
      </c>
      <c r="G477" t="s">
        <v>29</v>
      </c>
      <c r="H477">
        <f t="shared" si="7"/>
        <v>476</v>
      </c>
      <c r="I477" t="s">
        <v>21</v>
      </c>
      <c r="J477" s="3">
        <v>19718</v>
      </c>
      <c r="K477" t="b">
        <v>1</v>
      </c>
      <c r="L477" t="b">
        <v>1</v>
      </c>
      <c r="M477" t="b">
        <v>0</v>
      </c>
    </row>
    <row r="478" spans="1:13" x14ac:dyDescent="0.3">
      <c r="A478">
        <v>27</v>
      </c>
      <c r="B478" t="s">
        <v>18</v>
      </c>
      <c r="C478" s="1">
        <v>9</v>
      </c>
      <c r="D478" t="s">
        <v>13</v>
      </c>
      <c r="E478" t="s">
        <v>14</v>
      </c>
      <c r="F478" t="s">
        <v>15</v>
      </c>
      <c r="G478" t="s">
        <v>29</v>
      </c>
      <c r="H478">
        <f t="shared" si="7"/>
        <v>477</v>
      </c>
      <c r="I478" t="s">
        <v>24</v>
      </c>
      <c r="J478" s="3">
        <v>10028</v>
      </c>
      <c r="K478" t="b">
        <v>1</v>
      </c>
      <c r="L478" t="b">
        <v>0</v>
      </c>
      <c r="M478" t="b">
        <v>0</v>
      </c>
    </row>
    <row r="479" spans="1:13" x14ac:dyDescent="0.3">
      <c r="A479">
        <v>22</v>
      </c>
      <c r="B479" t="s">
        <v>25</v>
      </c>
      <c r="C479" s="1">
        <v>4</v>
      </c>
      <c r="D479" t="s">
        <v>28</v>
      </c>
      <c r="E479" t="s">
        <v>26</v>
      </c>
      <c r="F479" t="s">
        <v>27</v>
      </c>
      <c r="G479" t="s">
        <v>23</v>
      </c>
      <c r="H479">
        <f t="shared" si="7"/>
        <v>478</v>
      </c>
      <c r="I479" t="s">
        <v>17</v>
      </c>
      <c r="J479" s="3">
        <v>11013</v>
      </c>
      <c r="K479" t="b">
        <v>0</v>
      </c>
      <c r="L479" t="b">
        <v>0</v>
      </c>
      <c r="M479" t="b">
        <v>1</v>
      </c>
    </row>
    <row r="480" spans="1:13" x14ac:dyDescent="0.3">
      <c r="A480">
        <v>53</v>
      </c>
      <c r="B480" t="s">
        <v>18</v>
      </c>
      <c r="C480" s="1">
        <v>6</v>
      </c>
      <c r="D480" t="s">
        <v>13</v>
      </c>
      <c r="E480" t="s">
        <v>26</v>
      </c>
      <c r="F480" t="s">
        <v>15</v>
      </c>
      <c r="G480" t="s">
        <v>23</v>
      </c>
      <c r="H480">
        <f t="shared" si="7"/>
        <v>479</v>
      </c>
      <c r="I480" t="s">
        <v>21</v>
      </c>
      <c r="J480" s="3">
        <v>19019</v>
      </c>
      <c r="K480" t="b">
        <v>0</v>
      </c>
      <c r="L480" t="b">
        <v>1</v>
      </c>
      <c r="M480" t="b">
        <v>1</v>
      </c>
    </row>
    <row r="481" spans="1:13" x14ac:dyDescent="0.3">
      <c r="A481">
        <v>51</v>
      </c>
      <c r="B481" t="s">
        <v>25</v>
      </c>
      <c r="C481" s="1">
        <v>5</v>
      </c>
      <c r="D481" t="s">
        <v>13</v>
      </c>
      <c r="E481" t="s">
        <v>20</v>
      </c>
      <c r="F481" t="s">
        <v>22</v>
      </c>
      <c r="G481" t="s">
        <v>23</v>
      </c>
      <c r="H481">
        <f t="shared" si="7"/>
        <v>480</v>
      </c>
      <c r="I481" t="s">
        <v>24</v>
      </c>
      <c r="J481" s="3">
        <v>12024</v>
      </c>
      <c r="K481" t="b">
        <v>1</v>
      </c>
      <c r="L481" t="b">
        <v>0</v>
      </c>
      <c r="M481" t="b">
        <v>1</v>
      </c>
    </row>
    <row r="482" spans="1:13" x14ac:dyDescent="0.3">
      <c r="A482">
        <v>48</v>
      </c>
      <c r="B482" t="s">
        <v>12</v>
      </c>
      <c r="C482" s="1">
        <v>1</v>
      </c>
      <c r="D482" t="s">
        <v>13</v>
      </c>
      <c r="E482" t="s">
        <v>14</v>
      </c>
      <c r="F482" t="s">
        <v>22</v>
      </c>
      <c r="G482" t="s">
        <v>16</v>
      </c>
      <c r="H482">
        <f t="shared" si="7"/>
        <v>481</v>
      </c>
      <c r="I482" t="s">
        <v>17</v>
      </c>
      <c r="J482" s="3">
        <v>18490</v>
      </c>
      <c r="K482" t="b">
        <v>1</v>
      </c>
      <c r="L482" t="b">
        <v>0</v>
      </c>
      <c r="M482" t="b">
        <v>1</v>
      </c>
    </row>
    <row r="483" spans="1:13" x14ac:dyDescent="0.3">
      <c r="A483">
        <v>27</v>
      </c>
      <c r="B483" t="s">
        <v>25</v>
      </c>
      <c r="C483" s="1">
        <v>9</v>
      </c>
      <c r="D483" t="s">
        <v>13</v>
      </c>
      <c r="E483" t="s">
        <v>20</v>
      </c>
      <c r="F483" t="s">
        <v>15</v>
      </c>
      <c r="G483" t="s">
        <v>23</v>
      </c>
      <c r="H483">
        <f t="shared" si="7"/>
        <v>482</v>
      </c>
      <c r="I483" t="s">
        <v>21</v>
      </c>
      <c r="J483" s="3">
        <v>15839</v>
      </c>
      <c r="K483" t="b">
        <v>1</v>
      </c>
      <c r="L483" t="b">
        <v>0</v>
      </c>
      <c r="M483" t="b">
        <v>0</v>
      </c>
    </row>
    <row r="484" spans="1:13" x14ac:dyDescent="0.3">
      <c r="A484">
        <v>36</v>
      </c>
      <c r="B484" t="s">
        <v>18</v>
      </c>
      <c r="C484" s="1">
        <v>1</v>
      </c>
      <c r="D484" t="s">
        <v>28</v>
      </c>
      <c r="E484" t="s">
        <v>14</v>
      </c>
      <c r="F484" t="s">
        <v>22</v>
      </c>
      <c r="G484" t="s">
        <v>16</v>
      </c>
      <c r="H484">
        <f t="shared" si="7"/>
        <v>483</v>
      </c>
      <c r="I484" t="s">
        <v>17</v>
      </c>
      <c r="J484" s="3">
        <v>15791</v>
      </c>
      <c r="K484" t="b">
        <v>0</v>
      </c>
      <c r="L484" t="b">
        <v>1</v>
      </c>
      <c r="M484" t="b">
        <v>1</v>
      </c>
    </row>
    <row r="485" spans="1:13" x14ac:dyDescent="0.3">
      <c r="A485">
        <v>49</v>
      </c>
      <c r="B485" t="s">
        <v>12</v>
      </c>
      <c r="C485" s="1">
        <v>8</v>
      </c>
      <c r="D485" t="s">
        <v>13</v>
      </c>
      <c r="E485" t="s">
        <v>20</v>
      </c>
      <c r="F485" t="s">
        <v>22</v>
      </c>
      <c r="G485" t="s">
        <v>16</v>
      </c>
      <c r="H485">
        <f t="shared" si="7"/>
        <v>484</v>
      </c>
      <c r="I485" t="s">
        <v>17</v>
      </c>
      <c r="J485" s="3">
        <v>10754</v>
      </c>
      <c r="K485" t="b">
        <v>0</v>
      </c>
      <c r="L485" t="b">
        <v>1</v>
      </c>
      <c r="M485" t="b">
        <v>1</v>
      </c>
    </row>
    <row r="486" spans="1:13" x14ac:dyDescent="0.3">
      <c r="A486">
        <v>18</v>
      </c>
      <c r="B486" t="s">
        <v>18</v>
      </c>
      <c r="C486" s="1">
        <v>9</v>
      </c>
      <c r="D486" t="s">
        <v>28</v>
      </c>
      <c r="E486" t="s">
        <v>26</v>
      </c>
      <c r="F486" t="s">
        <v>22</v>
      </c>
      <c r="G486" t="s">
        <v>29</v>
      </c>
      <c r="H486">
        <f t="shared" si="7"/>
        <v>485</v>
      </c>
      <c r="I486" t="s">
        <v>17</v>
      </c>
      <c r="J486" s="3">
        <v>18961</v>
      </c>
      <c r="K486" t="b">
        <v>0</v>
      </c>
      <c r="L486" t="b">
        <v>1</v>
      </c>
      <c r="M486" t="b">
        <v>1</v>
      </c>
    </row>
    <row r="487" spans="1:13" x14ac:dyDescent="0.3">
      <c r="A487">
        <v>22</v>
      </c>
      <c r="B487" t="s">
        <v>18</v>
      </c>
      <c r="C487" s="1">
        <v>9</v>
      </c>
      <c r="D487" t="s">
        <v>19</v>
      </c>
      <c r="E487" t="s">
        <v>14</v>
      </c>
      <c r="F487" t="s">
        <v>27</v>
      </c>
      <c r="G487" t="s">
        <v>29</v>
      </c>
      <c r="H487">
        <f t="shared" si="7"/>
        <v>486</v>
      </c>
      <c r="I487" t="s">
        <v>24</v>
      </c>
      <c r="J487" s="3">
        <v>13735</v>
      </c>
      <c r="K487" t="b">
        <v>1</v>
      </c>
      <c r="L487" t="b">
        <v>0</v>
      </c>
      <c r="M487" t="b">
        <v>0</v>
      </c>
    </row>
    <row r="488" spans="1:13" x14ac:dyDescent="0.3">
      <c r="A488">
        <v>62</v>
      </c>
      <c r="B488" t="s">
        <v>25</v>
      </c>
      <c r="C488" s="1">
        <v>1</v>
      </c>
      <c r="D488" t="s">
        <v>28</v>
      </c>
      <c r="E488" t="s">
        <v>26</v>
      </c>
      <c r="F488" t="s">
        <v>22</v>
      </c>
      <c r="G488" t="s">
        <v>29</v>
      </c>
      <c r="H488">
        <f t="shared" si="7"/>
        <v>487</v>
      </c>
      <c r="I488" t="s">
        <v>21</v>
      </c>
      <c r="J488" s="3">
        <v>11238</v>
      </c>
      <c r="K488" t="b">
        <v>0</v>
      </c>
      <c r="L488" t="b">
        <v>1</v>
      </c>
      <c r="M488" t="b">
        <v>1</v>
      </c>
    </row>
    <row r="489" spans="1:13" x14ac:dyDescent="0.3">
      <c r="A489">
        <v>21</v>
      </c>
      <c r="B489" t="s">
        <v>18</v>
      </c>
      <c r="C489" s="1">
        <v>2</v>
      </c>
      <c r="D489" t="s">
        <v>28</v>
      </c>
      <c r="E489" t="s">
        <v>26</v>
      </c>
      <c r="F489" t="s">
        <v>27</v>
      </c>
      <c r="G489" t="s">
        <v>16</v>
      </c>
      <c r="H489">
        <f t="shared" si="7"/>
        <v>488</v>
      </c>
      <c r="I489" t="s">
        <v>21</v>
      </c>
      <c r="J489" s="3">
        <v>11906</v>
      </c>
      <c r="K489" t="b">
        <v>0</v>
      </c>
      <c r="L489" t="b">
        <v>0</v>
      </c>
      <c r="M489" t="b">
        <v>0</v>
      </c>
    </row>
    <row r="490" spans="1:13" x14ac:dyDescent="0.3">
      <c r="A490">
        <v>33</v>
      </c>
      <c r="B490" t="s">
        <v>25</v>
      </c>
      <c r="C490" s="1">
        <v>1</v>
      </c>
      <c r="D490" t="s">
        <v>13</v>
      </c>
      <c r="E490" t="s">
        <v>20</v>
      </c>
      <c r="F490" t="s">
        <v>15</v>
      </c>
      <c r="G490" t="s">
        <v>16</v>
      </c>
      <c r="H490">
        <f t="shared" si="7"/>
        <v>489</v>
      </c>
      <c r="I490" t="s">
        <v>24</v>
      </c>
      <c r="J490" s="3">
        <v>17399</v>
      </c>
      <c r="K490" t="b">
        <v>0</v>
      </c>
      <c r="L490" t="b">
        <v>0</v>
      </c>
      <c r="M490" t="b">
        <v>1</v>
      </c>
    </row>
    <row r="491" spans="1:13" x14ac:dyDescent="0.3">
      <c r="A491">
        <v>41</v>
      </c>
      <c r="B491" t="s">
        <v>12</v>
      </c>
      <c r="C491" s="1">
        <v>2</v>
      </c>
      <c r="D491" t="s">
        <v>19</v>
      </c>
      <c r="E491" t="s">
        <v>14</v>
      </c>
      <c r="F491" t="s">
        <v>22</v>
      </c>
      <c r="G491" t="s">
        <v>16</v>
      </c>
      <c r="H491">
        <f t="shared" si="7"/>
        <v>490</v>
      </c>
      <c r="I491" t="s">
        <v>21</v>
      </c>
      <c r="J491" s="3">
        <v>17961</v>
      </c>
      <c r="K491" t="b">
        <v>0</v>
      </c>
      <c r="L491" t="b">
        <v>0</v>
      </c>
      <c r="M491" t="b">
        <v>0</v>
      </c>
    </row>
    <row r="492" spans="1:13" x14ac:dyDescent="0.3">
      <c r="A492">
        <v>33</v>
      </c>
      <c r="B492" t="s">
        <v>25</v>
      </c>
      <c r="C492" s="1">
        <v>8</v>
      </c>
      <c r="D492" t="s">
        <v>19</v>
      </c>
      <c r="E492" t="s">
        <v>26</v>
      </c>
      <c r="F492" t="s">
        <v>22</v>
      </c>
      <c r="G492" t="s">
        <v>23</v>
      </c>
      <c r="H492">
        <f t="shared" si="7"/>
        <v>491</v>
      </c>
      <c r="I492" t="s">
        <v>17</v>
      </c>
      <c r="J492" s="3">
        <v>19756</v>
      </c>
      <c r="K492" t="b">
        <v>0</v>
      </c>
      <c r="L492" t="b">
        <v>1</v>
      </c>
      <c r="M492" t="b">
        <v>1</v>
      </c>
    </row>
    <row r="493" spans="1:13" x14ac:dyDescent="0.3">
      <c r="A493">
        <v>19</v>
      </c>
      <c r="B493" t="s">
        <v>12</v>
      </c>
      <c r="C493" s="1">
        <v>5</v>
      </c>
      <c r="D493" t="s">
        <v>19</v>
      </c>
      <c r="E493" t="s">
        <v>20</v>
      </c>
      <c r="F493" t="s">
        <v>22</v>
      </c>
      <c r="G493" t="s">
        <v>16</v>
      </c>
      <c r="H493">
        <f t="shared" si="7"/>
        <v>492</v>
      </c>
      <c r="I493" t="s">
        <v>21</v>
      </c>
      <c r="J493" s="3">
        <v>19410</v>
      </c>
      <c r="K493" t="b">
        <v>1</v>
      </c>
      <c r="L493" t="b">
        <v>1</v>
      </c>
      <c r="M493" t="b">
        <v>1</v>
      </c>
    </row>
    <row r="494" spans="1:13" x14ac:dyDescent="0.3">
      <c r="A494">
        <v>45</v>
      </c>
      <c r="B494" t="s">
        <v>25</v>
      </c>
      <c r="C494" s="1">
        <v>7</v>
      </c>
      <c r="D494" t="s">
        <v>19</v>
      </c>
      <c r="E494" t="s">
        <v>14</v>
      </c>
      <c r="F494" t="s">
        <v>15</v>
      </c>
      <c r="G494" t="s">
        <v>29</v>
      </c>
      <c r="H494">
        <f t="shared" si="7"/>
        <v>493</v>
      </c>
      <c r="I494" t="s">
        <v>24</v>
      </c>
      <c r="J494" s="3">
        <v>14601</v>
      </c>
      <c r="K494" t="b">
        <v>1</v>
      </c>
      <c r="L494" t="b">
        <v>0</v>
      </c>
      <c r="M494" t="b">
        <v>0</v>
      </c>
    </row>
    <row r="495" spans="1:13" x14ac:dyDescent="0.3">
      <c r="A495">
        <v>49</v>
      </c>
      <c r="B495" t="s">
        <v>18</v>
      </c>
      <c r="C495" s="1">
        <v>2</v>
      </c>
      <c r="D495" t="s">
        <v>28</v>
      </c>
      <c r="E495" t="s">
        <v>14</v>
      </c>
      <c r="F495" t="s">
        <v>27</v>
      </c>
      <c r="G495" t="s">
        <v>29</v>
      </c>
      <c r="H495">
        <f t="shared" si="7"/>
        <v>494</v>
      </c>
      <c r="I495" t="s">
        <v>17</v>
      </c>
      <c r="J495" s="3">
        <v>19549</v>
      </c>
      <c r="K495" t="b">
        <v>1</v>
      </c>
      <c r="L495" t="b">
        <v>0</v>
      </c>
      <c r="M495" t="b">
        <v>1</v>
      </c>
    </row>
    <row r="496" spans="1:13" x14ac:dyDescent="0.3">
      <c r="A496">
        <v>44</v>
      </c>
      <c r="B496" t="s">
        <v>25</v>
      </c>
      <c r="C496" s="1">
        <v>8</v>
      </c>
      <c r="D496" t="s">
        <v>19</v>
      </c>
      <c r="E496" t="s">
        <v>26</v>
      </c>
      <c r="F496" t="s">
        <v>27</v>
      </c>
      <c r="G496" t="s">
        <v>16</v>
      </c>
      <c r="H496">
        <f t="shared" si="7"/>
        <v>495</v>
      </c>
      <c r="I496" t="s">
        <v>24</v>
      </c>
      <c r="J496" s="3">
        <v>11460</v>
      </c>
      <c r="K496" t="b">
        <v>1</v>
      </c>
      <c r="L496" t="b">
        <v>1</v>
      </c>
      <c r="M496" t="b">
        <v>1</v>
      </c>
    </row>
    <row r="497" spans="1:13" x14ac:dyDescent="0.3">
      <c r="A497">
        <v>37</v>
      </c>
      <c r="B497" t="s">
        <v>25</v>
      </c>
      <c r="C497" s="1">
        <v>6</v>
      </c>
      <c r="D497" t="s">
        <v>28</v>
      </c>
      <c r="E497" t="s">
        <v>14</v>
      </c>
      <c r="F497" t="s">
        <v>22</v>
      </c>
      <c r="G497" t="s">
        <v>16</v>
      </c>
      <c r="H497">
        <f t="shared" si="7"/>
        <v>496</v>
      </c>
      <c r="I497" t="s">
        <v>17</v>
      </c>
      <c r="J497" s="3">
        <v>17669</v>
      </c>
      <c r="K497" t="b">
        <v>0</v>
      </c>
      <c r="L497" t="b">
        <v>1</v>
      </c>
      <c r="M497" t="b">
        <v>1</v>
      </c>
    </row>
    <row r="498" spans="1:13" x14ac:dyDescent="0.3">
      <c r="A498">
        <v>41</v>
      </c>
      <c r="B498" t="s">
        <v>12</v>
      </c>
      <c r="C498" s="1">
        <v>8</v>
      </c>
      <c r="D498" t="s">
        <v>28</v>
      </c>
      <c r="E498" t="s">
        <v>26</v>
      </c>
      <c r="F498" t="s">
        <v>15</v>
      </c>
      <c r="G498" t="s">
        <v>29</v>
      </c>
      <c r="H498">
        <f t="shared" si="7"/>
        <v>497</v>
      </c>
      <c r="I498" t="s">
        <v>17</v>
      </c>
      <c r="J498" s="3">
        <v>11416</v>
      </c>
      <c r="K498" t="b">
        <v>1</v>
      </c>
      <c r="L498" t="b">
        <v>1</v>
      </c>
      <c r="M498" t="b">
        <v>0</v>
      </c>
    </row>
    <row r="499" spans="1:13" x14ac:dyDescent="0.3">
      <c r="A499">
        <v>29</v>
      </c>
      <c r="B499" t="s">
        <v>18</v>
      </c>
      <c r="C499" s="1">
        <v>1</v>
      </c>
      <c r="D499" t="s">
        <v>28</v>
      </c>
      <c r="E499" t="s">
        <v>14</v>
      </c>
      <c r="F499" t="s">
        <v>15</v>
      </c>
      <c r="G499" t="s">
        <v>16</v>
      </c>
      <c r="H499">
        <f t="shared" si="7"/>
        <v>498</v>
      </c>
      <c r="I499" t="s">
        <v>21</v>
      </c>
      <c r="J499" s="3">
        <v>17766</v>
      </c>
      <c r="K499" t="b">
        <v>1</v>
      </c>
      <c r="L499" t="b">
        <v>0</v>
      </c>
      <c r="M499" t="b">
        <v>1</v>
      </c>
    </row>
    <row r="500" spans="1:13" x14ac:dyDescent="0.3">
      <c r="A500">
        <v>52</v>
      </c>
      <c r="B500" t="s">
        <v>25</v>
      </c>
      <c r="C500" s="1">
        <v>1</v>
      </c>
      <c r="D500" t="s">
        <v>19</v>
      </c>
      <c r="E500" t="s">
        <v>20</v>
      </c>
      <c r="F500" t="s">
        <v>15</v>
      </c>
      <c r="G500" t="s">
        <v>29</v>
      </c>
      <c r="H500">
        <f t="shared" si="7"/>
        <v>499</v>
      </c>
      <c r="I500" t="s">
        <v>17</v>
      </c>
      <c r="J500" s="3">
        <v>11428</v>
      </c>
      <c r="K500" t="b">
        <v>1</v>
      </c>
      <c r="L500" t="b">
        <v>1</v>
      </c>
      <c r="M500" t="b">
        <v>0</v>
      </c>
    </row>
    <row r="501" spans="1:13" x14ac:dyDescent="0.3">
      <c r="A501">
        <v>50</v>
      </c>
      <c r="B501" t="s">
        <v>18</v>
      </c>
      <c r="C501" s="1">
        <v>7</v>
      </c>
      <c r="D501" t="s">
        <v>13</v>
      </c>
      <c r="E501" t="s">
        <v>26</v>
      </c>
      <c r="F501" t="s">
        <v>15</v>
      </c>
      <c r="G501" t="s">
        <v>23</v>
      </c>
      <c r="H501">
        <f t="shared" si="7"/>
        <v>500</v>
      </c>
      <c r="I501" t="s">
        <v>24</v>
      </c>
      <c r="J501" s="3">
        <v>14378</v>
      </c>
      <c r="K501" t="b">
        <v>0</v>
      </c>
      <c r="L501" t="b">
        <v>1</v>
      </c>
      <c r="M501" t="b">
        <v>0</v>
      </c>
    </row>
    <row r="502" spans="1:13" x14ac:dyDescent="0.3">
      <c r="A502">
        <v>50</v>
      </c>
      <c r="B502" t="s">
        <v>25</v>
      </c>
      <c r="C502" s="1">
        <v>8</v>
      </c>
      <c r="D502" t="s">
        <v>13</v>
      </c>
      <c r="E502" t="s">
        <v>26</v>
      </c>
      <c r="F502" t="s">
        <v>15</v>
      </c>
      <c r="G502" t="s">
        <v>29</v>
      </c>
      <c r="H502">
        <f t="shared" si="7"/>
        <v>501</v>
      </c>
      <c r="I502" t="s">
        <v>21</v>
      </c>
      <c r="J502" s="3">
        <v>17529</v>
      </c>
      <c r="K502" t="b">
        <v>1</v>
      </c>
      <c r="L502" t="b">
        <v>1</v>
      </c>
      <c r="M502" t="b">
        <v>0</v>
      </c>
    </row>
    <row r="503" spans="1:13" x14ac:dyDescent="0.3">
      <c r="A503">
        <v>60</v>
      </c>
      <c r="B503" t="s">
        <v>25</v>
      </c>
      <c r="C503" s="1">
        <v>3</v>
      </c>
      <c r="D503" t="s">
        <v>19</v>
      </c>
      <c r="E503" t="s">
        <v>14</v>
      </c>
      <c r="F503" t="s">
        <v>27</v>
      </c>
      <c r="G503" t="s">
        <v>23</v>
      </c>
      <c r="H503">
        <f t="shared" si="7"/>
        <v>502</v>
      </c>
      <c r="I503" t="s">
        <v>24</v>
      </c>
      <c r="J503" s="3">
        <v>14474</v>
      </c>
      <c r="K503" t="b">
        <v>0</v>
      </c>
      <c r="L503" t="b">
        <v>0</v>
      </c>
      <c r="M503" t="b">
        <v>1</v>
      </c>
    </row>
    <row r="504" spans="1:13" x14ac:dyDescent="0.3">
      <c r="A504">
        <v>54</v>
      </c>
      <c r="B504" t="s">
        <v>18</v>
      </c>
      <c r="C504" s="1">
        <v>5</v>
      </c>
      <c r="D504" t="s">
        <v>13</v>
      </c>
      <c r="E504" t="s">
        <v>14</v>
      </c>
      <c r="F504" t="s">
        <v>27</v>
      </c>
      <c r="G504" t="s">
        <v>16</v>
      </c>
      <c r="H504">
        <f t="shared" si="7"/>
        <v>503</v>
      </c>
      <c r="I504" t="s">
        <v>17</v>
      </c>
      <c r="J504" s="3">
        <v>13071</v>
      </c>
      <c r="K504" t="b">
        <v>0</v>
      </c>
      <c r="L504" t="b">
        <v>1</v>
      </c>
      <c r="M504" t="b">
        <v>0</v>
      </c>
    </row>
    <row r="505" spans="1:13" x14ac:dyDescent="0.3">
      <c r="A505">
        <v>29</v>
      </c>
      <c r="B505" t="s">
        <v>25</v>
      </c>
      <c r="C505" s="1">
        <v>1</v>
      </c>
      <c r="D505" t="s">
        <v>13</v>
      </c>
      <c r="E505" t="s">
        <v>26</v>
      </c>
      <c r="F505" t="s">
        <v>27</v>
      </c>
      <c r="G505" t="s">
        <v>16</v>
      </c>
      <c r="H505">
        <f t="shared" si="7"/>
        <v>504</v>
      </c>
      <c r="I505" t="s">
        <v>24</v>
      </c>
      <c r="J505" s="3">
        <v>10555</v>
      </c>
      <c r="K505" t="b">
        <v>0</v>
      </c>
      <c r="L505" t="b">
        <v>0</v>
      </c>
      <c r="M505" t="b">
        <v>0</v>
      </c>
    </row>
    <row r="506" spans="1:13" x14ac:dyDescent="0.3">
      <c r="A506">
        <v>20</v>
      </c>
      <c r="B506" t="s">
        <v>18</v>
      </c>
      <c r="C506" s="1">
        <v>7</v>
      </c>
      <c r="D506" t="s">
        <v>28</v>
      </c>
      <c r="E506" t="s">
        <v>14</v>
      </c>
      <c r="F506" t="s">
        <v>22</v>
      </c>
      <c r="G506" t="s">
        <v>23</v>
      </c>
      <c r="H506">
        <f t="shared" si="7"/>
        <v>505</v>
      </c>
      <c r="I506" t="s">
        <v>24</v>
      </c>
      <c r="J506" s="3">
        <v>18547</v>
      </c>
      <c r="K506" t="b">
        <v>1</v>
      </c>
      <c r="L506" t="b">
        <v>0</v>
      </c>
      <c r="M506" t="b">
        <v>1</v>
      </c>
    </row>
    <row r="507" spans="1:13" x14ac:dyDescent="0.3">
      <c r="A507">
        <v>18</v>
      </c>
      <c r="B507" t="s">
        <v>25</v>
      </c>
      <c r="C507" s="1">
        <v>5</v>
      </c>
      <c r="D507" t="s">
        <v>28</v>
      </c>
      <c r="E507" t="s">
        <v>20</v>
      </c>
      <c r="F507" t="s">
        <v>15</v>
      </c>
      <c r="G507" t="s">
        <v>16</v>
      </c>
      <c r="H507">
        <f t="shared" si="7"/>
        <v>506</v>
      </c>
      <c r="I507" t="s">
        <v>17</v>
      </c>
      <c r="J507" s="3">
        <v>11563</v>
      </c>
      <c r="K507" t="b">
        <v>0</v>
      </c>
      <c r="L507" t="b">
        <v>0</v>
      </c>
      <c r="M507" t="b">
        <v>0</v>
      </c>
    </row>
    <row r="508" spans="1:13" x14ac:dyDescent="0.3">
      <c r="A508">
        <v>50</v>
      </c>
      <c r="B508" t="s">
        <v>12</v>
      </c>
      <c r="C508" s="1">
        <v>8</v>
      </c>
      <c r="D508" t="s">
        <v>19</v>
      </c>
      <c r="E508" t="s">
        <v>14</v>
      </c>
      <c r="F508" t="s">
        <v>22</v>
      </c>
      <c r="G508" t="s">
        <v>23</v>
      </c>
      <c r="H508">
        <f t="shared" si="7"/>
        <v>507</v>
      </c>
      <c r="I508" t="s">
        <v>21</v>
      </c>
      <c r="J508" s="3">
        <v>11040</v>
      </c>
      <c r="K508" t="b">
        <v>1</v>
      </c>
      <c r="L508" t="b">
        <v>1</v>
      </c>
      <c r="M508" t="b">
        <v>0</v>
      </c>
    </row>
    <row r="509" spans="1:13" x14ac:dyDescent="0.3">
      <c r="A509">
        <v>57</v>
      </c>
      <c r="B509" t="s">
        <v>18</v>
      </c>
      <c r="C509" s="1">
        <v>8</v>
      </c>
      <c r="D509" t="s">
        <v>19</v>
      </c>
      <c r="E509" t="s">
        <v>20</v>
      </c>
      <c r="F509" t="s">
        <v>15</v>
      </c>
      <c r="G509" t="s">
        <v>16</v>
      </c>
      <c r="H509">
        <f t="shared" si="7"/>
        <v>508</v>
      </c>
      <c r="I509" t="s">
        <v>24</v>
      </c>
      <c r="J509" s="3">
        <v>12686</v>
      </c>
      <c r="K509" t="b">
        <v>1</v>
      </c>
      <c r="L509" t="b">
        <v>1</v>
      </c>
      <c r="M509" t="b">
        <v>1</v>
      </c>
    </row>
    <row r="510" spans="1:13" x14ac:dyDescent="0.3">
      <c r="A510">
        <v>27</v>
      </c>
      <c r="B510" t="s">
        <v>25</v>
      </c>
      <c r="C510" s="1">
        <v>9</v>
      </c>
      <c r="D510" t="s">
        <v>13</v>
      </c>
      <c r="E510" t="s">
        <v>20</v>
      </c>
      <c r="F510" t="s">
        <v>27</v>
      </c>
      <c r="G510" t="s">
        <v>29</v>
      </c>
      <c r="H510">
        <f t="shared" si="7"/>
        <v>509</v>
      </c>
      <c r="I510" t="s">
        <v>17</v>
      </c>
      <c r="J510" s="3">
        <v>12553</v>
      </c>
      <c r="K510" t="b">
        <v>1</v>
      </c>
      <c r="L510" t="b">
        <v>1</v>
      </c>
      <c r="M510" t="b">
        <v>1</v>
      </c>
    </row>
    <row r="511" spans="1:13" x14ac:dyDescent="0.3">
      <c r="A511">
        <v>60</v>
      </c>
      <c r="B511" t="s">
        <v>25</v>
      </c>
      <c r="C511" s="1">
        <v>7</v>
      </c>
      <c r="D511" t="s">
        <v>28</v>
      </c>
      <c r="E511" t="s">
        <v>20</v>
      </c>
      <c r="F511" t="s">
        <v>22</v>
      </c>
      <c r="G511" t="s">
        <v>16</v>
      </c>
      <c r="H511">
        <f t="shared" si="7"/>
        <v>510</v>
      </c>
      <c r="I511" t="s">
        <v>21</v>
      </c>
      <c r="J511" s="3">
        <v>11779</v>
      </c>
      <c r="K511" t="b">
        <v>0</v>
      </c>
      <c r="L511" t="b">
        <v>0</v>
      </c>
      <c r="M511" t="b">
        <v>0</v>
      </c>
    </row>
    <row r="512" spans="1:13" x14ac:dyDescent="0.3">
      <c r="A512">
        <v>61</v>
      </c>
      <c r="B512" t="s">
        <v>12</v>
      </c>
      <c r="C512" s="1">
        <v>1</v>
      </c>
      <c r="D512" t="s">
        <v>19</v>
      </c>
      <c r="E512" t="s">
        <v>20</v>
      </c>
      <c r="F512" t="s">
        <v>27</v>
      </c>
      <c r="G512" t="s">
        <v>29</v>
      </c>
      <c r="H512">
        <f t="shared" si="7"/>
        <v>511</v>
      </c>
      <c r="I512" t="s">
        <v>21</v>
      </c>
      <c r="J512" s="3">
        <v>10075</v>
      </c>
      <c r="K512" t="b">
        <v>0</v>
      </c>
      <c r="L512" t="b">
        <v>1</v>
      </c>
      <c r="M512" t="b">
        <v>1</v>
      </c>
    </row>
    <row r="513" spans="1:13" x14ac:dyDescent="0.3">
      <c r="A513">
        <v>46</v>
      </c>
      <c r="B513" t="s">
        <v>18</v>
      </c>
      <c r="C513" s="1">
        <v>3</v>
      </c>
      <c r="D513" t="s">
        <v>19</v>
      </c>
      <c r="E513" t="s">
        <v>20</v>
      </c>
      <c r="F513" t="s">
        <v>15</v>
      </c>
      <c r="G513" t="s">
        <v>29</v>
      </c>
      <c r="H513">
        <f t="shared" si="7"/>
        <v>512</v>
      </c>
      <c r="I513" t="s">
        <v>21</v>
      </c>
      <c r="J513" s="3">
        <v>14326</v>
      </c>
      <c r="K513" t="b">
        <v>1</v>
      </c>
      <c r="L513" t="b">
        <v>0</v>
      </c>
      <c r="M513" t="b">
        <v>1</v>
      </c>
    </row>
    <row r="514" spans="1:13" x14ac:dyDescent="0.3">
      <c r="A514">
        <v>30</v>
      </c>
      <c r="B514" t="s">
        <v>25</v>
      </c>
      <c r="C514" s="1">
        <v>8</v>
      </c>
      <c r="D514" t="s">
        <v>19</v>
      </c>
      <c r="E514" t="s">
        <v>14</v>
      </c>
      <c r="F514" t="s">
        <v>15</v>
      </c>
      <c r="G514" t="s">
        <v>23</v>
      </c>
      <c r="H514">
        <f t="shared" si="7"/>
        <v>513</v>
      </c>
      <c r="I514" t="s">
        <v>24</v>
      </c>
      <c r="J514" s="3">
        <v>15835</v>
      </c>
      <c r="K514" t="b">
        <v>0</v>
      </c>
      <c r="L514" t="b">
        <v>1</v>
      </c>
      <c r="M514" t="b">
        <v>1</v>
      </c>
    </row>
    <row r="515" spans="1:13" x14ac:dyDescent="0.3">
      <c r="A515">
        <v>29</v>
      </c>
      <c r="B515" t="s">
        <v>12</v>
      </c>
      <c r="C515" s="1">
        <v>3</v>
      </c>
      <c r="D515" t="s">
        <v>19</v>
      </c>
      <c r="E515" t="s">
        <v>20</v>
      </c>
      <c r="F515" t="s">
        <v>15</v>
      </c>
      <c r="G515" t="s">
        <v>16</v>
      </c>
      <c r="H515">
        <f t="shared" si="7"/>
        <v>514</v>
      </c>
      <c r="I515" t="s">
        <v>24</v>
      </c>
      <c r="J515" s="3">
        <v>15057</v>
      </c>
      <c r="K515" t="b">
        <v>0</v>
      </c>
      <c r="L515" t="b">
        <v>1</v>
      </c>
      <c r="M515" t="b">
        <v>0</v>
      </c>
    </row>
    <row r="516" spans="1:13" x14ac:dyDescent="0.3">
      <c r="A516">
        <v>48</v>
      </c>
      <c r="B516" t="s">
        <v>25</v>
      </c>
      <c r="C516" s="1">
        <v>8</v>
      </c>
      <c r="D516" t="s">
        <v>19</v>
      </c>
      <c r="E516" t="s">
        <v>14</v>
      </c>
      <c r="F516" t="s">
        <v>27</v>
      </c>
      <c r="G516" t="s">
        <v>23</v>
      </c>
      <c r="H516">
        <f t="shared" ref="H516:I579" si="8">H515+1</f>
        <v>515</v>
      </c>
      <c r="I516" t="s">
        <v>24</v>
      </c>
      <c r="J516" s="3">
        <v>12349</v>
      </c>
      <c r="K516" t="b">
        <v>0</v>
      </c>
      <c r="L516" t="b">
        <v>1</v>
      </c>
      <c r="M516" t="b">
        <v>0</v>
      </c>
    </row>
    <row r="517" spans="1:13" x14ac:dyDescent="0.3">
      <c r="A517">
        <v>63</v>
      </c>
      <c r="B517" t="s">
        <v>18</v>
      </c>
      <c r="C517" s="1">
        <v>1</v>
      </c>
      <c r="D517" t="s">
        <v>19</v>
      </c>
      <c r="E517" t="s">
        <v>20</v>
      </c>
      <c r="F517" t="s">
        <v>15</v>
      </c>
      <c r="G517" t="s">
        <v>16</v>
      </c>
      <c r="H517">
        <f t="shared" si="8"/>
        <v>516</v>
      </c>
      <c r="I517" t="s">
        <v>21</v>
      </c>
      <c r="J517" s="3">
        <v>12773</v>
      </c>
      <c r="K517" t="b">
        <v>1</v>
      </c>
      <c r="L517" t="b">
        <v>1</v>
      </c>
      <c r="M517" t="b">
        <v>1</v>
      </c>
    </row>
    <row r="518" spans="1:13" x14ac:dyDescent="0.3">
      <c r="A518">
        <v>19</v>
      </c>
      <c r="B518" t="s">
        <v>25</v>
      </c>
      <c r="C518" s="1">
        <v>5</v>
      </c>
      <c r="D518" t="s">
        <v>13</v>
      </c>
      <c r="E518" t="s">
        <v>26</v>
      </c>
      <c r="F518" t="s">
        <v>27</v>
      </c>
      <c r="G518" t="s">
        <v>29</v>
      </c>
      <c r="H518">
        <f t="shared" si="8"/>
        <v>517</v>
      </c>
      <c r="I518" t="s">
        <v>24</v>
      </c>
      <c r="J518" s="3">
        <v>12262</v>
      </c>
      <c r="K518" t="b">
        <v>0</v>
      </c>
      <c r="L518" t="b">
        <v>0</v>
      </c>
      <c r="M518" t="b">
        <v>0</v>
      </c>
    </row>
    <row r="519" spans="1:13" x14ac:dyDescent="0.3">
      <c r="A519">
        <v>52</v>
      </c>
      <c r="B519" t="s">
        <v>25</v>
      </c>
      <c r="C519" s="1">
        <v>4</v>
      </c>
      <c r="D519" t="s">
        <v>28</v>
      </c>
      <c r="E519" t="s">
        <v>20</v>
      </c>
      <c r="F519" t="s">
        <v>22</v>
      </c>
      <c r="G519" t="s">
        <v>29</v>
      </c>
      <c r="H519">
        <f t="shared" si="8"/>
        <v>518</v>
      </c>
      <c r="I519" t="s">
        <v>17</v>
      </c>
      <c r="J519" s="3">
        <v>13229</v>
      </c>
      <c r="K519" t="b">
        <v>0</v>
      </c>
      <c r="L519" t="b">
        <v>0</v>
      </c>
      <c r="M519" t="b">
        <v>1</v>
      </c>
    </row>
    <row r="520" spans="1:13" x14ac:dyDescent="0.3">
      <c r="A520">
        <v>40</v>
      </c>
      <c r="B520" t="s">
        <v>25</v>
      </c>
      <c r="C520" s="1">
        <v>5</v>
      </c>
      <c r="D520" t="s">
        <v>28</v>
      </c>
      <c r="E520" t="s">
        <v>26</v>
      </c>
      <c r="F520" t="s">
        <v>15</v>
      </c>
      <c r="G520" t="s">
        <v>16</v>
      </c>
      <c r="H520">
        <f t="shared" si="8"/>
        <v>519</v>
      </c>
      <c r="I520" t="s">
        <v>24</v>
      </c>
      <c r="J520" s="3">
        <v>10392</v>
      </c>
      <c r="K520" t="b">
        <v>1</v>
      </c>
      <c r="L520" t="b">
        <v>0</v>
      </c>
      <c r="M520" t="b">
        <v>1</v>
      </c>
    </row>
    <row r="521" spans="1:13" x14ac:dyDescent="0.3">
      <c r="A521">
        <v>34</v>
      </c>
      <c r="B521" t="s">
        <v>25</v>
      </c>
      <c r="C521" s="1">
        <v>8</v>
      </c>
      <c r="D521" t="s">
        <v>19</v>
      </c>
      <c r="E521" t="s">
        <v>20</v>
      </c>
      <c r="F521" t="s">
        <v>15</v>
      </c>
      <c r="G521" t="s">
        <v>16</v>
      </c>
      <c r="H521">
        <f t="shared" si="8"/>
        <v>520</v>
      </c>
      <c r="I521" t="s">
        <v>24</v>
      </c>
      <c r="J521" s="3">
        <v>11108</v>
      </c>
      <c r="K521" t="b">
        <v>0</v>
      </c>
      <c r="L521" t="b">
        <v>0</v>
      </c>
      <c r="M521" t="b">
        <v>1</v>
      </c>
    </row>
    <row r="522" spans="1:13" x14ac:dyDescent="0.3">
      <c r="A522">
        <v>43</v>
      </c>
      <c r="B522" t="s">
        <v>12</v>
      </c>
      <c r="C522" s="1">
        <v>4</v>
      </c>
      <c r="D522" t="s">
        <v>28</v>
      </c>
      <c r="E522" t="s">
        <v>20</v>
      </c>
      <c r="F522" t="s">
        <v>15</v>
      </c>
      <c r="G522" t="s">
        <v>23</v>
      </c>
      <c r="H522">
        <f t="shared" si="8"/>
        <v>521</v>
      </c>
      <c r="I522" t="s">
        <v>21</v>
      </c>
      <c r="J522" s="3">
        <v>14362</v>
      </c>
      <c r="K522" t="b">
        <v>1</v>
      </c>
      <c r="L522" t="b">
        <v>1</v>
      </c>
      <c r="M522" t="b">
        <v>1</v>
      </c>
    </row>
    <row r="523" spans="1:13" x14ac:dyDescent="0.3">
      <c r="A523">
        <v>25</v>
      </c>
      <c r="B523" t="s">
        <v>12</v>
      </c>
      <c r="C523" s="1">
        <v>4</v>
      </c>
      <c r="D523" t="s">
        <v>28</v>
      </c>
      <c r="E523" t="s">
        <v>20</v>
      </c>
      <c r="F523" t="s">
        <v>22</v>
      </c>
      <c r="G523" t="s">
        <v>16</v>
      </c>
      <c r="H523">
        <f t="shared" si="8"/>
        <v>522</v>
      </c>
      <c r="I523" t="s">
        <v>24</v>
      </c>
      <c r="J523" s="3">
        <v>15188</v>
      </c>
      <c r="K523" t="b">
        <v>0</v>
      </c>
      <c r="L523" t="b">
        <v>0</v>
      </c>
      <c r="M523" t="b">
        <v>1</v>
      </c>
    </row>
    <row r="524" spans="1:13" x14ac:dyDescent="0.3">
      <c r="A524">
        <v>46</v>
      </c>
      <c r="B524" t="s">
        <v>18</v>
      </c>
      <c r="C524" s="1">
        <v>3</v>
      </c>
      <c r="D524" t="s">
        <v>28</v>
      </c>
      <c r="E524" t="s">
        <v>26</v>
      </c>
      <c r="F524" t="s">
        <v>15</v>
      </c>
      <c r="G524" t="s">
        <v>16</v>
      </c>
      <c r="H524">
        <f t="shared" si="8"/>
        <v>523</v>
      </c>
      <c r="I524" t="s">
        <v>17</v>
      </c>
      <c r="J524" s="3">
        <v>18802</v>
      </c>
      <c r="K524" t="b">
        <v>0</v>
      </c>
      <c r="L524" t="b">
        <v>0</v>
      </c>
      <c r="M524" t="b">
        <v>0</v>
      </c>
    </row>
    <row r="525" spans="1:13" x14ac:dyDescent="0.3">
      <c r="A525">
        <v>43</v>
      </c>
      <c r="B525" t="s">
        <v>12</v>
      </c>
      <c r="C525" s="1">
        <v>7</v>
      </c>
      <c r="D525" t="s">
        <v>19</v>
      </c>
      <c r="E525" t="s">
        <v>26</v>
      </c>
      <c r="F525" t="s">
        <v>27</v>
      </c>
      <c r="G525" t="s">
        <v>16</v>
      </c>
      <c r="H525">
        <f t="shared" si="8"/>
        <v>524</v>
      </c>
      <c r="I525" t="s">
        <v>21</v>
      </c>
      <c r="J525" s="3">
        <v>15057</v>
      </c>
      <c r="K525" t="b">
        <v>0</v>
      </c>
      <c r="L525" t="b">
        <v>0</v>
      </c>
      <c r="M525" t="b">
        <v>0</v>
      </c>
    </row>
    <row r="526" spans="1:13" x14ac:dyDescent="0.3">
      <c r="A526">
        <v>27</v>
      </c>
      <c r="B526" t="s">
        <v>12</v>
      </c>
      <c r="C526" s="1">
        <v>3</v>
      </c>
      <c r="D526" t="s">
        <v>19</v>
      </c>
      <c r="E526" t="s">
        <v>20</v>
      </c>
      <c r="F526" t="s">
        <v>27</v>
      </c>
      <c r="G526" t="s">
        <v>23</v>
      </c>
      <c r="H526">
        <f t="shared" si="8"/>
        <v>525</v>
      </c>
      <c r="I526" t="s">
        <v>17</v>
      </c>
      <c r="J526" s="3">
        <v>13998</v>
      </c>
      <c r="K526" t="b">
        <v>0</v>
      </c>
      <c r="L526" t="b">
        <v>1</v>
      </c>
      <c r="M526" t="b">
        <v>0</v>
      </c>
    </row>
    <row r="527" spans="1:13" x14ac:dyDescent="0.3">
      <c r="A527">
        <v>43</v>
      </c>
      <c r="B527" t="s">
        <v>18</v>
      </c>
      <c r="C527" s="1">
        <v>3</v>
      </c>
      <c r="D527" t="s">
        <v>28</v>
      </c>
      <c r="E527" t="s">
        <v>14</v>
      </c>
      <c r="F527" t="s">
        <v>15</v>
      </c>
      <c r="G527" t="s">
        <v>16</v>
      </c>
      <c r="H527">
        <f t="shared" si="8"/>
        <v>526</v>
      </c>
      <c r="I527" t="s">
        <v>21</v>
      </c>
      <c r="J527" s="3">
        <v>18864</v>
      </c>
      <c r="K527" t="b">
        <v>0</v>
      </c>
      <c r="L527" t="b">
        <v>0</v>
      </c>
      <c r="M527" t="b">
        <v>0</v>
      </c>
    </row>
    <row r="528" spans="1:13" x14ac:dyDescent="0.3">
      <c r="A528">
        <v>51</v>
      </c>
      <c r="B528" t="s">
        <v>12</v>
      </c>
      <c r="C528" s="1">
        <v>5</v>
      </c>
      <c r="D528" t="s">
        <v>28</v>
      </c>
      <c r="E528" t="s">
        <v>20</v>
      </c>
      <c r="F528" t="s">
        <v>15</v>
      </c>
      <c r="G528" t="s">
        <v>29</v>
      </c>
      <c r="H528">
        <f t="shared" si="8"/>
        <v>527</v>
      </c>
      <c r="I528" t="s">
        <v>21</v>
      </c>
      <c r="J528" s="3">
        <v>16566</v>
      </c>
      <c r="K528" t="b">
        <v>0</v>
      </c>
      <c r="L528" t="b">
        <v>0</v>
      </c>
      <c r="M528" t="b">
        <v>1</v>
      </c>
    </row>
    <row r="529" spans="1:13" x14ac:dyDescent="0.3">
      <c r="A529">
        <v>58</v>
      </c>
      <c r="B529" t="s">
        <v>12</v>
      </c>
      <c r="C529" s="1">
        <v>5</v>
      </c>
      <c r="D529" t="s">
        <v>19</v>
      </c>
      <c r="E529" t="s">
        <v>26</v>
      </c>
      <c r="F529" t="s">
        <v>22</v>
      </c>
      <c r="G529" t="s">
        <v>23</v>
      </c>
      <c r="H529">
        <f t="shared" si="8"/>
        <v>528</v>
      </c>
      <c r="I529" t="s">
        <v>24</v>
      </c>
      <c r="J529" s="3">
        <v>13677</v>
      </c>
      <c r="K529" t="b">
        <v>1</v>
      </c>
      <c r="L529" t="b">
        <v>1</v>
      </c>
      <c r="M529" t="b">
        <v>1</v>
      </c>
    </row>
    <row r="530" spans="1:13" x14ac:dyDescent="0.3">
      <c r="A530">
        <v>24</v>
      </c>
      <c r="B530" t="s">
        <v>18</v>
      </c>
      <c r="C530" s="1">
        <v>6</v>
      </c>
      <c r="D530" t="s">
        <v>13</v>
      </c>
      <c r="E530" t="s">
        <v>20</v>
      </c>
      <c r="F530" t="s">
        <v>22</v>
      </c>
      <c r="G530" t="s">
        <v>23</v>
      </c>
      <c r="H530">
        <f t="shared" si="8"/>
        <v>529</v>
      </c>
      <c r="I530" t="s">
        <v>17</v>
      </c>
      <c r="J530" s="3">
        <v>15796</v>
      </c>
      <c r="K530" t="b">
        <v>0</v>
      </c>
      <c r="L530" t="b">
        <v>1</v>
      </c>
      <c r="M530" t="b">
        <v>0</v>
      </c>
    </row>
    <row r="531" spans="1:13" x14ac:dyDescent="0.3">
      <c r="A531">
        <v>21</v>
      </c>
      <c r="B531" t="s">
        <v>18</v>
      </c>
      <c r="C531" s="1">
        <v>8</v>
      </c>
      <c r="D531" t="s">
        <v>28</v>
      </c>
      <c r="E531" t="s">
        <v>26</v>
      </c>
      <c r="F531" t="s">
        <v>22</v>
      </c>
      <c r="G531" t="s">
        <v>29</v>
      </c>
      <c r="H531">
        <f t="shared" si="8"/>
        <v>530</v>
      </c>
      <c r="I531" t="s">
        <v>21</v>
      </c>
      <c r="J531" s="3">
        <v>16363</v>
      </c>
      <c r="K531" t="b">
        <v>0</v>
      </c>
      <c r="L531" t="b">
        <v>0</v>
      </c>
      <c r="M531" t="b">
        <v>0</v>
      </c>
    </row>
    <row r="532" spans="1:13" x14ac:dyDescent="0.3">
      <c r="A532">
        <v>62</v>
      </c>
      <c r="B532" t="s">
        <v>18</v>
      </c>
      <c r="C532" s="1">
        <v>6</v>
      </c>
      <c r="D532" t="s">
        <v>13</v>
      </c>
      <c r="E532" t="s">
        <v>26</v>
      </c>
      <c r="F532" t="s">
        <v>15</v>
      </c>
      <c r="G532" t="s">
        <v>29</v>
      </c>
      <c r="H532">
        <f t="shared" si="8"/>
        <v>531</v>
      </c>
      <c r="I532" t="s">
        <v>24</v>
      </c>
      <c r="J532" s="3">
        <v>18123</v>
      </c>
      <c r="K532" t="b">
        <v>0</v>
      </c>
      <c r="L532" t="b">
        <v>0</v>
      </c>
      <c r="M532" t="b">
        <v>1</v>
      </c>
    </row>
    <row r="533" spans="1:13" x14ac:dyDescent="0.3">
      <c r="A533">
        <v>28</v>
      </c>
      <c r="B533" t="s">
        <v>25</v>
      </c>
      <c r="C533" s="1">
        <v>1</v>
      </c>
      <c r="D533" t="s">
        <v>28</v>
      </c>
      <c r="E533" t="s">
        <v>26</v>
      </c>
      <c r="F533" t="s">
        <v>22</v>
      </c>
      <c r="G533" t="s">
        <v>29</v>
      </c>
      <c r="H533">
        <f t="shared" si="8"/>
        <v>532</v>
      </c>
      <c r="I533" t="s">
        <v>21</v>
      </c>
      <c r="J533" s="3">
        <v>18222</v>
      </c>
      <c r="K533" t="b">
        <v>1</v>
      </c>
      <c r="L533" t="b">
        <v>1</v>
      </c>
      <c r="M533" t="b">
        <v>1</v>
      </c>
    </row>
    <row r="534" spans="1:13" x14ac:dyDescent="0.3">
      <c r="A534">
        <v>46</v>
      </c>
      <c r="B534" t="s">
        <v>25</v>
      </c>
      <c r="C534" s="1">
        <v>8</v>
      </c>
      <c r="D534" t="s">
        <v>13</v>
      </c>
      <c r="E534" t="s">
        <v>20</v>
      </c>
      <c r="F534" t="s">
        <v>22</v>
      </c>
      <c r="G534" t="s">
        <v>16</v>
      </c>
      <c r="H534">
        <f t="shared" si="8"/>
        <v>533</v>
      </c>
      <c r="I534" t="s">
        <v>21</v>
      </c>
      <c r="J534" s="3">
        <v>17690</v>
      </c>
      <c r="K534" t="b">
        <v>1</v>
      </c>
      <c r="L534" t="b">
        <v>0</v>
      </c>
      <c r="M534" t="b">
        <v>1</v>
      </c>
    </row>
    <row r="535" spans="1:13" x14ac:dyDescent="0.3">
      <c r="A535">
        <v>53</v>
      </c>
      <c r="B535" t="s">
        <v>18</v>
      </c>
      <c r="C535" s="1">
        <v>8</v>
      </c>
      <c r="D535" t="s">
        <v>13</v>
      </c>
      <c r="E535" t="s">
        <v>26</v>
      </c>
      <c r="F535" t="s">
        <v>27</v>
      </c>
      <c r="G535" t="s">
        <v>29</v>
      </c>
      <c r="H535">
        <f t="shared" si="8"/>
        <v>534</v>
      </c>
      <c r="I535" t="s">
        <v>21</v>
      </c>
      <c r="J535" s="3">
        <v>11400</v>
      </c>
      <c r="K535" t="b">
        <v>1</v>
      </c>
      <c r="L535" t="b">
        <v>1</v>
      </c>
      <c r="M535" t="b">
        <v>0</v>
      </c>
    </row>
    <row r="536" spans="1:13" x14ac:dyDescent="0.3">
      <c r="A536">
        <v>42</v>
      </c>
      <c r="B536" t="s">
        <v>18</v>
      </c>
      <c r="C536" s="1">
        <v>9</v>
      </c>
      <c r="D536" t="s">
        <v>13</v>
      </c>
      <c r="E536" t="s">
        <v>26</v>
      </c>
      <c r="F536" t="s">
        <v>22</v>
      </c>
      <c r="G536" t="s">
        <v>16</v>
      </c>
      <c r="H536">
        <f t="shared" si="8"/>
        <v>535</v>
      </c>
      <c r="I536" t="s">
        <v>21</v>
      </c>
      <c r="J536" s="3">
        <v>14071</v>
      </c>
      <c r="K536" t="b">
        <v>0</v>
      </c>
      <c r="L536" t="b">
        <v>0</v>
      </c>
      <c r="M536" t="b">
        <v>1</v>
      </c>
    </row>
    <row r="537" spans="1:13" x14ac:dyDescent="0.3">
      <c r="A537">
        <v>38</v>
      </c>
      <c r="B537" t="s">
        <v>18</v>
      </c>
      <c r="C537" s="1">
        <v>9</v>
      </c>
      <c r="D537" t="s">
        <v>19</v>
      </c>
      <c r="E537" t="s">
        <v>20</v>
      </c>
      <c r="F537" t="s">
        <v>27</v>
      </c>
      <c r="G537" t="s">
        <v>23</v>
      </c>
      <c r="H537">
        <f t="shared" si="8"/>
        <v>536</v>
      </c>
      <c r="I537" t="s">
        <v>21</v>
      </c>
      <c r="J537" s="3">
        <v>18808</v>
      </c>
      <c r="K537" t="b">
        <v>0</v>
      </c>
      <c r="L537" t="b">
        <v>0</v>
      </c>
      <c r="M537" t="b">
        <v>1</v>
      </c>
    </row>
    <row r="538" spans="1:13" x14ac:dyDescent="0.3">
      <c r="A538">
        <v>53</v>
      </c>
      <c r="B538" t="s">
        <v>25</v>
      </c>
      <c r="C538" s="1">
        <v>2</v>
      </c>
      <c r="D538" t="s">
        <v>13</v>
      </c>
      <c r="E538" t="s">
        <v>26</v>
      </c>
      <c r="F538" t="s">
        <v>27</v>
      </c>
      <c r="G538" t="s">
        <v>23</v>
      </c>
      <c r="H538">
        <f t="shared" si="8"/>
        <v>537</v>
      </c>
      <c r="I538" t="s">
        <v>21</v>
      </c>
      <c r="J538" s="3">
        <v>12786</v>
      </c>
      <c r="K538" t="b">
        <v>1</v>
      </c>
      <c r="L538" t="b">
        <v>0</v>
      </c>
      <c r="M538" t="b">
        <v>0</v>
      </c>
    </row>
    <row r="539" spans="1:13" x14ac:dyDescent="0.3">
      <c r="A539">
        <v>27</v>
      </c>
      <c r="B539" t="s">
        <v>25</v>
      </c>
      <c r="C539" s="1">
        <v>2</v>
      </c>
      <c r="D539" t="s">
        <v>13</v>
      </c>
      <c r="E539" t="s">
        <v>20</v>
      </c>
      <c r="F539" t="s">
        <v>22</v>
      </c>
      <c r="G539" t="s">
        <v>29</v>
      </c>
      <c r="H539">
        <f t="shared" si="8"/>
        <v>538</v>
      </c>
      <c r="I539" t="s">
        <v>24</v>
      </c>
      <c r="J539" s="3">
        <v>17169</v>
      </c>
      <c r="K539" t="b">
        <v>1</v>
      </c>
      <c r="L539" t="b">
        <v>0</v>
      </c>
      <c r="M539" t="b">
        <v>0</v>
      </c>
    </row>
    <row r="540" spans="1:13" x14ac:dyDescent="0.3">
      <c r="A540">
        <v>54</v>
      </c>
      <c r="B540" t="s">
        <v>12</v>
      </c>
      <c r="C540" s="1">
        <v>3</v>
      </c>
      <c r="D540" t="s">
        <v>13</v>
      </c>
      <c r="E540" t="s">
        <v>26</v>
      </c>
      <c r="F540" t="s">
        <v>27</v>
      </c>
      <c r="G540" t="s">
        <v>16</v>
      </c>
      <c r="H540">
        <f t="shared" si="8"/>
        <v>539</v>
      </c>
      <c r="I540" t="s">
        <v>21</v>
      </c>
      <c r="J540" s="3">
        <v>10870</v>
      </c>
      <c r="K540" t="b">
        <v>1</v>
      </c>
      <c r="L540" t="b">
        <v>0</v>
      </c>
      <c r="M540" t="b">
        <v>0</v>
      </c>
    </row>
    <row r="541" spans="1:13" x14ac:dyDescent="0.3">
      <c r="A541">
        <v>26</v>
      </c>
      <c r="B541" t="s">
        <v>12</v>
      </c>
      <c r="C541" s="1">
        <v>1</v>
      </c>
      <c r="D541" t="s">
        <v>28</v>
      </c>
      <c r="E541" t="s">
        <v>14</v>
      </c>
      <c r="F541" t="s">
        <v>15</v>
      </c>
      <c r="G541" t="s">
        <v>29</v>
      </c>
      <c r="H541">
        <f t="shared" si="8"/>
        <v>540</v>
      </c>
      <c r="I541" t="s">
        <v>17</v>
      </c>
      <c r="J541" s="3">
        <v>14196</v>
      </c>
      <c r="K541" t="b">
        <v>0</v>
      </c>
      <c r="L541" t="b">
        <v>1</v>
      </c>
      <c r="M541" t="b">
        <v>1</v>
      </c>
    </row>
    <row r="542" spans="1:13" x14ac:dyDescent="0.3">
      <c r="A542">
        <v>41</v>
      </c>
      <c r="B542" t="s">
        <v>18</v>
      </c>
      <c r="C542" s="1">
        <v>4</v>
      </c>
      <c r="D542" t="s">
        <v>13</v>
      </c>
      <c r="E542" t="s">
        <v>14</v>
      </c>
      <c r="F542" t="s">
        <v>15</v>
      </c>
      <c r="G542" t="s">
        <v>29</v>
      </c>
      <c r="H542">
        <f t="shared" si="8"/>
        <v>541</v>
      </c>
      <c r="I542" t="s">
        <v>24</v>
      </c>
      <c r="J542" s="3">
        <v>19604</v>
      </c>
      <c r="K542" t="b">
        <v>1</v>
      </c>
      <c r="L542" t="b">
        <v>1</v>
      </c>
      <c r="M542" t="b">
        <v>1</v>
      </c>
    </row>
    <row r="543" spans="1:13" x14ac:dyDescent="0.3">
      <c r="A543">
        <v>52</v>
      </c>
      <c r="B543" t="s">
        <v>25</v>
      </c>
      <c r="C543" s="1">
        <v>4</v>
      </c>
      <c r="D543" t="s">
        <v>28</v>
      </c>
      <c r="E543" t="s">
        <v>26</v>
      </c>
      <c r="F543" t="s">
        <v>22</v>
      </c>
      <c r="G543" t="s">
        <v>16</v>
      </c>
      <c r="H543">
        <f t="shared" si="8"/>
        <v>542</v>
      </c>
      <c r="I543" t="s">
        <v>17</v>
      </c>
      <c r="J543" s="3">
        <v>12739</v>
      </c>
      <c r="K543" t="b">
        <v>0</v>
      </c>
      <c r="L543" t="b">
        <v>0</v>
      </c>
      <c r="M543" t="b">
        <v>0</v>
      </c>
    </row>
    <row r="544" spans="1:13" x14ac:dyDescent="0.3">
      <c r="A544">
        <v>52</v>
      </c>
      <c r="B544" t="s">
        <v>25</v>
      </c>
      <c r="C544" s="1">
        <v>9</v>
      </c>
      <c r="D544" t="s">
        <v>13</v>
      </c>
      <c r="E544" t="s">
        <v>14</v>
      </c>
      <c r="F544" t="s">
        <v>15</v>
      </c>
      <c r="G544" t="s">
        <v>29</v>
      </c>
      <c r="H544">
        <f t="shared" si="8"/>
        <v>543</v>
      </c>
      <c r="I544" t="s">
        <v>21</v>
      </c>
      <c r="J544" s="3">
        <v>10940</v>
      </c>
      <c r="K544" t="b">
        <v>0</v>
      </c>
      <c r="L544" t="b">
        <v>0</v>
      </c>
      <c r="M544" t="b">
        <v>1</v>
      </c>
    </row>
    <row r="545" spans="1:13" x14ac:dyDescent="0.3">
      <c r="A545">
        <v>53</v>
      </c>
      <c r="B545" t="s">
        <v>25</v>
      </c>
      <c r="C545" s="1">
        <v>9</v>
      </c>
      <c r="D545" t="s">
        <v>13</v>
      </c>
      <c r="E545" t="s">
        <v>20</v>
      </c>
      <c r="F545" t="s">
        <v>27</v>
      </c>
      <c r="G545" t="s">
        <v>23</v>
      </c>
      <c r="H545">
        <f t="shared" si="8"/>
        <v>544</v>
      </c>
      <c r="I545" t="s">
        <v>17</v>
      </c>
      <c r="J545" s="3">
        <v>10340</v>
      </c>
      <c r="K545" t="b">
        <v>0</v>
      </c>
      <c r="L545" t="b">
        <v>0</v>
      </c>
      <c r="M545" t="b">
        <v>1</v>
      </c>
    </row>
    <row r="546" spans="1:13" x14ac:dyDescent="0.3">
      <c r="A546">
        <v>35</v>
      </c>
      <c r="B546" t="s">
        <v>18</v>
      </c>
      <c r="C546" s="1">
        <v>9</v>
      </c>
      <c r="D546" t="s">
        <v>19</v>
      </c>
      <c r="E546" t="s">
        <v>14</v>
      </c>
      <c r="F546" t="s">
        <v>15</v>
      </c>
      <c r="G546" t="s">
        <v>29</v>
      </c>
      <c r="H546">
        <f t="shared" si="8"/>
        <v>545</v>
      </c>
      <c r="I546" t="s">
        <v>21</v>
      </c>
      <c r="J546" s="3">
        <v>17422</v>
      </c>
      <c r="K546" t="b">
        <v>1</v>
      </c>
      <c r="L546" t="b">
        <v>1</v>
      </c>
      <c r="M546" t="b">
        <v>1</v>
      </c>
    </row>
    <row r="547" spans="1:13" x14ac:dyDescent="0.3">
      <c r="A547">
        <v>56</v>
      </c>
      <c r="B547" t="s">
        <v>12</v>
      </c>
      <c r="C547" s="1">
        <v>7</v>
      </c>
      <c r="D547" t="s">
        <v>28</v>
      </c>
      <c r="E547" t="s">
        <v>26</v>
      </c>
      <c r="F547" t="s">
        <v>22</v>
      </c>
      <c r="G547" t="s">
        <v>16</v>
      </c>
      <c r="H547">
        <f t="shared" si="8"/>
        <v>546</v>
      </c>
      <c r="I547" t="s">
        <v>21</v>
      </c>
      <c r="J547" s="3">
        <v>14133</v>
      </c>
      <c r="K547" t="b">
        <v>0</v>
      </c>
      <c r="L547" t="b">
        <v>1</v>
      </c>
      <c r="M547" t="b">
        <v>0</v>
      </c>
    </row>
    <row r="548" spans="1:13" x14ac:dyDescent="0.3">
      <c r="A548">
        <v>49</v>
      </c>
      <c r="B548" t="s">
        <v>18</v>
      </c>
      <c r="C548" s="1">
        <v>2</v>
      </c>
      <c r="D548" t="s">
        <v>13</v>
      </c>
      <c r="E548" t="s">
        <v>26</v>
      </c>
      <c r="F548" t="s">
        <v>22</v>
      </c>
      <c r="G548" t="s">
        <v>16</v>
      </c>
      <c r="H548">
        <f t="shared" si="8"/>
        <v>547</v>
      </c>
      <c r="I548" t="s">
        <v>24</v>
      </c>
      <c r="J548" s="3">
        <v>10659</v>
      </c>
      <c r="K548" t="b">
        <v>1</v>
      </c>
      <c r="L548" t="b">
        <v>1</v>
      </c>
      <c r="M548" t="b">
        <v>0</v>
      </c>
    </row>
    <row r="549" spans="1:13" x14ac:dyDescent="0.3">
      <c r="A549">
        <v>41</v>
      </c>
      <c r="B549" t="s">
        <v>12</v>
      </c>
      <c r="C549" s="1">
        <v>5</v>
      </c>
      <c r="D549" t="s">
        <v>28</v>
      </c>
      <c r="E549" t="s">
        <v>20</v>
      </c>
      <c r="F549" t="s">
        <v>27</v>
      </c>
      <c r="G549" t="s">
        <v>23</v>
      </c>
      <c r="H549">
        <f t="shared" si="8"/>
        <v>548</v>
      </c>
      <c r="I549" t="s">
        <v>24</v>
      </c>
      <c r="J549" s="3">
        <v>19752</v>
      </c>
      <c r="K549" t="b">
        <v>1</v>
      </c>
      <c r="L549" t="b">
        <v>1</v>
      </c>
      <c r="M549" t="b">
        <v>1</v>
      </c>
    </row>
    <row r="550" spans="1:13" x14ac:dyDescent="0.3">
      <c r="A550">
        <v>40</v>
      </c>
      <c r="B550" t="s">
        <v>12</v>
      </c>
      <c r="C550" s="1">
        <v>4</v>
      </c>
      <c r="D550" t="s">
        <v>28</v>
      </c>
      <c r="E550" t="s">
        <v>26</v>
      </c>
      <c r="F550" t="s">
        <v>22</v>
      </c>
      <c r="G550" t="s">
        <v>16</v>
      </c>
      <c r="H550">
        <f t="shared" si="8"/>
        <v>549</v>
      </c>
      <c r="I550" t="s">
        <v>21</v>
      </c>
      <c r="J550" s="3">
        <v>13457</v>
      </c>
      <c r="K550" t="b">
        <v>1</v>
      </c>
      <c r="L550" t="b">
        <v>1</v>
      </c>
      <c r="M550" t="b">
        <v>1</v>
      </c>
    </row>
    <row r="551" spans="1:13" x14ac:dyDescent="0.3">
      <c r="A551">
        <v>49</v>
      </c>
      <c r="B551" t="s">
        <v>18</v>
      </c>
      <c r="C551" s="1">
        <v>8</v>
      </c>
      <c r="D551" t="s">
        <v>19</v>
      </c>
      <c r="E551" t="s">
        <v>20</v>
      </c>
      <c r="F551" t="s">
        <v>15</v>
      </c>
      <c r="G551" t="s">
        <v>16</v>
      </c>
      <c r="H551">
        <f t="shared" si="8"/>
        <v>550</v>
      </c>
      <c r="I551" t="s">
        <v>24</v>
      </c>
      <c r="J551" s="3">
        <v>19848</v>
      </c>
      <c r="K551" t="b">
        <v>1</v>
      </c>
      <c r="L551" t="b">
        <v>1</v>
      </c>
      <c r="M551" t="b">
        <v>1</v>
      </c>
    </row>
    <row r="552" spans="1:13" x14ac:dyDescent="0.3">
      <c r="A552">
        <v>54</v>
      </c>
      <c r="B552" t="s">
        <v>12</v>
      </c>
      <c r="C552" s="1">
        <v>2</v>
      </c>
      <c r="D552" t="s">
        <v>19</v>
      </c>
      <c r="E552" t="s">
        <v>14</v>
      </c>
      <c r="F552" t="s">
        <v>22</v>
      </c>
      <c r="G552" t="s">
        <v>23</v>
      </c>
      <c r="H552">
        <f t="shared" si="8"/>
        <v>551</v>
      </c>
      <c r="I552" t="s">
        <v>17</v>
      </c>
      <c r="J552" s="3">
        <v>12975</v>
      </c>
      <c r="K552" t="b">
        <v>0</v>
      </c>
      <c r="L552" t="b">
        <v>1</v>
      </c>
      <c r="M552" t="b">
        <v>1</v>
      </c>
    </row>
    <row r="553" spans="1:13" x14ac:dyDescent="0.3">
      <c r="A553">
        <v>29</v>
      </c>
      <c r="B553" t="s">
        <v>12</v>
      </c>
      <c r="C553" s="1">
        <v>6</v>
      </c>
      <c r="D553" t="s">
        <v>19</v>
      </c>
      <c r="E553" t="s">
        <v>14</v>
      </c>
      <c r="F553" t="s">
        <v>27</v>
      </c>
      <c r="G553" t="s">
        <v>29</v>
      </c>
      <c r="H553">
        <f t="shared" si="8"/>
        <v>552</v>
      </c>
      <c r="I553" t="s">
        <v>24</v>
      </c>
      <c r="J553" s="3">
        <v>19241</v>
      </c>
      <c r="K553" t="b">
        <v>0</v>
      </c>
      <c r="L553" t="b">
        <v>1</v>
      </c>
      <c r="M553" t="b">
        <v>0</v>
      </c>
    </row>
    <row r="554" spans="1:13" x14ac:dyDescent="0.3">
      <c r="A554">
        <v>30</v>
      </c>
      <c r="B554" t="s">
        <v>25</v>
      </c>
      <c r="C554" s="1">
        <v>5</v>
      </c>
      <c r="D554" t="s">
        <v>19</v>
      </c>
      <c r="E554" t="s">
        <v>20</v>
      </c>
      <c r="F554" t="s">
        <v>22</v>
      </c>
      <c r="G554" t="s">
        <v>23</v>
      </c>
      <c r="H554">
        <f t="shared" si="8"/>
        <v>553</v>
      </c>
      <c r="I554" t="s">
        <v>24</v>
      </c>
      <c r="J554" s="3">
        <v>10453</v>
      </c>
      <c r="K554" t="b">
        <v>0</v>
      </c>
      <c r="L554" t="b">
        <v>0</v>
      </c>
      <c r="M554" t="b">
        <v>0</v>
      </c>
    </row>
    <row r="555" spans="1:13" x14ac:dyDescent="0.3">
      <c r="A555">
        <v>40</v>
      </c>
      <c r="B555" t="s">
        <v>12</v>
      </c>
      <c r="C555" s="1">
        <v>2</v>
      </c>
      <c r="D555" t="s">
        <v>19</v>
      </c>
      <c r="E555" t="s">
        <v>20</v>
      </c>
      <c r="F555" t="s">
        <v>15</v>
      </c>
      <c r="G555" t="s">
        <v>29</v>
      </c>
      <c r="H555">
        <f t="shared" si="8"/>
        <v>554</v>
      </c>
      <c r="I555" t="s">
        <v>17</v>
      </c>
      <c r="J555" s="3">
        <v>19896</v>
      </c>
      <c r="K555" t="b">
        <v>0</v>
      </c>
      <c r="L555" t="b">
        <v>1</v>
      </c>
      <c r="M555" t="b">
        <v>1</v>
      </c>
    </row>
    <row r="556" spans="1:13" x14ac:dyDescent="0.3">
      <c r="A556">
        <v>42</v>
      </c>
      <c r="B556" t="s">
        <v>18</v>
      </c>
      <c r="C556" s="1">
        <v>1</v>
      </c>
      <c r="D556" t="s">
        <v>19</v>
      </c>
      <c r="E556" t="s">
        <v>26</v>
      </c>
      <c r="F556" t="s">
        <v>27</v>
      </c>
      <c r="G556" t="s">
        <v>23</v>
      </c>
      <c r="H556">
        <f t="shared" si="8"/>
        <v>555</v>
      </c>
      <c r="I556" t="s">
        <v>24</v>
      </c>
      <c r="J556" s="3">
        <v>18184</v>
      </c>
      <c r="K556" t="b">
        <v>1</v>
      </c>
      <c r="L556" t="b">
        <v>1</v>
      </c>
      <c r="M556" t="b">
        <v>1</v>
      </c>
    </row>
    <row r="557" spans="1:13" x14ac:dyDescent="0.3">
      <c r="A557">
        <v>52</v>
      </c>
      <c r="B557" t="s">
        <v>18</v>
      </c>
      <c r="C557" s="1">
        <v>8</v>
      </c>
      <c r="D557" t="s">
        <v>19</v>
      </c>
      <c r="E557" t="s">
        <v>14</v>
      </c>
      <c r="F557" t="s">
        <v>15</v>
      </c>
      <c r="G557" t="s">
        <v>29</v>
      </c>
      <c r="H557">
        <f t="shared" si="8"/>
        <v>556</v>
      </c>
      <c r="I557" t="s">
        <v>21</v>
      </c>
      <c r="J557" s="3">
        <v>15442</v>
      </c>
      <c r="K557" t="b">
        <v>1</v>
      </c>
      <c r="L557" t="b">
        <v>1</v>
      </c>
      <c r="M557" t="b">
        <v>0</v>
      </c>
    </row>
    <row r="558" spans="1:13" x14ac:dyDescent="0.3">
      <c r="A558">
        <v>58</v>
      </c>
      <c r="B558" t="s">
        <v>12</v>
      </c>
      <c r="C558" s="1">
        <v>2</v>
      </c>
      <c r="D558" t="s">
        <v>19</v>
      </c>
      <c r="E558" t="s">
        <v>20</v>
      </c>
      <c r="F558" t="s">
        <v>27</v>
      </c>
      <c r="G558" t="s">
        <v>23</v>
      </c>
      <c r="H558">
        <f t="shared" si="8"/>
        <v>557</v>
      </c>
      <c r="I558" t="s">
        <v>17</v>
      </c>
      <c r="J558" s="3">
        <v>10818</v>
      </c>
      <c r="K558" t="b">
        <v>1</v>
      </c>
      <c r="L558" t="b">
        <v>1</v>
      </c>
      <c r="M558" t="b">
        <v>1</v>
      </c>
    </row>
    <row r="559" spans="1:13" x14ac:dyDescent="0.3">
      <c r="A559">
        <v>47</v>
      </c>
      <c r="B559" t="s">
        <v>25</v>
      </c>
      <c r="C559" s="1">
        <v>7</v>
      </c>
      <c r="D559" t="s">
        <v>13</v>
      </c>
      <c r="E559" t="s">
        <v>14</v>
      </c>
      <c r="F559" t="s">
        <v>22</v>
      </c>
      <c r="G559" t="s">
        <v>29</v>
      </c>
      <c r="H559">
        <f t="shared" si="8"/>
        <v>558</v>
      </c>
      <c r="I559" t="s">
        <v>21</v>
      </c>
      <c r="J559" s="3">
        <v>14868</v>
      </c>
      <c r="K559" t="b">
        <v>1</v>
      </c>
      <c r="L559" t="b">
        <v>0</v>
      </c>
      <c r="M559" t="b">
        <v>0</v>
      </c>
    </row>
    <row r="560" spans="1:13" x14ac:dyDescent="0.3">
      <c r="A560">
        <v>34</v>
      </c>
      <c r="B560" t="s">
        <v>25</v>
      </c>
      <c r="C560" s="1">
        <v>9</v>
      </c>
      <c r="D560" t="s">
        <v>28</v>
      </c>
      <c r="E560" t="s">
        <v>20</v>
      </c>
      <c r="F560" t="s">
        <v>27</v>
      </c>
      <c r="G560" t="s">
        <v>23</v>
      </c>
      <c r="H560">
        <f t="shared" si="8"/>
        <v>559</v>
      </c>
      <c r="I560" t="s">
        <v>17</v>
      </c>
      <c r="J560" s="3">
        <v>10012</v>
      </c>
      <c r="K560" t="b">
        <v>0</v>
      </c>
      <c r="L560" t="b">
        <v>1</v>
      </c>
      <c r="M560" t="b">
        <v>1</v>
      </c>
    </row>
    <row r="561" spans="1:13" x14ac:dyDescent="0.3">
      <c r="A561">
        <v>37</v>
      </c>
      <c r="B561" t="s">
        <v>12</v>
      </c>
      <c r="C561" s="1">
        <v>9</v>
      </c>
      <c r="D561" t="s">
        <v>19</v>
      </c>
      <c r="E561" t="s">
        <v>14</v>
      </c>
      <c r="F561" t="s">
        <v>27</v>
      </c>
      <c r="G561" t="s">
        <v>29</v>
      </c>
      <c r="H561">
        <f t="shared" si="8"/>
        <v>560</v>
      </c>
      <c r="I561" t="s">
        <v>21</v>
      </c>
      <c r="J561" s="3">
        <v>17727</v>
      </c>
      <c r="K561" t="b">
        <v>1</v>
      </c>
      <c r="L561" t="b">
        <v>0</v>
      </c>
      <c r="M561" t="b">
        <v>0</v>
      </c>
    </row>
    <row r="562" spans="1:13" x14ac:dyDescent="0.3">
      <c r="A562">
        <v>42</v>
      </c>
      <c r="B562" t="s">
        <v>12</v>
      </c>
      <c r="C562" s="1">
        <v>8</v>
      </c>
      <c r="D562" t="s">
        <v>19</v>
      </c>
      <c r="E562" t="s">
        <v>26</v>
      </c>
      <c r="F562" t="s">
        <v>22</v>
      </c>
      <c r="G562" t="s">
        <v>23</v>
      </c>
      <c r="H562">
        <f t="shared" si="8"/>
        <v>561</v>
      </c>
      <c r="I562" t="s">
        <v>21</v>
      </c>
      <c r="J562" s="3">
        <v>10920</v>
      </c>
      <c r="K562" t="b">
        <v>0</v>
      </c>
      <c r="L562" t="b">
        <v>0</v>
      </c>
      <c r="M562" t="b">
        <v>1</v>
      </c>
    </row>
    <row r="563" spans="1:13" x14ac:dyDescent="0.3">
      <c r="A563">
        <v>39</v>
      </c>
      <c r="B563" t="s">
        <v>18</v>
      </c>
      <c r="C563" s="1">
        <v>9</v>
      </c>
      <c r="D563" t="s">
        <v>28</v>
      </c>
      <c r="E563" t="s">
        <v>14</v>
      </c>
      <c r="F563" t="s">
        <v>15</v>
      </c>
      <c r="G563" t="s">
        <v>16</v>
      </c>
      <c r="H563">
        <f t="shared" si="8"/>
        <v>562</v>
      </c>
      <c r="I563" t="s">
        <v>24</v>
      </c>
      <c r="J563" s="3">
        <v>14920</v>
      </c>
      <c r="K563" t="b">
        <v>1</v>
      </c>
      <c r="L563" t="b">
        <v>0</v>
      </c>
      <c r="M563" t="b">
        <v>1</v>
      </c>
    </row>
    <row r="564" spans="1:13" x14ac:dyDescent="0.3">
      <c r="A564">
        <v>30</v>
      </c>
      <c r="B564" t="s">
        <v>12</v>
      </c>
      <c r="C564" s="1">
        <v>2</v>
      </c>
      <c r="D564" t="s">
        <v>13</v>
      </c>
      <c r="E564" t="s">
        <v>14</v>
      </c>
      <c r="F564" t="s">
        <v>22</v>
      </c>
      <c r="G564" t="s">
        <v>29</v>
      </c>
      <c r="H564">
        <f t="shared" si="8"/>
        <v>563</v>
      </c>
      <c r="I564" t="s">
        <v>21</v>
      </c>
      <c r="J564" s="3">
        <v>12418</v>
      </c>
      <c r="K564" t="b">
        <v>1</v>
      </c>
      <c r="L564" t="b">
        <v>1</v>
      </c>
      <c r="M564" t="b">
        <v>0</v>
      </c>
    </row>
    <row r="565" spans="1:13" x14ac:dyDescent="0.3">
      <c r="A565">
        <v>36</v>
      </c>
      <c r="B565" t="s">
        <v>25</v>
      </c>
      <c r="C565" s="1">
        <v>6</v>
      </c>
      <c r="D565" t="s">
        <v>28</v>
      </c>
      <c r="E565" t="s">
        <v>14</v>
      </c>
      <c r="F565" t="s">
        <v>27</v>
      </c>
      <c r="G565" t="s">
        <v>23</v>
      </c>
      <c r="H565">
        <f t="shared" si="8"/>
        <v>564</v>
      </c>
      <c r="I565" t="s">
        <v>24</v>
      </c>
      <c r="J565" s="3">
        <v>19506</v>
      </c>
      <c r="K565" t="b">
        <v>1</v>
      </c>
      <c r="L565" t="b">
        <v>1</v>
      </c>
      <c r="M565" t="b">
        <v>0</v>
      </c>
    </row>
    <row r="566" spans="1:13" x14ac:dyDescent="0.3">
      <c r="A566">
        <v>53</v>
      </c>
      <c r="B566" t="s">
        <v>12</v>
      </c>
      <c r="C566" s="1">
        <v>4</v>
      </c>
      <c r="D566" t="s">
        <v>28</v>
      </c>
      <c r="E566" t="s">
        <v>14</v>
      </c>
      <c r="F566" t="s">
        <v>22</v>
      </c>
      <c r="G566" t="s">
        <v>29</v>
      </c>
      <c r="H566">
        <f t="shared" si="8"/>
        <v>565</v>
      </c>
      <c r="I566" t="s">
        <v>17</v>
      </c>
      <c r="J566" s="3">
        <v>16475</v>
      </c>
      <c r="K566" t="b">
        <v>1</v>
      </c>
      <c r="L566" t="b">
        <v>1</v>
      </c>
      <c r="M566" t="b">
        <v>1</v>
      </c>
    </row>
    <row r="567" spans="1:13" x14ac:dyDescent="0.3">
      <c r="A567">
        <v>29</v>
      </c>
      <c r="B567" t="s">
        <v>18</v>
      </c>
      <c r="C567" s="1">
        <v>4</v>
      </c>
      <c r="D567" t="s">
        <v>19</v>
      </c>
      <c r="E567" t="s">
        <v>14</v>
      </c>
      <c r="F567" t="s">
        <v>27</v>
      </c>
      <c r="G567" t="s">
        <v>29</v>
      </c>
      <c r="H567">
        <f t="shared" si="8"/>
        <v>566</v>
      </c>
      <c r="I567" t="s">
        <v>21</v>
      </c>
      <c r="J567" s="3">
        <v>12017</v>
      </c>
      <c r="K567" t="b">
        <v>0</v>
      </c>
      <c r="L567" t="b">
        <v>0</v>
      </c>
      <c r="M567" t="b">
        <v>1</v>
      </c>
    </row>
    <row r="568" spans="1:13" x14ac:dyDescent="0.3">
      <c r="A568">
        <v>58</v>
      </c>
      <c r="B568" t="s">
        <v>18</v>
      </c>
      <c r="C568" s="1">
        <v>5</v>
      </c>
      <c r="D568" t="s">
        <v>28</v>
      </c>
      <c r="E568" t="s">
        <v>26</v>
      </c>
      <c r="F568" t="s">
        <v>22</v>
      </c>
      <c r="G568" t="s">
        <v>23</v>
      </c>
      <c r="H568">
        <f t="shared" si="8"/>
        <v>567</v>
      </c>
      <c r="I568" t="s">
        <v>21</v>
      </c>
      <c r="J568" s="3">
        <v>17957</v>
      </c>
      <c r="K568" t="b">
        <v>0</v>
      </c>
      <c r="L568" t="b">
        <v>0</v>
      </c>
      <c r="M568" t="b">
        <v>0</v>
      </c>
    </row>
    <row r="569" spans="1:13" x14ac:dyDescent="0.3">
      <c r="A569">
        <v>36</v>
      </c>
      <c r="B569" t="s">
        <v>18</v>
      </c>
      <c r="C569" s="1">
        <v>3</v>
      </c>
      <c r="D569" t="s">
        <v>28</v>
      </c>
      <c r="E569" t="s">
        <v>20</v>
      </c>
      <c r="F569" t="s">
        <v>22</v>
      </c>
      <c r="G569" t="s">
        <v>29</v>
      </c>
      <c r="H569">
        <f t="shared" si="8"/>
        <v>568</v>
      </c>
      <c r="I569" t="s">
        <v>17</v>
      </c>
      <c r="J569" s="3">
        <v>19420</v>
      </c>
      <c r="K569" t="b">
        <v>0</v>
      </c>
      <c r="L569" t="b">
        <v>0</v>
      </c>
      <c r="M569" t="b">
        <v>0</v>
      </c>
    </row>
    <row r="570" spans="1:13" x14ac:dyDescent="0.3">
      <c r="A570">
        <v>29</v>
      </c>
      <c r="B570" t="s">
        <v>18</v>
      </c>
      <c r="C570" s="1">
        <v>1</v>
      </c>
      <c r="D570" t="s">
        <v>19</v>
      </c>
      <c r="E570" t="s">
        <v>14</v>
      </c>
      <c r="F570" t="s">
        <v>15</v>
      </c>
      <c r="G570" t="s">
        <v>23</v>
      </c>
      <c r="H570">
        <f t="shared" si="8"/>
        <v>569</v>
      </c>
      <c r="I570" t="s">
        <v>17</v>
      </c>
      <c r="J570" s="3">
        <v>14792</v>
      </c>
      <c r="K570" t="b">
        <v>0</v>
      </c>
      <c r="L570" t="b">
        <v>0</v>
      </c>
      <c r="M570" t="b">
        <v>1</v>
      </c>
    </row>
    <row r="571" spans="1:13" x14ac:dyDescent="0.3">
      <c r="A571">
        <v>26</v>
      </c>
      <c r="B571" t="s">
        <v>18</v>
      </c>
      <c r="C571" s="1">
        <v>8</v>
      </c>
      <c r="D571" t="s">
        <v>19</v>
      </c>
      <c r="E571" t="s">
        <v>26</v>
      </c>
      <c r="F571" t="s">
        <v>27</v>
      </c>
      <c r="G571" t="s">
        <v>16</v>
      </c>
      <c r="H571">
        <f t="shared" si="8"/>
        <v>570</v>
      </c>
      <c r="I571" t="s">
        <v>21</v>
      </c>
      <c r="J571" s="3">
        <v>16830</v>
      </c>
      <c r="K571" t="b">
        <v>1</v>
      </c>
      <c r="L571" t="b">
        <v>1</v>
      </c>
      <c r="M571" t="b">
        <v>1</v>
      </c>
    </row>
    <row r="572" spans="1:13" x14ac:dyDescent="0.3">
      <c r="A572">
        <v>24</v>
      </c>
      <c r="B572" t="s">
        <v>12</v>
      </c>
      <c r="C572" s="1">
        <v>5</v>
      </c>
      <c r="D572" t="s">
        <v>19</v>
      </c>
      <c r="E572" t="s">
        <v>14</v>
      </c>
      <c r="F572" t="s">
        <v>15</v>
      </c>
      <c r="G572" t="s">
        <v>29</v>
      </c>
      <c r="H572">
        <f t="shared" si="8"/>
        <v>571</v>
      </c>
      <c r="I572" t="s">
        <v>17</v>
      </c>
      <c r="J572" s="3">
        <v>12434</v>
      </c>
      <c r="K572" t="b">
        <v>1</v>
      </c>
      <c r="L572" t="b">
        <v>1</v>
      </c>
      <c r="M572" t="b">
        <v>0</v>
      </c>
    </row>
    <row r="573" spans="1:13" x14ac:dyDescent="0.3">
      <c r="A573">
        <v>45</v>
      </c>
      <c r="B573" t="s">
        <v>12</v>
      </c>
      <c r="C573" s="1">
        <v>3</v>
      </c>
      <c r="D573" t="s">
        <v>19</v>
      </c>
      <c r="E573" t="s">
        <v>14</v>
      </c>
      <c r="F573" t="s">
        <v>27</v>
      </c>
      <c r="G573" t="s">
        <v>16</v>
      </c>
      <c r="H573">
        <f t="shared" si="8"/>
        <v>572</v>
      </c>
      <c r="I573" t="s">
        <v>24</v>
      </c>
      <c r="J573" s="3">
        <v>12868</v>
      </c>
      <c r="K573" t="b">
        <v>0</v>
      </c>
      <c r="L573" t="b">
        <v>1</v>
      </c>
      <c r="M573" t="b">
        <v>0</v>
      </c>
    </row>
    <row r="574" spans="1:13" x14ac:dyDescent="0.3">
      <c r="A574">
        <v>31</v>
      </c>
      <c r="B574" t="s">
        <v>12</v>
      </c>
      <c r="C574" s="1">
        <v>7</v>
      </c>
      <c r="D574" t="s">
        <v>28</v>
      </c>
      <c r="E574" t="s">
        <v>20</v>
      </c>
      <c r="F574" t="s">
        <v>22</v>
      </c>
      <c r="G574" t="s">
        <v>29</v>
      </c>
      <c r="H574">
        <f t="shared" si="8"/>
        <v>573</v>
      </c>
      <c r="I574" t="s">
        <v>17</v>
      </c>
      <c r="J574" s="3">
        <v>11438</v>
      </c>
      <c r="K574" t="b">
        <v>0</v>
      </c>
      <c r="L574" t="b">
        <v>0</v>
      </c>
      <c r="M574" t="b">
        <v>0</v>
      </c>
    </row>
    <row r="575" spans="1:13" x14ac:dyDescent="0.3">
      <c r="A575">
        <v>48</v>
      </c>
      <c r="B575" t="s">
        <v>12</v>
      </c>
      <c r="C575" s="1">
        <v>7</v>
      </c>
      <c r="D575" t="s">
        <v>28</v>
      </c>
      <c r="E575" t="s">
        <v>14</v>
      </c>
      <c r="F575" t="s">
        <v>27</v>
      </c>
      <c r="G575" t="s">
        <v>29</v>
      </c>
      <c r="H575">
        <f t="shared" si="8"/>
        <v>574</v>
      </c>
      <c r="I575" t="s">
        <v>17</v>
      </c>
      <c r="J575" s="3">
        <v>13543</v>
      </c>
      <c r="K575" t="b">
        <v>1</v>
      </c>
      <c r="L575" t="b">
        <v>0</v>
      </c>
      <c r="M575" t="b">
        <v>0</v>
      </c>
    </row>
    <row r="576" spans="1:13" x14ac:dyDescent="0.3">
      <c r="A576">
        <v>36</v>
      </c>
      <c r="B576" t="s">
        <v>18</v>
      </c>
      <c r="C576" s="1">
        <v>1</v>
      </c>
      <c r="D576" t="s">
        <v>13</v>
      </c>
      <c r="E576" t="s">
        <v>26</v>
      </c>
      <c r="F576" t="s">
        <v>15</v>
      </c>
      <c r="G576" t="s">
        <v>29</v>
      </c>
      <c r="H576">
        <f t="shared" si="8"/>
        <v>575</v>
      </c>
      <c r="I576" t="s">
        <v>21</v>
      </c>
      <c r="J576" s="3">
        <v>11781</v>
      </c>
      <c r="K576" t="b">
        <v>1</v>
      </c>
      <c r="L576" t="b">
        <v>1</v>
      </c>
      <c r="M576" t="b">
        <v>0</v>
      </c>
    </row>
    <row r="577" spans="1:13" x14ac:dyDescent="0.3">
      <c r="A577">
        <v>64</v>
      </c>
      <c r="B577" t="s">
        <v>25</v>
      </c>
      <c r="C577" s="1">
        <v>9</v>
      </c>
      <c r="D577" t="s">
        <v>13</v>
      </c>
      <c r="E577" t="s">
        <v>26</v>
      </c>
      <c r="F577" t="s">
        <v>15</v>
      </c>
      <c r="G577" t="s">
        <v>23</v>
      </c>
      <c r="H577">
        <f t="shared" si="8"/>
        <v>576</v>
      </c>
      <c r="I577" t="s">
        <v>24</v>
      </c>
      <c r="J577" s="3">
        <v>16343</v>
      </c>
      <c r="K577" t="b">
        <v>0</v>
      </c>
      <c r="L577" t="b">
        <v>1</v>
      </c>
      <c r="M577" t="b">
        <v>1</v>
      </c>
    </row>
    <row r="578" spans="1:13" x14ac:dyDescent="0.3">
      <c r="A578">
        <v>33</v>
      </c>
      <c r="B578" t="s">
        <v>12</v>
      </c>
      <c r="C578" s="1">
        <v>2</v>
      </c>
      <c r="D578" t="s">
        <v>28</v>
      </c>
      <c r="E578" t="s">
        <v>20</v>
      </c>
      <c r="F578" t="s">
        <v>15</v>
      </c>
      <c r="G578" t="s">
        <v>16</v>
      </c>
      <c r="H578">
        <f t="shared" si="8"/>
        <v>577</v>
      </c>
      <c r="I578" t="s">
        <v>17</v>
      </c>
      <c r="J578" s="3">
        <v>12263</v>
      </c>
      <c r="K578" t="b">
        <v>0</v>
      </c>
      <c r="L578" t="b">
        <v>0</v>
      </c>
      <c r="M578" t="b">
        <v>1</v>
      </c>
    </row>
    <row r="579" spans="1:13" x14ac:dyDescent="0.3">
      <c r="A579">
        <v>22</v>
      </c>
      <c r="B579" t="s">
        <v>25</v>
      </c>
      <c r="C579" s="1">
        <v>5</v>
      </c>
      <c r="D579" t="s">
        <v>13</v>
      </c>
      <c r="E579" t="s">
        <v>14</v>
      </c>
      <c r="F579" t="s">
        <v>27</v>
      </c>
      <c r="G579" t="s">
        <v>29</v>
      </c>
      <c r="H579">
        <f t="shared" si="8"/>
        <v>578</v>
      </c>
      <c r="I579" t="s">
        <v>24</v>
      </c>
      <c r="J579" s="3">
        <v>10211</v>
      </c>
      <c r="K579" t="b">
        <v>0</v>
      </c>
      <c r="L579" t="b">
        <v>1</v>
      </c>
      <c r="M579" t="b">
        <v>0</v>
      </c>
    </row>
    <row r="580" spans="1:13" x14ac:dyDescent="0.3">
      <c r="A580">
        <v>52</v>
      </c>
      <c r="B580" t="s">
        <v>12</v>
      </c>
      <c r="C580" s="1">
        <v>5</v>
      </c>
      <c r="D580" t="s">
        <v>28</v>
      </c>
      <c r="E580" t="s">
        <v>26</v>
      </c>
      <c r="F580" t="s">
        <v>15</v>
      </c>
      <c r="G580" t="s">
        <v>23</v>
      </c>
      <c r="H580">
        <f t="shared" ref="H580:I643" si="9">H579+1</f>
        <v>579</v>
      </c>
      <c r="I580" t="s">
        <v>24</v>
      </c>
      <c r="J580" s="3">
        <v>18699</v>
      </c>
      <c r="K580" t="b">
        <v>1</v>
      </c>
      <c r="L580" t="b">
        <v>1</v>
      </c>
      <c r="M580" t="b">
        <v>1</v>
      </c>
    </row>
    <row r="581" spans="1:13" x14ac:dyDescent="0.3">
      <c r="A581">
        <v>29</v>
      </c>
      <c r="B581" t="s">
        <v>12</v>
      </c>
      <c r="C581" s="1">
        <v>8</v>
      </c>
      <c r="D581" t="s">
        <v>13</v>
      </c>
      <c r="E581" t="s">
        <v>14</v>
      </c>
      <c r="F581" t="s">
        <v>15</v>
      </c>
      <c r="G581" t="s">
        <v>29</v>
      </c>
      <c r="H581">
        <f t="shared" si="9"/>
        <v>580</v>
      </c>
      <c r="I581" t="s">
        <v>24</v>
      </c>
      <c r="J581" s="3">
        <v>16159</v>
      </c>
      <c r="K581" t="b">
        <v>0</v>
      </c>
      <c r="L581" t="b">
        <v>0</v>
      </c>
      <c r="M581" t="b">
        <v>1</v>
      </c>
    </row>
    <row r="582" spans="1:13" x14ac:dyDescent="0.3">
      <c r="A582">
        <v>42</v>
      </c>
      <c r="B582" t="s">
        <v>25</v>
      </c>
      <c r="C582" s="1">
        <v>8</v>
      </c>
      <c r="D582" t="s">
        <v>19</v>
      </c>
      <c r="E582" t="s">
        <v>14</v>
      </c>
      <c r="F582" t="s">
        <v>15</v>
      </c>
      <c r="G582" t="s">
        <v>23</v>
      </c>
      <c r="H582">
        <f t="shared" si="9"/>
        <v>581</v>
      </c>
      <c r="I582" t="s">
        <v>21</v>
      </c>
      <c r="J582" s="3">
        <v>17027</v>
      </c>
      <c r="K582" t="b">
        <v>0</v>
      </c>
      <c r="L582" t="b">
        <v>0</v>
      </c>
      <c r="M582" t="b">
        <v>0</v>
      </c>
    </row>
    <row r="583" spans="1:13" x14ac:dyDescent="0.3">
      <c r="A583">
        <v>38</v>
      </c>
      <c r="B583" t="s">
        <v>18</v>
      </c>
      <c r="C583" s="1">
        <v>7</v>
      </c>
      <c r="D583" t="s">
        <v>13</v>
      </c>
      <c r="E583" t="s">
        <v>14</v>
      </c>
      <c r="F583" t="s">
        <v>22</v>
      </c>
      <c r="G583" t="s">
        <v>29</v>
      </c>
      <c r="H583">
        <f t="shared" si="9"/>
        <v>582</v>
      </c>
      <c r="I583" t="s">
        <v>17</v>
      </c>
      <c r="J583" s="3">
        <v>10331</v>
      </c>
      <c r="K583" t="b">
        <v>0</v>
      </c>
      <c r="L583" t="b">
        <v>0</v>
      </c>
      <c r="M583" t="b">
        <v>1</v>
      </c>
    </row>
    <row r="584" spans="1:13" x14ac:dyDescent="0.3">
      <c r="A584">
        <v>53</v>
      </c>
      <c r="B584" t="s">
        <v>12</v>
      </c>
      <c r="C584" s="1">
        <v>7</v>
      </c>
      <c r="D584" t="s">
        <v>19</v>
      </c>
      <c r="E584" t="s">
        <v>20</v>
      </c>
      <c r="F584" t="s">
        <v>22</v>
      </c>
      <c r="G584" t="s">
        <v>16</v>
      </c>
      <c r="H584">
        <f t="shared" si="9"/>
        <v>583</v>
      </c>
      <c r="I584" t="s">
        <v>21</v>
      </c>
      <c r="J584" s="3">
        <v>16860</v>
      </c>
      <c r="K584" t="b">
        <v>0</v>
      </c>
      <c r="L584" t="b">
        <v>1</v>
      </c>
      <c r="M584" t="b">
        <v>1</v>
      </c>
    </row>
    <row r="585" spans="1:13" x14ac:dyDescent="0.3">
      <c r="A585">
        <v>40</v>
      </c>
      <c r="B585" t="s">
        <v>12</v>
      </c>
      <c r="C585" s="1">
        <v>6</v>
      </c>
      <c r="D585" t="s">
        <v>19</v>
      </c>
      <c r="E585" t="s">
        <v>14</v>
      </c>
      <c r="F585" t="s">
        <v>27</v>
      </c>
      <c r="G585" t="s">
        <v>16</v>
      </c>
      <c r="H585">
        <f t="shared" si="9"/>
        <v>584</v>
      </c>
      <c r="I585" t="s">
        <v>17</v>
      </c>
      <c r="J585" s="3">
        <v>18044</v>
      </c>
      <c r="K585" t="b">
        <v>0</v>
      </c>
      <c r="L585" t="b">
        <v>0</v>
      </c>
      <c r="M585" t="b">
        <v>1</v>
      </c>
    </row>
    <row r="586" spans="1:13" x14ac:dyDescent="0.3">
      <c r="A586">
        <v>33</v>
      </c>
      <c r="B586" t="s">
        <v>12</v>
      </c>
      <c r="C586" s="1">
        <v>6</v>
      </c>
      <c r="D586" t="s">
        <v>19</v>
      </c>
      <c r="E586" t="s">
        <v>26</v>
      </c>
      <c r="F586" t="s">
        <v>27</v>
      </c>
      <c r="G586" t="s">
        <v>29</v>
      </c>
      <c r="H586">
        <f t="shared" si="9"/>
        <v>585</v>
      </c>
      <c r="I586" t="s">
        <v>17</v>
      </c>
      <c r="J586" s="3">
        <v>18169</v>
      </c>
      <c r="K586" t="b">
        <v>1</v>
      </c>
      <c r="L586" t="b">
        <v>1</v>
      </c>
      <c r="M586" t="b">
        <v>0</v>
      </c>
    </row>
    <row r="587" spans="1:13" x14ac:dyDescent="0.3">
      <c r="A587">
        <v>56</v>
      </c>
      <c r="B587" t="s">
        <v>25</v>
      </c>
      <c r="C587" s="1">
        <v>9</v>
      </c>
      <c r="D587" t="s">
        <v>19</v>
      </c>
      <c r="E587" t="s">
        <v>14</v>
      </c>
      <c r="F587" t="s">
        <v>15</v>
      </c>
      <c r="G587" t="s">
        <v>23</v>
      </c>
      <c r="H587">
        <f t="shared" si="9"/>
        <v>586</v>
      </c>
      <c r="I587" t="s">
        <v>21</v>
      </c>
      <c r="J587" s="3">
        <v>18742</v>
      </c>
      <c r="K587" t="b">
        <v>0</v>
      </c>
      <c r="L587" t="b">
        <v>1</v>
      </c>
      <c r="M587" t="b">
        <v>0</v>
      </c>
    </row>
    <row r="588" spans="1:13" x14ac:dyDescent="0.3">
      <c r="A588">
        <v>62</v>
      </c>
      <c r="B588" t="s">
        <v>18</v>
      </c>
      <c r="C588" s="1">
        <v>6</v>
      </c>
      <c r="D588" t="s">
        <v>13</v>
      </c>
      <c r="E588" t="s">
        <v>26</v>
      </c>
      <c r="F588" t="s">
        <v>22</v>
      </c>
      <c r="G588" t="s">
        <v>29</v>
      </c>
      <c r="H588">
        <f t="shared" si="9"/>
        <v>587</v>
      </c>
      <c r="I588" t="s">
        <v>24</v>
      </c>
      <c r="J588" s="3">
        <v>15720</v>
      </c>
      <c r="K588" t="b">
        <v>1</v>
      </c>
      <c r="L588" t="b">
        <v>0</v>
      </c>
      <c r="M588" t="b">
        <v>1</v>
      </c>
    </row>
    <row r="589" spans="1:13" x14ac:dyDescent="0.3">
      <c r="A589">
        <v>59</v>
      </c>
      <c r="B589" t="s">
        <v>25</v>
      </c>
      <c r="C589" s="1">
        <v>2</v>
      </c>
      <c r="D589" t="s">
        <v>28</v>
      </c>
      <c r="E589" t="s">
        <v>14</v>
      </c>
      <c r="F589" t="s">
        <v>15</v>
      </c>
      <c r="G589" t="s">
        <v>23</v>
      </c>
      <c r="H589">
        <f t="shared" si="9"/>
        <v>588</v>
      </c>
      <c r="I589" t="s">
        <v>24</v>
      </c>
      <c r="J589" s="3">
        <v>19133</v>
      </c>
      <c r="K589" t="b">
        <v>0</v>
      </c>
      <c r="L589" t="b">
        <v>1</v>
      </c>
      <c r="M589" t="b">
        <v>1</v>
      </c>
    </row>
    <row r="590" spans="1:13" x14ac:dyDescent="0.3">
      <c r="A590">
        <v>56</v>
      </c>
      <c r="B590" t="s">
        <v>25</v>
      </c>
      <c r="C590" s="1">
        <v>2</v>
      </c>
      <c r="D590" t="s">
        <v>19</v>
      </c>
      <c r="E590" t="s">
        <v>26</v>
      </c>
      <c r="F590" t="s">
        <v>15</v>
      </c>
      <c r="G590" t="s">
        <v>29</v>
      </c>
      <c r="H590">
        <f t="shared" si="9"/>
        <v>589</v>
      </c>
      <c r="I590" t="s">
        <v>17</v>
      </c>
      <c r="J590" s="3">
        <v>10727</v>
      </c>
      <c r="K590" t="b">
        <v>0</v>
      </c>
      <c r="L590" t="b">
        <v>0</v>
      </c>
      <c r="M590" t="b">
        <v>1</v>
      </c>
    </row>
    <row r="591" spans="1:13" x14ac:dyDescent="0.3">
      <c r="A591">
        <v>31</v>
      </c>
      <c r="B591" t="s">
        <v>18</v>
      </c>
      <c r="C591" s="1">
        <v>5</v>
      </c>
      <c r="D591" t="s">
        <v>13</v>
      </c>
      <c r="E591" t="s">
        <v>26</v>
      </c>
      <c r="F591" t="s">
        <v>22</v>
      </c>
      <c r="G591" t="s">
        <v>23</v>
      </c>
      <c r="H591">
        <f t="shared" si="9"/>
        <v>590</v>
      </c>
      <c r="I591" t="s">
        <v>21</v>
      </c>
      <c r="J591" s="3">
        <v>14975</v>
      </c>
      <c r="K591" t="b">
        <v>0</v>
      </c>
      <c r="L591" t="b">
        <v>0</v>
      </c>
      <c r="M591" t="b">
        <v>1</v>
      </c>
    </row>
    <row r="592" spans="1:13" x14ac:dyDescent="0.3">
      <c r="A592">
        <v>48</v>
      </c>
      <c r="B592" t="s">
        <v>25</v>
      </c>
      <c r="C592" s="1">
        <v>4</v>
      </c>
      <c r="D592" t="s">
        <v>19</v>
      </c>
      <c r="E592" t="s">
        <v>14</v>
      </c>
      <c r="F592" t="s">
        <v>22</v>
      </c>
      <c r="G592" t="s">
        <v>16</v>
      </c>
      <c r="H592">
        <f t="shared" si="9"/>
        <v>591</v>
      </c>
      <c r="I592" t="s">
        <v>24</v>
      </c>
      <c r="J592" s="3">
        <v>13243</v>
      </c>
      <c r="K592" t="b">
        <v>1</v>
      </c>
      <c r="L592" t="b">
        <v>1</v>
      </c>
      <c r="M592" t="b">
        <v>1</v>
      </c>
    </row>
    <row r="593" spans="1:13" x14ac:dyDescent="0.3">
      <c r="A593">
        <v>22</v>
      </c>
      <c r="B593" t="s">
        <v>18</v>
      </c>
      <c r="C593" s="1">
        <v>2</v>
      </c>
      <c r="D593" t="s">
        <v>13</v>
      </c>
      <c r="E593" t="s">
        <v>14</v>
      </c>
      <c r="F593" t="s">
        <v>22</v>
      </c>
      <c r="G593" t="s">
        <v>29</v>
      </c>
      <c r="H593">
        <f t="shared" si="9"/>
        <v>592</v>
      </c>
      <c r="I593" t="s">
        <v>24</v>
      </c>
      <c r="J593" s="3">
        <v>10648</v>
      </c>
      <c r="K593" t="b">
        <v>1</v>
      </c>
      <c r="L593" t="b">
        <v>1</v>
      </c>
      <c r="M593" t="b">
        <v>1</v>
      </c>
    </row>
    <row r="594" spans="1:13" x14ac:dyDescent="0.3">
      <c r="A594">
        <v>52</v>
      </c>
      <c r="B594" t="s">
        <v>12</v>
      </c>
      <c r="C594" s="1">
        <v>3</v>
      </c>
      <c r="D594" t="s">
        <v>13</v>
      </c>
      <c r="E594" t="s">
        <v>26</v>
      </c>
      <c r="F594" t="s">
        <v>27</v>
      </c>
      <c r="G594" t="s">
        <v>16</v>
      </c>
      <c r="H594">
        <f t="shared" si="9"/>
        <v>593</v>
      </c>
      <c r="I594" t="s">
        <v>17</v>
      </c>
      <c r="J594" s="3">
        <v>15095</v>
      </c>
      <c r="K594" t="b">
        <v>1</v>
      </c>
      <c r="L594" t="b">
        <v>0</v>
      </c>
      <c r="M594" t="b">
        <v>0</v>
      </c>
    </row>
    <row r="595" spans="1:13" x14ac:dyDescent="0.3">
      <c r="A595">
        <v>40</v>
      </c>
      <c r="B595" t="s">
        <v>18</v>
      </c>
      <c r="C595" s="1">
        <v>7</v>
      </c>
      <c r="D595" t="s">
        <v>13</v>
      </c>
      <c r="E595" t="s">
        <v>20</v>
      </c>
      <c r="F595" t="s">
        <v>27</v>
      </c>
      <c r="G595" t="s">
        <v>16</v>
      </c>
      <c r="H595">
        <f t="shared" si="9"/>
        <v>594</v>
      </c>
      <c r="I595" t="s">
        <v>17</v>
      </c>
      <c r="J595" s="3">
        <v>16614</v>
      </c>
      <c r="K595" t="b">
        <v>0</v>
      </c>
      <c r="L595" t="b">
        <v>0</v>
      </c>
      <c r="M595" t="b">
        <v>1</v>
      </c>
    </row>
    <row r="596" spans="1:13" x14ac:dyDescent="0.3">
      <c r="A596">
        <v>46</v>
      </c>
      <c r="B596" t="s">
        <v>12</v>
      </c>
      <c r="C596" s="1">
        <v>8</v>
      </c>
      <c r="D596" t="s">
        <v>28</v>
      </c>
      <c r="E596" t="s">
        <v>14</v>
      </c>
      <c r="F596" t="s">
        <v>15</v>
      </c>
      <c r="G596" t="s">
        <v>29</v>
      </c>
      <c r="H596">
        <f t="shared" si="9"/>
        <v>595</v>
      </c>
      <c r="I596" t="s">
        <v>21</v>
      </c>
      <c r="J596" s="3">
        <v>17135</v>
      </c>
      <c r="K596" t="b">
        <v>0</v>
      </c>
      <c r="L596" t="b">
        <v>0</v>
      </c>
      <c r="M596" t="b">
        <v>1</v>
      </c>
    </row>
    <row r="597" spans="1:13" x14ac:dyDescent="0.3">
      <c r="A597">
        <v>60</v>
      </c>
      <c r="B597" t="s">
        <v>25</v>
      </c>
      <c r="C597" s="1">
        <v>6</v>
      </c>
      <c r="D597" t="s">
        <v>13</v>
      </c>
      <c r="E597" t="s">
        <v>20</v>
      </c>
      <c r="F597" t="s">
        <v>27</v>
      </c>
      <c r="G597" t="s">
        <v>29</v>
      </c>
      <c r="H597">
        <f t="shared" si="9"/>
        <v>596</v>
      </c>
      <c r="I597" t="s">
        <v>17</v>
      </c>
      <c r="J597" s="3">
        <v>11009</v>
      </c>
      <c r="K597" t="b">
        <v>1</v>
      </c>
      <c r="L597" t="b">
        <v>0</v>
      </c>
      <c r="M597" t="b">
        <v>0</v>
      </c>
    </row>
    <row r="598" spans="1:13" x14ac:dyDescent="0.3">
      <c r="A598">
        <v>28</v>
      </c>
      <c r="B598" t="s">
        <v>25</v>
      </c>
      <c r="C598" s="1">
        <v>5</v>
      </c>
      <c r="D598" t="s">
        <v>13</v>
      </c>
      <c r="E598" t="s">
        <v>14</v>
      </c>
      <c r="F598" t="s">
        <v>22</v>
      </c>
      <c r="G598" t="s">
        <v>23</v>
      </c>
      <c r="H598">
        <f t="shared" si="9"/>
        <v>597</v>
      </c>
      <c r="I598" t="s">
        <v>24</v>
      </c>
      <c r="J598" s="3">
        <v>11550</v>
      </c>
      <c r="K598" t="b">
        <v>1</v>
      </c>
      <c r="L598" t="b">
        <v>0</v>
      </c>
      <c r="M598" t="b">
        <v>1</v>
      </c>
    </row>
    <row r="599" spans="1:13" x14ac:dyDescent="0.3">
      <c r="A599">
        <v>35</v>
      </c>
      <c r="B599" t="s">
        <v>12</v>
      </c>
      <c r="C599" s="1">
        <v>1</v>
      </c>
      <c r="D599" t="s">
        <v>28</v>
      </c>
      <c r="E599" t="s">
        <v>14</v>
      </c>
      <c r="F599" t="s">
        <v>22</v>
      </c>
      <c r="G599" t="s">
        <v>23</v>
      </c>
      <c r="H599">
        <f t="shared" si="9"/>
        <v>598</v>
      </c>
      <c r="I599" t="s">
        <v>24</v>
      </c>
      <c r="J599" s="3">
        <v>18995</v>
      </c>
      <c r="K599" t="b">
        <v>0</v>
      </c>
      <c r="L599" t="b">
        <v>0</v>
      </c>
      <c r="M599" t="b">
        <v>1</v>
      </c>
    </row>
    <row r="600" spans="1:13" x14ac:dyDescent="0.3">
      <c r="A600">
        <v>64</v>
      </c>
      <c r="B600" t="s">
        <v>25</v>
      </c>
      <c r="C600" s="1">
        <v>8</v>
      </c>
      <c r="D600" t="s">
        <v>28</v>
      </c>
      <c r="E600" t="s">
        <v>14</v>
      </c>
      <c r="F600" t="s">
        <v>27</v>
      </c>
      <c r="G600" t="s">
        <v>16</v>
      </c>
      <c r="H600">
        <f t="shared" si="9"/>
        <v>599</v>
      </c>
      <c r="I600" t="s">
        <v>24</v>
      </c>
      <c r="J600" s="3">
        <v>17492</v>
      </c>
      <c r="K600" t="b">
        <v>1</v>
      </c>
      <c r="L600" t="b">
        <v>1</v>
      </c>
      <c r="M600" t="b">
        <v>1</v>
      </c>
    </row>
    <row r="601" spans="1:13" x14ac:dyDescent="0.3">
      <c r="A601">
        <v>29</v>
      </c>
      <c r="B601" t="s">
        <v>18</v>
      </c>
      <c r="C601" s="1">
        <v>3</v>
      </c>
      <c r="D601" t="s">
        <v>13</v>
      </c>
      <c r="E601" t="s">
        <v>14</v>
      </c>
      <c r="F601" t="s">
        <v>15</v>
      </c>
      <c r="G601" t="s">
        <v>23</v>
      </c>
      <c r="H601">
        <f t="shared" si="9"/>
        <v>600</v>
      </c>
      <c r="I601" t="s">
        <v>24</v>
      </c>
      <c r="J601" s="3">
        <v>13401</v>
      </c>
      <c r="K601" t="b">
        <v>0</v>
      </c>
      <c r="L601" t="b">
        <v>1</v>
      </c>
      <c r="M601" t="b">
        <v>1</v>
      </c>
    </row>
    <row r="602" spans="1:13" x14ac:dyDescent="0.3">
      <c r="A602">
        <v>26</v>
      </c>
      <c r="B602" t="s">
        <v>12</v>
      </c>
      <c r="C602" s="1">
        <v>6</v>
      </c>
      <c r="D602" t="s">
        <v>28</v>
      </c>
      <c r="E602" t="s">
        <v>20</v>
      </c>
      <c r="F602" t="s">
        <v>15</v>
      </c>
      <c r="G602" t="s">
        <v>23</v>
      </c>
      <c r="H602">
        <f t="shared" si="9"/>
        <v>601</v>
      </c>
      <c r="I602" t="s">
        <v>21</v>
      </c>
      <c r="J602" s="3">
        <v>17447</v>
      </c>
      <c r="K602" t="b">
        <v>1</v>
      </c>
      <c r="L602" t="b">
        <v>1</v>
      </c>
      <c r="M602" t="b">
        <v>0</v>
      </c>
    </row>
    <row r="603" spans="1:13" x14ac:dyDescent="0.3">
      <c r="A603">
        <v>27</v>
      </c>
      <c r="B603" t="s">
        <v>25</v>
      </c>
      <c r="C603" s="1">
        <v>3</v>
      </c>
      <c r="D603" t="s">
        <v>19</v>
      </c>
      <c r="E603" t="s">
        <v>14</v>
      </c>
      <c r="F603" t="s">
        <v>27</v>
      </c>
      <c r="G603" t="s">
        <v>29</v>
      </c>
      <c r="H603">
        <f t="shared" si="9"/>
        <v>602</v>
      </c>
      <c r="I603" t="s">
        <v>21</v>
      </c>
      <c r="J603" s="3">
        <v>15424</v>
      </c>
      <c r="K603" t="b">
        <v>1</v>
      </c>
      <c r="L603" t="b">
        <v>1</v>
      </c>
      <c r="M603" t="b">
        <v>1</v>
      </c>
    </row>
    <row r="604" spans="1:13" x14ac:dyDescent="0.3">
      <c r="A604">
        <v>61</v>
      </c>
      <c r="B604" t="s">
        <v>12</v>
      </c>
      <c r="C604" s="1">
        <v>7</v>
      </c>
      <c r="D604" t="s">
        <v>19</v>
      </c>
      <c r="E604" t="s">
        <v>26</v>
      </c>
      <c r="F604" t="s">
        <v>15</v>
      </c>
      <c r="G604" t="s">
        <v>23</v>
      </c>
      <c r="H604">
        <f t="shared" si="9"/>
        <v>603</v>
      </c>
      <c r="I604" t="s">
        <v>17</v>
      </c>
      <c r="J604" s="3">
        <v>14241</v>
      </c>
      <c r="K604" t="b">
        <v>1</v>
      </c>
      <c r="L604" t="b">
        <v>0</v>
      </c>
      <c r="M604" t="b">
        <v>0</v>
      </c>
    </row>
    <row r="605" spans="1:13" x14ac:dyDescent="0.3">
      <c r="A605">
        <v>34</v>
      </c>
      <c r="B605" t="s">
        <v>18</v>
      </c>
      <c r="C605" s="1">
        <v>7</v>
      </c>
      <c r="D605" t="s">
        <v>28</v>
      </c>
      <c r="E605" t="s">
        <v>26</v>
      </c>
      <c r="F605" t="s">
        <v>15</v>
      </c>
      <c r="G605" t="s">
        <v>16</v>
      </c>
      <c r="H605">
        <f t="shared" si="9"/>
        <v>604</v>
      </c>
      <c r="I605" t="s">
        <v>17</v>
      </c>
      <c r="J605" s="3">
        <v>13161</v>
      </c>
      <c r="K605" t="b">
        <v>0</v>
      </c>
      <c r="L605" t="b">
        <v>1</v>
      </c>
      <c r="M605" t="b">
        <v>1</v>
      </c>
    </row>
    <row r="606" spans="1:13" x14ac:dyDescent="0.3">
      <c r="A606">
        <v>55</v>
      </c>
      <c r="B606" t="s">
        <v>18</v>
      </c>
      <c r="C606" s="1">
        <v>9</v>
      </c>
      <c r="D606" t="s">
        <v>28</v>
      </c>
      <c r="E606" t="s">
        <v>20</v>
      </c>
      <c r="F606" t="s">
        <v>15</v>
      </c>
      <c r="G606" t="s">
        <v>23</v>
      </c>
      <c r="H606">
        <f t="shared" si="9"/>
        <v>605</v>
      </c>
      <c r="I606" t="s">
        <v>17</v>
      </c>
      <c r="J606" s="3">
        <v>14155</v>
      </c>
      <c r="K606" t="b">
        <v>0</v>
      </c>
      <c r="L606" t="b">
        <v>1</v>
      </c>
      <c r="M606" t="b">
        <v>1</v>
      </c>
    </row>
    <row r="607" spans="1:13" x14ac:dyDescent="0.3">
      <c r="A607">
        <v>24</v>
      </c>
      <c r="B607" t="s">
        <v>25</v>
      </c>
      <c r="C607" s="1">
        <v>5</v>
      </c>
      <c r="D607" t="s">
        <v>13</v>
      </c>
      <c r="E607" t="s">
        <v>14</v>
      </c>
      <c r="F607" t="s">
        <v>22</v>
      </c>
      <c r="G607" t="s">
        <v>16</v>
      </c>
      <c r="H607">
        <f t="shared" si="9"/>
        <v>606</v>
      </c>
      <c r="I607" t="s">
        <v>21</v>
      </c>
      <c r="J607" s="3">
        <v>17478</v>
      </c>
      <c r="K607" t="b">
        <v>1</v>
      </c>
      <c r="L607" t="b">
        <v>0</v>
      </c>
      <c r="M607" t="b">
        <v>0</v>
      </c>
    </row>
    <row r="608" spans="1:13" x14ac:dyDescent="0.3">
      <c r="A608">
        <v>63</v>
      </c>
      <c r="B608" t="s">
        <v>18</v>
      </c>
      <c r="C608" s="1">
        <v>8</v>
      </c>
      <c r="D608" t="s">
        <v>28</v>
      </c>
      <c r="E608" t="s">
        <v>26</v>
      </c>
      <c r="F608" t="s">
        <v>22</v>
      </c>
      <c r="G608" t="s">
        <v>29</v>
      </c>
      <c r="H608">
        <f t="shared" si="9"/>
        <v>607</v>
      </c>
      <c r="I608" t="s">
        <v>24</v>
      </c>
      <c r="J608" s="3">
        <v>18719</v>
      </c>
      <c r="K608" t="b">
        <v>0</v>
      </c>
      <c r="L608" t="b">
        <v>1</v>
      </c>
      <c r="M608" t="b">
        <v>1</v>
      </c>
    </row>
    <row r="609" spans="1:13" x14ac:dyDescent="0.3">
      <c r="A609">
        <v>30</v>
      </c>
      <c r="B609" t="s">
        <v>12</v>
      </c>
      <c r="C609" s="1">
        <v>8</v>
      </c>
      <c r="D609" t="s">
        <v>13</v>
      </c>
      <c r="E609" t="s">
        <v>20</v>
      </c>
      <c r="F609" t="s">
        <v>27</v>
      </c>
      <c r="G609" t="s">
        <v>16</v>
      </c>
      <c r="H609">
        <f t="shared" si="9"/>
        <v>608</v>
      </c>
      <c r="I609" t="s">
        <v>17</v>
      </c>
      <c r="J609" s="3">
        <v>19215</v>
      </c>
      <c r="K609" t="b">
        <v>0</v>
      </c>
      <c r="L609" t="b">
        <v>0</v>
      </c>
      <c r="M609" t="b">
        <v>0</v>
      </c>
    </row>
    <row r="610" spans="1:13" x14ac:dyDescent="0.3">
      <c r="A610">
        <v>57</v>
      </c>
      <c r="B610" t="s">
        <v>18</v>
      </c>
      <c r="C610" s="1">
        <v>1</v>
      </c>
      <c r="D610" t="s">
        <v>19</v>
      </c>
      <c r="E610" t="s">
        <v>14</v>
      </c>
      <c r="F610" t="s">
        <v>22</v>
      </c>
      <c r="G610" t="s">
        <v>23</v>
      </c>
      <c r="H610">
        <f t="shared" si="9"/>
        <v>609</v>
      </c>
      <c r="I610" t="s">
        <v>24</v>
      </c>
      <c r="J610" s="3">
        <v>16617</v>
      </c>
      <c r="K610" t="b">
        <v>0</v>
      </c>
      <c r="L610" t="b">
        <v>0</v>
      </c>
      <c r="M610" t="b">
        <v>0</v>
      </c>
    </row>
    <row r="611" spans="1:13" x14ac:dyDescent="0.3">
      <c r="A611">
        <v>59</v>
      </c>
      <c r="B611" t="s">
        <v>12</v>
      </c>
      <c r="C611" s="1">
        <v>5</v>
      </c>
      <c r="D611" t="s">
        <v>28</v>
      </c>
      <c r="E611" t="s">
        <v>26</v>
      </c>
      <c r="F611" t="s">
        <v>15</v>
      </c>
      <c r="G611" t="s">
        <v>29</v>
      </c>
      <c r="H611">
        <f t="shared" si="9"/>
        <v>610</v>
      </c>
      <c r="I611" t="s">
        <v>17</v>
      </c>
      <c r="J611" s="3">
        <v>15660</v>
      </c>
      <c r="K611" t="b">
        <v>0</v>
      </c>
      <c r="L611" t="b">
        <v>0</v>
      </c>
      <c r="M611" t="b">
        <v>0</v>
      </c>
    </row>
    <row r="612" spans="1:13" x14ac:dyDescent="0.3">
      <c r="A612">
        <v>26</v>
      </c>
      <c r="B612" t="s">
        <v>12</v>
      </c>
      <c r="C612" s="1">
        <v>3</v>
      </c>
      <c r="D612" t="s">
        <v>13</v>
      </c>
      <c r="E612" t="s">
        <v>26</v>
      </c>
      <c r="F612" t="s">
        <v>22</v>
      </c>
      <c r="G612" t="s">
        <v>23</v>
      </c>
      <c r="H612">
        <f t="shared" si="9"/>
        <v>611</v>
      </c>
      <c r="I612" t="s">
        <v>17</v>
      </c>
      <c r="J612" s="3">
        <v>18624</v>
      </c>
      <c r="K612" t="b">
        <v>1</v>
      </c>
      <c r="L612" t="b">
        <v>0</v>
      </c>
      <c r="M612" t="b">
        <v>1</v>
      </c>
    </row>
    <row r="613" spans="1:13" x14ac:dyDescent="0.3">
      <c r="A613">
        <v>44</v>
      </c>
      <c r="B613" t="s">
        <v>18</v>
      </c>
      <c r="C613" s="1">
        <v>1</v>
      </c>
      <c r="D613" t="s">
        <v>13</v>
      </c>
      <c r="E613" t="s">
        <v>20</v>
      </c>
      <c r="F613" t="s">
        <v>27</v>
      </c>
      <c r="G613" t="s">
        <v>29</v>
      </c>
      <c r="H613">
        <f t="shared" si="9"/>
        <v>612</v>
      </c>
      <c r="I613" t="s">
        <v>17</v>
      </c>
      <c r="J613" s="3">
        <v>11176</v>
      </c>
      <c r="K613" t="b">
        <v>0</v>
      </c>
      <c r="L613" t="b">
        <v>0</v>
      </c>
      <c r="M613" t="b">
        <v>1</v>
      </c>
    </row>
    <row r="614" spans="1:13" x14ac:dyDescent="0.3">
      <c r="A614">
        <v>19</v>
      </c>
      <c r="B614" t="s">
        <v>25</v>
      </c>
      <c r="C614" s="1">
        <v>4</v>
      </c>
      <c r="D614" t="s">
        <v>19</v>
      </c>
      <c r="E614" t="s">
        <v>14</v>
      </c>
      <c r="F614" t="s">
        <v>22</v>
      </c>
      <c r="G614" t="s">
        <v>29</v>
      </c>
      <c r="H614">
        <f t="shared" si="9"/>
        <v>613</v>
      </c>
      <c r="I614" t="s">
        <v>17</v>
      </c>
      <c r="J614" s="3">
        <v>17956</v>
      </c>
      <c r="K614" t="b">
        <v>0</v>
      </c>
      <c r="L614" t="b">
        <v>1</v>
      </c>
      <c r="M614" t="b">
        <v>1</v>
      </c>
    </row>
    <row r="615" spans="1:13" x14ac:dyDescent="0.3">
      <c r="A615">
        <v>22</v>
      </c>
      <c r="B615" t="s">
        <v>18</v>
      </c>
      <c r="C615" s="1">
        <v>8</v>
      </c>
      <c r="D615" t="s">
        <v>28</v>
      </c>
      <c r="E615" t="s">
        <v>14</v>
      </c>
      <c r="F615" t="s">
        <v>15</v>
      </c>
      <c r="G615" t="s">
        <v>23</v>
      </c>
      <c r="H615">
        <f t="shared" si="9"/>
        <v>614</v>
      </c>
      <c r="I615" t="s">
        <v>17</v>
      </c>
      <c r="J615" s="3">
        <v>18592</v>
      </c>
      <c r="K615" t="b">
        <v>1</v>
      </c>
      <c r="L615" t="b">
        <v>1</v>
      </c>
      <c r="M615" t="b">
        <v>1</v>
      </c>
    </row>
    <row r="616" spans="1:13" x14ac:dyDescent="0.3">
      <c r="A616">
        <v>46</v>
      </c>
      <c r="B616" t="s">
        <v>12</v>
      </c>
      <c r="C616" s="1">
        <v>3</v>
      </c>
      <c r="D616" t="s">
        <v>19</v>
      </c>
      <c r="E616" t="s">
        <v>26</v>
      </c>
      <c r="F616" t="s">
        <v>15</v>
      </c>
      <c r="G616" t="s">
        <v>23</v>
      </c>
      <c r="H616">
        <f t="shared" si="9"/>
        <v>615</v>
      </c>
      <c r="I616" t="s">
        <v>24</v>
      </c>
      <c r="J616" s="3">
        <v>12233</v>
      </c>
      <c r="K616" t="b">
        <v>0</v>
      </c>
      <c r="L616" t="b">
        <v>1</v>
      </c>
      <c r="M616" t="b">
        <v>0</v>
      </c>
    </row>
    <row r="617" spans="1:13" x14ac:dyDescent="0.3">
      <c r="A617">
        <v>54</v>
      </c>
      <c r="B617" t="s">
        <v>12</v>
      </c>
      <c r="C617" s="1">
        <v>2</v>
      </c>
      <c r="D617" t="s">
        <v>13</v>
      </c>
      <c r="E617" t="s">
        <v>26</v>
      </c>
      <c r="F617" t="s">
        <v>27</v>
      </c>
      <c r="G617" t="s">
        <v>29</v>
      </c>
      <c r="H617">
        <f t="shared" si="9"/>
        <v>616</v>
      </c>
      <c r="I617" t="s">
        <v>17</v>
      </c>
      <c r="J617" s="3">
        <v>14700</v>
      </c>
      <c r="K617" t="b">
        <v>0</v>
      </c>
      <c r="L617" t="b">
        <v>0</v>
      </c>
      <c r="M617" t="b">
        <v>1</v>
      </c>
    </row>
    <row r="618" spans="1:13" x14ac:dyDescent="0.3">
      <c r="A618">
        <v>55</v>
      </c>
      <c r="B618" t="s">
        <v>18</v>
      </c>
      <c r="C618" s="1">
        <v>9</v>
      </c>
      <c r="D618" t="s">
        <v>13</v>
      </c>
      <c r="E618" t="s">
        <v>26</v>
      </c>
      <c r="F618" t="s">
        <v>22</v>
      </c>
      <c r="G618" t="s">
        <v>29</v>
      </c>
      <c r="H618">
        <f t="shared" si="9"/>
        <v>617</v>
      </c>
      <c r="I618" t="s">
        <v>24</v>
      </c>
      <c r="J618" s="3">
        <v>15906</v>
      </c>
      <c r="K618" t="b">
        <v>0</v>
      </c>
      <c r="L618" t="b">
        <v>1</v>
      </c>
      <c r="M618" t="b">
        <v>1</v>
      </c>
    </row>
    <row r="619" spans="1:13" x14ac:dyDescent="0.3">
      <c r="A619">
        <v>36</v>
      </c>
      <c r="B619" t="s">
        <v>25</v>
      </c>
      <c r="C619" s="1">
        <v>5</v>
      </c>
      <c r="D619" t="s">
        <v>28</v>
      </c>
      <c r="E619" t="s">
        <v>14</v>
      </c>
      <c r="F619" t="s">
        <v>22</v>
      </c>
      <c r="G619" t="s">
        <v>23</v>
      </c>
      <c r="H619">
        <f t="shared" si="9"/>
        <v>618</v>
      </c>
      <c r="I619" t="s">
        <v>21</v>
      </c>
      <c r="J619" s="3">
        <v>17860</v>
      </c>
      <c r="K619" t="b">
        <v>1</v>
      </c>
      <c r="L619" t="b">
        <v>1</v>
      </c>
      <c r="M619" t="b">
        <v>0</v>
      </c>
    </row>
    <row r="620" spans="1:13" x14ac:dyDescent="0.3">
      <c r="A620">
        <v>25</v>
      </c>
      <c r="B620" t="s">
        <v>25</v>
      </c>
      <c r="C620" s="1">
        <v>7</v>
      </c>
      <c r="D620" t="s">
        <v>13</v>
      </c>
      <c r="E620" t="s">
        <v>20</v>
      </c>
      <c r="F620" t="s">
        <v>22</v>
      </c>
      <c r="G620" t="s">
        <v>16</v>
      </c>
      <c r="H620">
        <f t="shared" si="9"/>
        <v>619</v>
      </c>
      <c r="I620" t="s">
        <v>17</v>
      </c>
      <c r="J620" s="3">
        <v>17526</v>
      </c>
      <c r="K620" t="b">
        <v>1</v>
      </c>
      <c r="L620" t="b">
        <v>1</v>
      </c>
      <c r="M620" t="b">
        <v>0</v>
      </c>
    </row>
    <row r="621" spans="1:13" x14ac:dyDescent="0.3">
      <c r="A621">
        <v>62</v>
      </c>
      <c r="B621" t="s">
        <v>12</v>
      </c>
      <c r="C621" s="1">
        <v>2</v>
      </c>
      <c r="D621" t="s">
        <v>28</v>
      </c>
      <c r="E621" t="s">
        <v>20</v>
      </c>
      <c r="F621" t="s">
        <v>15</v>
      </c>
      <c r="G621" t="s">
        <v>23</v>
      </c>
      <c r="H621">
        <f t="shared" si="9"/>
        <v>620</v>
      </c>
      <c r="I621" t="s">
        <v>24</v>
      </c>
      <c r="J621" s="3">
        <v>15559</v>
      </c>
      <c r="K621" t="b">
        <v>0</v>
      </c>
      <c r="L621" t="b">
        <v>1</v>
      </c>
      <c r="M621" t="b">
        <v>1</v>
      </c>
    </row>
    <row r="622" spans="1:13" x14ac:dyDescent="0.3">
      <c r="A622">
        <v>18</v>
      </c>
      <c r="B622" t="s">
        <v>12</v>
      </c>
      <c r="C622" s="1">
        <v>9</v>
      </c>
      <c r="D622" t="s">
        <v>19</v>
      </c>
      <c r="E622" t="s">
        <v>14</v>
      </c>
      <c r="F622" t="s">
        <v>27</v>
      </c>
      <c r="G622" t="s">
        <v>29</v>
      </c>
      <c r="H622">
        <f t="shared" si="9"/>
        <v>621</v>
      </c>
      <c r="I622" t="s">
        <v>21</v>
      </c>
      <c r="J622" s="3">
        <v>16732</v>
      </c>
      <c r="K622" t="b">
        <v>0</v>
      </c>
      <c r="L622" t="b">
        <v>0</v>
      </c>
      <c r="M622" t="b">
        <v>0</v>
      </c>
    </row>
    <row r="623" spans="1:13" x14ac:dyDescent="0.3">
      <c r="A623">
        <v>39</v>
      </c>
      <c r="B623" t="s">
        <v>25</v>
      </c>
      <c r="C623" s="1">
        <v>9</v>
      </c>
      <c r="D623" t="s">
        <v>28</v>
      </c>
      <c r="E623" t="s">
        <v>20</v>
      </c>
      <c r="F623" t="s">
        <v>22</v>
      </c>
      <c r="G623" t="s">
        <v>23</v>
      </c>
      <c r="H623">
        <f t="shared" si="9"/>
        <v>622</v>
      </c>
      <c r="I623" t="s">
        <v>21</v>
      </c>
      <c r="J623" s="3">
        <v>12513</v>
      </c>
      <c r="K623" t="b">
        <v>1</v>
      </c>
      <c r="L623" t="b">
        <v>1</v>
      </c>
      <c r="M623" t="b">
        <v>0</v>
      </c>
    </row>
    <row r="624" spans="1:13" x14ac:dyDescent="0.3">
      <c r="A624">
        <v>34</v>
      </c>
      <c r="B624" t="s">
        <v>18</v>
      </c>
      <c r="C624" s="1">
        <v>4</v>
      </c>
      <c r="D624" t="s">
        <v>28</v>
      </c>
      <c r="E624" t="s">
        <v>26</v>
      </c>
      <c r="F624" t="s">
        <v>15</v>
      </c>
      <c r="G624" t="s">
        <v>16</v>
      </c>
      <c r="H624">
        <f t="shared" si="9"/>
        <v>623</v>
      </c>
      <c r="I624" t="s">
        <v>21</v>
      </c>
      <c r="J624" s="3">
        <v>17830</v>
      </c>
      <c r="K624" t="b">
        <v>1</v>
      </c>
      <c r="L624" t="b">
        <v>0</v>
      </c>
      <c r="M624" t="b">
        <v>0</v>
      </c>
    </row>
    <row r="625" spans="1:13" x14ac:dyDescent="0.3">
      <c r="A625">
        <v>24</v>
      </c>
      <c r="B625" t="s">
        <v>12</v>
      </c>
      <c r="C625" s="1">
        <v>4</v>
      </c>
      <c r="D625" t="s">
        <v>13</v>
      </c>
      <c r="E625" t="s">
        <v>20</v>
      </c>
      <c r="F625" t="s">
        <v>15</v>
      </c>
      <c r="G625" t="s">
        <v>23</v>
      </c>
      <c r="H625">
        <f t="shared" si="9"/>
        <v>624</v>
      </c>
      <c r="I625" t="s">
        <v>24</v>
      </c>
      <c r="J625" s="3">
        <v>19965</v>
      </c>
      <c r="K625" t="b">
        <v>1</v>
      </c>
      <c r="L625" t="b">
        <v>0</v>
      </c>
      <c r="M625" t="b">
        <v>0</v>
      </c>
    </row>
    <row r="626" spans="1:13" x14ac:dyDescent="0.3">
      <c r="A626">
        <v>42</v>
      </c>
      <c r="B626" t="s">
        <v>12</v>
      </c>
      <c r="C626" s="1">
        <v>6</v>
      </c>
      <c r="D626" t="s">
        <v>13</v>
      </c>
      <c r="E626" t="s">
        <v>20</v>
      </c>
      <c r="F626" t="s">
        <v>15</v>
      </c>
      <c r="G626" t="s">
        <v>29</v>
      </c>
      <c r="H626">
        <f t="shared" si="9"/>
        <v>625</v>
      </c>
      <c r="I626" t="s">
        <v>17</v>
      </c>
      <c r="J626" s="3">
        <v>16944</v>
      </c>
      <c r="K626" t="b">
        <v>0</v>
      </c>
      <c r="L626" t="b">
        <v>1</v>
      </c>
      <c r="M626" t="b">
        <v>0</v>
      </c>
    </row>
    <row r="627" spans="1:13" x14ac:dyDescent="0.3">
      <c r="A627">
        <v>62</v>
      </c>
      <c r="B627" t="s">
        <v>25</v>
      </c>
      <c r="C627" s="1">
        <v>6</v>
      </c>
      <c r="D627" t="s">
        <v>28</v>
      </c>
      <c r="E627" t="s">
        <v>20</v>
      </c>
      <c r="F627" t="s">
        <v>22</v>
      </c>
      <c r="G627" t="s">
        <v>23</v>
      </c>
      <c r="H627">
        <f t="shared" si="9"/>
        <v>626</v>
      </c>
      <c r="I627" t="s">
        <v>17</v>
      </c>
      <c r="J627" s="3">
        <v>17910</v>
      </c>
      <c r="K627" t="b">
        <v>0</v>
      </c>
      <c r="L627" t="b">
        <v>0</v>
      </c>
      <c r="M627" t="b">
        <v>1</v>
      </c>
    </row>
    <row r="628" spans="1:13" x14ac:dyDescent="0.3">
      <c r="A628">
        <v>21</v>
      </c>
      <c r="B628" t="s">
        <v>18</v>
      </c>
      <c r="C628" s="1">
        <v>1</v>
      </c>
      <c r="D628" t="s">
        <v>13</v>
      </c>
      <c r="E628" t="s">
        <v>26</v>
      </c>
      <c r="F628" t="s">
        <v>22</v>
      </c>
      <c r="G628" t="s">
        <v>29</v>
      </c>
      <c r="H628">
        <f t="shared" si="9"/>
        <v>627</v>
      </c>
      <c r="I628" t="s">
        <v>24</v>
      </c>
      <c r="J628" s="3">
        <v>15649</v>
      </c>
      <c r="K628" t="b">
        <v>1</v>
      </c>
      <c r="L628" t="b">
        <v>0</v>
      </c>
      <c r="M628" t="b">
        <v>1</v>
      </c>
    </row>
    <row r="629" spans="1:13" x14ac:dyDescent="0.3">
      <c r="A629">
        <v>53</v>
      </c>
      <c r="B629" t="s">
        <v>25</v>
      </c>
      <c r="C629" s="1">
        <v>9</v>
      </c>
      <c r="D629" t="s">
        <v>13</v>
      </c>
      <c r="E629" t="s">
        <v>14</v>
      </c>
      <c r="F629" t="s">
        <v>22</v>
      </c>
      <c r="G629" t="s">
        <v>29</v>
      </c>
      <c r="H629">
        <f t="shared" si="9"/>
        <v>628</v>
      </c>
      <c r="I629" t="s">
        <v>17</v>
      </c>
      <c r="J629" s="3">
        <v>11096</v>
      </c>
      <c r="K629" t="b">
        <v>0</v>
      </c>
      <c r="L629" t="b">
        <v>0</v>
      </c>
      <c r="M629" t="b">
        <v>1</v>
      </c>
    </row>
    <row r="630" spans="1:13" x14ac:dyDescent="0.3">
      <c r="A630">
        <v>23</v>
      </c>
      <c r="B630" t="s">
        <v>18</v>
      </c>
      <c r="C630" s="1">
        <v>2</v>
      </c>
      <c r="D630" t="s">
        <v>13</v>
      </c>
      <c r="E630" t="s">
        <v>26</v>
      </c>
      <c r="F630" t="s">
        <v>22</v>
      </c>
      <c r="G630" t="s">
        <v>23</v>
      </c>
      <c r="H630">
        <f t="shared" si="9"/>
        <v>629</v>
      </c>
      <c r="I630" t="s">
        <v>24</v>
      </c>
      <c r="J630" s="3">
        <v>19120</v>
      </c>
      <c r="K630" t="b">
        <v>0</v>
      </c>
      <c r="L630" t="b">
        <v>0</v>
      </c>
      <c r="M630" t="b">
        <v>1</v>
      </c>
    </row>
    <row r="631" spans="1:13" x14ac:dyDescent="0.3">
      <c r="A631">
        <v>48</v>
      </c>
      <c r="B631" t="s">
        <v>18</v>
      </c>
      <c r="C631" s="1">
        <v>5</v>
      </c>
      <c r="D631" t="s">
        <v>28</v>
      </c>
      <c r="E631" t="s">
        <v>14</v>
      </c>
      <c r="F631" t="s">
        <v>22</v>
      </c>
      <c r="G631" t="s">
        <v>29</v>
      </c>
      <c r="H631">
        <f t="shared" si="9"/>
        <v>630</v>
      </c>
      <c r="I631" t="s">
        <v>17</v>
      </c>
      <c r="J631" s="3">
        <v>11951</v>
      </c>
      <c r="K631" t="b">
        <v>0</v>
      </c>
      <c r="L631" t="b">
        <v>0</v>
      </c>
      <c r="M631" t="b">
        <v>1</v>
      </c>
    </row>
    <row r="632" spans="1:13" x14ac:dyDescent="0.3">
      <c r="A632">
        <v>36</v>
      </c>
      <c r="B632" t="s">
        <v>18</v>
      </c>
      <c r="C632" s="1">
        <v>9</v>
      </c>
      <c r="D632" t="s">
        <v>13</v>
      </c>
      <c r="E632" t="s">
        <v>14</v>
      </c>
      <c r="F632" t="s">
        <v>22</v>
      </c>
      <c r="G632" t="s">
        <v>29</v>
      </c>
      <c r="H632">
        <f t="shared" si="9"/>
        <v>631</v>
      </c>
      <c r="I632" t="s">
        <v>21</v>
      </c>
      <c r="J632" s="3">
        <v>19746</v>
      </c>
      <c r="K632" t="b">
        <v>0</v>
      </c>
      <c r="L632" t="b">
        <v>0</v>
      </c>
      <c r="M632" t="b">
        <v>1</v>
      </c>
    </row>
    <row r="633" spans="1:13" x14ac:dyDescent="0.3">
      <c r="A633">
        <v>61</v>
      </c>
      <c r="B633" t="s">
        <v>12</v>
      </c>
      <c r="C633" s="1">
        <v>4</v>
      </c>
      <c r="D633" t="s">
        <v>28</v>
      </c>
      <c r="E633" t="s">
        <v>14</v>
      </c>
      <c r="F633" t="s">
        <v>22</v>
      </c>
      <c r="G633" t="s">
        <v>16</v>
      </c>
      <c r="H633">
        <f t="shared" si="9"/>
        <v>632</v>
      </c>
      <c r="I633" t="s">
        <v>17</v>
      </c>
      <c r="J633" s="3">
        <v>19186</v>
      </c>
      <c r="K633" t="b">
        <v>0</v>
      </c>
      <c r="L633" t="b">
        <v>0</v>
      </c>
      <c r="M633" t="b">
        <v>1</v>
      </c>
    </row>
    <row r="634" spans="1:13" x14ac:dyDescent="0.3">
      <c r="A634">
        <v>56</v>
      </c>
      <c r="B634" t="s">
        <v>25</v>
      </c>
      <c r="C634" s="1">
        <v>3</v>
      </c>
      <c r="D634" t="s">
        <v>13</v>
      </c>
      <c r="E634" t="s">
        <v>20</v>
      </c>
      <c r="F634" t="s">
        <v>22</v>
      </c>
      <c r="G634" t="s">
        <v>16</v>
      </c>
      <c r="H634">
        <f t="shared" si="9"/>
        <v>633</v>
      </c>
      <c r="I634" t="s">
        <v>24</v>
      </c>
      <c r="J634" s="3">
        <v>17799</v>
      </c>
      <c r="K634" t="b">
        <v>0</v>
      </c>
      <c r="L634" t="b">
        <v>1</v>
      </c>
      <c r="M634" t="b">
        <v>0</v>
      </c>
    </row>
    <row r="635" spans="1:13" x14ac:dyDescent="0.3">
      <c r="A635">
        <v>44</v>
      </c>
      <c r="B635" t="s">
        <v>25</v>
      </c>
      <c r="C635" s="1">
        <v>7</v>
      </c>
      <c r="D635" t="s">
        <v>19</v>
      </c>
      <c r="E635" t="s">
        <v>20</v>
      </c>
      <c r="F635" t="s">
        <v>22</v>
      </c>
      <c r="G635" t="s">
        <v>16</v>
      </c>
      <c r="H635">
        <f t="shared" si="9"/>
        <v>634</v>
      </c>
      <c r="I635" t="s">
        <v>24</v>
      </c>
      <c r="J635" s="3">
        <v>18804</v>
      </c>
      <c r="K635" t="b">
        <v>0</v>
      </c>
      <c r="L635" t="b">
        <v>1</v>
      </c>
      <c r="M635" t="b">
        <v>1</v>
      </c>
    </row>
    <row r="636" spans="1:13" x14ac:dyDescent="0.3">
      <c r="A636">
        <v>27</v>
      </c>
      <c r="B636" t="s">
        <v>18</v>
      </c>
      <c r="C636" s="1">
        <v>6</v>
      </c>
      <c r="D636" t="s">
        <v>13</v>
      </c>
      <c r="E636" t="s">
        <v>14</v>
      </c>
      <c r="F636" t="s">
        <v>15</v>
      </c>
      <c r="G636" t="s">
        <v>16</v>
      </c>
      <c r="H636">
        <f t="shared" si="9"/>
        <v>635</v>
      </c>
      <c r="I636" t="s">
        <v>21</v>
      </c>
      <c r="J636" s="3">
        <v>10595</v>
      </c>
      <c r="K636" t="b">
        <v>1</v>
      </c>
      <c r="L636" t="b">
        <v>0</v>
      </c>
      <c r="M636" t="b">
        <v>1</v>
      </c>
    </row>
    <row r="637" spans="1:13" x14ac:dyDescent="0.3">
      <c r="A637">
        <v>43</v>
      </c>
      <c r="B637" t="s">
        <v>12</v>
      </c>
      <c r="C637" s="1">
        <v>8</v>
      </c>
      <c r="D637" t="s">
        <v>13</v>
      </c>
      <c r="E637" t="s">
        <v>14</v>
      </c>
      <c r="F637" t="s">
        <v>22</v>
      </c>
      <c r="G637" t="s">
        <v>29</v>
      </c>
      <c r="H637">
        <f t="shared" si="9"/>
        <v>636</v>
      </c>
      <c r="I637" t="s">
        <v>24</v>
      </c>
      <c r="J637" s="3">
        <v>17875</v>
      </c>
      <c r="K637" t="b">
        <v>1</v>
      </c>
      <c r="L637" t="b">
        <v>0</v>
      </c>
      <c r="M637" t="b">
        <v>1</v>
      </c>
    </row>
    <row r="638" spans="1:13" x14ac:dyDescent="0.3">
      <c r="A638">
        <v>36</v>
      </c>
      <c r="B638" t="s">
        <v>12</v>
      </c>
      <c r="C638" s="1">
        <v>3</v>
      </c>
      <c r="D638" t="s">
        <v>28</v>
      </c>
      <c r="E638" t="s">
        <v>20</v>
      </c>
      <c r="F638" t="s">
        <v>27</v>
      </c>
      <c r="G638" t="s">
        <v>23</v>
      </c>
      <c r="H638">
        <f t="shared" si="9"/>
        <v>637</v>
      </c>
      <c r="I638" t="s">
        <v>17</v>
      </c>
      <c r="J638" s="3">
        <v>19033</v>
      </c>
      <c r="K638" t="b">
        <v>1</v>
      </c>
      <c r="L638" t="b">
        <v>1</v>
      </c>
      <c r="M638" t="b">
        <v>0</v>
      </c>
    </row>
    <row r="639" spans="1:13" x14ac:dyDescent="0.3">
      <c r="A639">
        <v>56</v>
      </c>
      <c r="B639" t="s">
        <v>25</v>
      </c>
      <c r="C639" s="1">
        <v>5</v>
      </c>
      <c r="D639" t="s">
        <v>28</v>
      </c>
      <c r="E639" t="s">
        <v>26</v>
      </c>
      <c r="F639" t="s">
        <v>15</v>
      </c>
      <c r="G639" t="s">
        <v>29</v>
      </c>
      <c r="H639">
        <f t="shared" si="9"/>
        <v>638</v>
      </c>
      <c r="I639" t="s">
        <v>17</v>
      </c>
      <c r="J639" s="3">
        <v>14439</v>
      </c>
      <c r="K639" t="b">
        <v>1</v>
      </c>
      <c r="L639" t="b">
        <v>1</v>
      </c>
      <c r="M639" t="b">
        <v>1</v>
      </c>
    </row>
    <row r="640" spans="1:13" x14ac:dyDescent="0.3">
      <c r="A640">
        <v>20</v>
      </c>
      <c r="B640" t="s">
        <v>12</v>
      </c>
      <c r="C640" s="1">
        <v>4</v>
      </c>
      <c r="D640" t="s">
        <v>13</v>
      </c>
      <c r="E640" t="s">
        <v>14</v>
      </c>
      <c r="F640" t="s">
        <v>22</v>
      </c>
      <c r="G640" t="s">
        <v>29</v>
      </c>
      <c r="H640">
        <f t="shared" si="9"/>
        <v>639</v>
      </c>
      <c r="I640" t="s">
        <v>21</v>
      </c>
      <c r="J640" s="3">
        <v>15972</v>
      </c>
      <c r="K640" t="b">
        <v>1</v>
      </c>
      <c r="L640" t="b">
        <v>1</v>
      </c>
      <c r="M640" t="b">
        <v>1</v>
      </c>
    </row>
    <row r="641" spans="1:13" x14ac:dyDescent="0.3">
      <c r="A641">
        <v>62</v>
      </c>
      <c r="B641" t="s">
        <v>12</v>
      </c>
      <c r="C641" s="1">
        <v>4</v>
      </c>
      <c r="D641" t="s">
        <v>19</v>
      </c>
      <c r="E641" t="s">
        <v>26</v>
      </c>
      <c r="F641" t="s">
        <v>27</v>
      </c>
      <c r="G641" t="s">
        <v>29</v>
      </c>
      <c r="H641">
        <f t="shared" si="9"/>
        <v>640</v>
      </c>
      <c r="I641" t="s">
        <v>24</v>
      </c>
      <c r="J641" s="3">
        <v>10858</v>
      </c>
      <c r="K641" t="b">
        <v>1</v>
      </c>
      <c r="L641" t="b">
        <v>1</v>
      </c>
      <c r="M641" t="b">
        <v>0</v>
      </c>
    </row>
    <row r="642" spans="1:13" x14ac:dyDescent="0.3">
      <c r="A642">
        <v>30</v>
      </c>
      <c r="B642" t="s">
        <v>18</v>
      </c>
      <c r="C642" s="1">
        <v>4</v>
      </c>
      <c r="D642" t="s">
        <v>13</v>
      </c>
      <c r="E642" t="s">
        <v>20</v>
      </c>
      <c r="F642" t="s">
        <v>22</v>
      </c>
      <c r="G642" t="s">
        <v>23</v>
      </c>
      <c r="H642">
        <f t="shared" si="9"/>
        <v>641</v>
      </c>
      <c r="I642" t="s">
        <v>21</v>
      </c>
      <c r="J642" s="3">
        <v>15519</v>
      </c>
      <c r="K642" t="b">
        <v>1</v>
      </c>
      <c r="L642" t="b">
        <v>0</v>
      </c>
      <c r="M642" t="b">
        <v>1</v>
      </c>
    </row>
    <row r="643" spans="1:13" x14ac:dyDescent="0.3">
      <c r="A643">
        <v>45</v>
      </c>
      <c r="B643" t="s">
        <v>12</v>
      </c>
      <c r="C643" s="1">
        <v>8</v>
      </c>
      <c r="D643" t="s">
        <v>13</v>
      </c>
      <c r="E643" t="s">
        <v>14</v>
      </c>
      <c r="F643" t="s">
        <v>27</v>
      </c>
      <c r="G643" t="s">
        <v>16</v>
      </c>
      <c r="H643">
        <f t="shared" si="9"/>
        <v>642</v>
      </c>
      <c r="I643" t="s">
        <v>17</v>
      </c>
      <c r="J643" s="3">
        <v>17385</v>
      </c>
      <c r="K643" t="b">
        <v>1</v>
      </c>
      <c r="L643" t="b">
        <v>0</v>
      </c>
      <c r="M643" t="b">
        <v>1</v>
      </c>
    </row>
    <row r="644" spans="1:13" x14ac:dyDescent="0.3">
      <c r="A644">
        <v>37</v>
      </c>
      <c r="B644" t="s">
        <v>18</v>
      </c>
      <c r="C644" s="1">
        <v>6</v>
      </c>
      <c r="D644" t="s">
        <v>19</v>
      </c>
      <c r="E644" t="s">
        <v>26</v>
      </c>
      <c r="F644" t="s">
        <v>27</v>
      </c>
      <c r="G644" t="s">
        <v>29</v>
      </c>
      <c r="H644">
        <f t="shared" ref="H644:I707" si="10">H643+1</f>
        <v>643</v>
      </c>
      <c r="I644" t="s">
        <v>21</v>
      </c>
      <c r="J644" s="3">
        <v>18636</v>
      </c>
      <c r="K644" t="b">
        <v>1</v>
      </c>
      <c r="L644" t="b">
        <v>1</v>
      </c>
      <c r="M644" t="b">
        <v>0</v>
      </c>
    </row>
    <row r="645" spans="1:13" x14ac:dyDescent="0.3">
      <c r="A645">
        <v>45</v>
      </c>
      <c r="B645" t="s">
        <v>25</v>
      </c>
      <c r="C645" s="1">
        <v>3</v>
      </c>
      <c r="D645" t="s">
        <v>28</v>
      </c>
      <c r="E645" t="s">
        <v>26</v>
      </c>
      <c r="F645" t="s">
        <v>27</v>
      </c>
      <c r="G645" t="s">
        <v>29</v>
      </c>
      <c r="H645">
        <f t="shared" si="10"/>
        <v>644</v>
      </c>
      <c r="I645" t="s">
        <v>24</v>
      </c>
      <c r="J645" s="3">
        <v>19980</v>
      </c>
      <c r="K645" t="b">
        <v>0</v>
      </c>
      <c r="L645" t="b">
        <v>1</v>
      </c>
      <c r="M645" t="b">
        <v>1</v>
      </c>
    </row>
    <row r="646" spans="1:13" x14ac:dyDescent="0.3">
      <c r="A646">
        <v>25</v>
      </c>
      <c r="B646" t="s">
        <v>12</v>
      </c>
      <c r="C646" s="1">
        <v>5</v>
      </c>
      <c r="D646" t="s">
        <v>13</v>
      </c>
      <c r="E646" t="s">
        <v>26</v>
      </c>
      <c r="F646" t="s">
        <v>27</v>
      </c>
      <c r="G646" t="s">
        <v>16</v>
      </c>
      <c r="H646">
        <f t="shared" si="10"/>
        <v>645</v>
      </c>
      <c r="I646" t="s">
        <v>21</v>
      </c>
      <c r="J646" s="3">
        <v>14317</v>
      </c>
      <c r="K646" t="b">
        <v>0</v>
      </c>
      <c r="L646" t="b">
        <v>1</v>
      </c>
      <c r="M646" t="b">
        <v>0</v>
      </c>
    </row>
    <row r="647" spans="1:13" x14ac:dyDescent="0.3">
      <c r="A647">
        <v>58</v>
      </c>
      <c r="B647" t="s">
        <v>25</v>
      </c>
      <c r="C647" s="1">
        <v>6</v>
      </c>
      <c r="D647" t="s">
        <v>28</v>
      </c>
      <c r="E647" t="s">
        <v>20</v>
      </c>
      <c r="F647" t="s">
        <v>15</v>
      </c>
      <c r="G647" t="s">
        <v>29</v>
      </c>
      <c r="H647">
        <f t="shared" si="10"/>
        <v>646</v>
      </c>
      <c r="I647" t="s">
        <v>24</v>
      </c>
      <c r="J647" s="3">
        <v>13454</v>
      </c>
      <c r="K647" t="b">
        <v>1</v>
      </c>
      <c r="L647" t="b">
        <v>1</v>
      </c>
      <c r="M647" t="b">
        <v>1</v>
      </c>
    </row>
    <row r="648" spans="1:13" x14ac:dyDescent="0.3">
      <c r="A648">
        <v>56</v>
      </c>
      <c r="B648" t="s">
        <v>25</v>
      </c>
      <c r="C648" s="1">
        <v>5</v>
      </c>
      <c r="D648" t="s">
        <v>28</v>
      </c>
      <c r="E648" t="s">
        <v>20</v>
      </c>
      <c r="F648" t="s">
        <v>15</v>
      </c>
      <c r="G648" t="s">
        <v>23</v>
      </c>
      <c r="H648">
        <f t="shared" si="10"/>
        <v>647</v>
      </c>
      <c r="I648" t="s">
        <v>24</v>
      </c>
      <c r="J648" s="3">
        <v>11030</v>
      </c>
      <c r="K648" t="b">
        <v>0</v>
      </c>
      <c r="L648" t="b">
        <v>0</v>
      </c>
      <c r="M648" t="b">
        <v>1</v>
      </c>
    </row>
    <row r="649" spans="1:13" x14ac:dyDescent="0.3">
      <c r="A649">
        <v>18</v>
      </c>
      <c r="B649" t="s">
        <v>12</v>
      </c>
      <c r="C649" s="1">
        <v>6</v>
      </c>
      <c r="D649" t="s">
        <v>19</v>
      </c>
      <c r="E649" t="s">
        <v>26</v>
      </c>
      <c r="F649" t="s">
        <v>27</v>
      </c>
      <c r="G649" t="s">
        <v>29</v>
      </c>
      <c r="H649">
        <f t="shared" si="10"/>
        <v>648</v>
      </c>
      <c r="I649" t="s">
        <v>17</v>
      </c>
      <c r="J649" s="3">
        <v>19487</v>
      </c>
      <c r="K649" t="b">
        <v>0</v>
      </c>
      <c r="L649" t="b">
        <v>1</v>
      </c>
      <c r="M649" t="b">
        <v>1</v>
      </c>
    </row>
    <row r="650" spans="1:13" x14ac:dyDescent="0.3">
      <c r="A650">
        <v>20</v>
      </c>
      <c r="B650" t="s">
        <v>12</v>
      </c>
      <c r="C650" s="1">
        <v>8</v>
      </c>
      <c r="D650" t="s">
        <v>19</v>
      </c>
      <c r="E650" t="s">
        <v>26</v>
      </c>
      <c r="F650" t="s">
        <v>22</v>
      </c>
      <c r="G650" t="s">
        <v>29</v>
      </c>
      <c r="H650">
        <f t="shared" si="10"/>
        <v>649</v>
      </c>
      <c r="I650" t="s">
        <v>17</v>
      </c>
      <c r="J650" s="3">
        <v>17906</v>
      </c>
      <c r="K650" t="b">
        <v>1</v>
      </c>
      <c r="L650" t="b">
        <v>1</v>
      </c>
      <c r="M650" t="b">
        <v>0</v>
      </c>
    </row>
    <row r="651" spans="1:13" x14ac:dyDescent="0.3">
      <c r="A651">
        <v>30</v>
      </c>
      <c r="B651" t="s">
        <v>25</v>
      </c>
      <c r="C651" s="1">
        <v>7</v>
      </c>
      <c r="D651" t="s">
        <v>28</v>
      </c>
      <c r="E651" t="s">
        <v>20</v>
      </c>
      <c r="F651" t="s">
        <v>27</v>
      </c>
      <c r="G651" t="s">
        <v>16</v>
      </c>
      <c r="H651">
        <f t="shared" si="10"/>
        <v>650</v>
      </c>
      <c r="I651" t="s">
        <v>17</v>
      </c>
      <c r="J651" s="3">
        <v>11447</v>
      </c>
      <c r="K651" t="b">
        <v>1</v>
      </c>
      <c r="L651" t="b">
        <v>1</v>
      </c>
      <c r="M651" t="b">
        <v>0</v>
      </c>
    </row>
    <row r="652" spans="1:13" x14ac:dyDescent="0.3">
      <c r="A652">
        <v>45</v>
      </c>
      <c r="B652" t="s">
        <v>12</v>
      </c>
      <c r="C652" s="1">
        <v>5</v>
      </c>
      <c r="D652" t="s">
        <v>13</v>
      </c>
      <c r="E652" t="s">
        <v>26</v>
      </c>
      <c r="F652" t="s">
        <v>15</v>
      </c>
      <c r="G652" t="s">
        <v>29</v>
      </c>
      <c r="H652">
        <f t="shared" si="10"/>
        <v>651</v>
      </c>
      <c r="I652" t="s">
        <v>24</v>
      </c>
      <c r="J652" s="3">
        <v>12850</v>
      </c>
      <c r="K652" t="b">
        <v>1</v>
      </c>
      <c r="L652" t="b">
        <v>0</v>
      </c>
      <c r="M652" t="b">
        <v>0</v>
      </c>
    </row>
    <row r="653" spans="1:13" x14ac:dyDescent="0.3">
      <c r="A653">
        <v>42</v>
      </c>
      <c r="B653" t="s">
        <v>18</v>
      </c>
      <c r="C653" s="1">
        <v>6</v>
      </c>
      <c r="D653" t="s">
        <v>28</v>
      </c>
      <c r="E653" t="s">
        <v>26</v>
      </c>
      <c r="F653" t="s">
        <v>22</v>
      </c>
      <c r="G653" t="s">
        <v>29</v>
      </c>
      <c r="H653">
        <f t="shared" si="10"/>
        <v>652</v>
      </c>
      <c r="I653" t="s">
        <v>21</v>
      </c>
      <c r="J653" s="3">
        <v>18106</v>
      </c>
      <c r="K653" t="b">
        <v>0</v>
      </c>
      <c r="L653" t="b">
        <v>0</v>
      </c>
      <c r="M653" t="b">
        <v>1</v>
      </c>
    </row>
    <row r="654" spans="1:13" x14ac:dyDescent="0.3">
      <c r="A654">
        <v>50</v>
      </c>
      <c r="B654" t="s">
        <v>18</v>
      </c>
      <c r="C654" s="1">
        <v>4</v>
      </c>
      <c r="D654" t="s">
        <v>13</v>
      </c>
      <c r="E654" t="s">
        <v>20</v>
      </c>
      <c r="F654" t="s">
        <v>15</v>
      </c>
      <c r="G654" t="s">
        <v>23</v>
      </c>
      <c r="H654">
        <f t="shared" si="10"/>
        <v>653</v>
      </c>
      <c r="I654" t="s">
        <v>24</v>
      </c>
      <c r="J654" s="3">
        <v>17151</v>
      </c>
      <c r="K654" t="b">
        <v>0</v>
      </c>
      <c r="L654" t="b">
        <v>0</v>
      </c>
      <c r="M654" t="b">
        <v>1</v>
      </c>
    </row>
    <row r="655" spans="1:13" x14ac:dyDescent="0.3">
      <c r="A655">
        <v>55</v>
      </c>
      <c r="B655" t="s">
        <v>12</v>
      </c>
      <c r="C655" s="1">
        <v>9</v>
      </c>
      <c r="D655" t="s">
        <v>13</v>
      </c>
      <c r="E655" t="s">
        <v>26</v>
      </c>
      <c r="F655" t="s">
        <v>15</v>
      </c>
      <c r="G655" t="s">
        <v>16</v>
      </c>
      <c r="H655">
        <f t="shared" si="10"/>
        <v>654</v>
      </c>
      <c r="I655" t="s">
        <v>17</v>
      </c>
      <c r="J655" s="3">
        <v>19503</v>
      </c>
      <c r="K655" t="b">
        <v>1</v>
      </c>
      <c r="L655" t="b">
        <v>1</v>
      </c>
      <c r="M655" t="b">
        <v>0</v>
      </c>
    </row>
    <row r="656" spans="1:13" x14ac:dyDescent="0.3">
      <c r="A656">
        <v>23</v>
      </c>
      <c r="B656" t="s">
        <v>25</v>
      </c>
      <c r="C656" s="1">
        <v>4</v>
      </c>
      <c r="D656" t="s">
        <v>19</v>
      </c>
      <c r="E656" t="s">
        <v>26</v>
      </c>
      <c r="F656" t="s">
        <v>22</v>
      </c>
      <c r="G656" t="s">
        <v>16</v>
      </c>
      <c r="H656">
        <f t="shared" si="10"/>
        <v>655</v>
      </c>
      <c r="I656" t="s">
        <v>17</v>
      </c>
      <c r="J656" s="3">
        <v>16952</v>
      </c>
      <c r="K656" t="b">
        <v>0</v>
      </c>
      <c r="L656" t="b">
        <v>1</v>
      </c>
      <c r="M656" t="b">
        <v>0</v>
      </c>
    </row>
    <row r="657" spans="1:13" x14ac:dyDescent="0.3">
      <c r="A657">
        <v>61</v>
      </c>
      <c r="B657" t="s">
        <v>12</v>
      </c>
      <c r="C657" s="1">
        <v>1</v>
      </c>
      <c r="D657" t="s">
        <v>13</v>
      </c>
      <c r="E657" t="s">
        <v>26</v>
      </c>
      <c r="F657" t="s">
        <v>27</v>
      </c>
      <c r="G657" t="s">
        <v>23</v>
      </c>
      <c r="H657">
        <f t="shared" si="10"/>
        <v>656</v>
      </c>
      <c r="I657" t="s">
        <v>21</v>
      </c>
      <c r="J657" s="3">
        <v>14055</v>
      </c>
      <c r="K657" t="b">
        <v>0</v>
      </c>
      <c r="L657" t="b">
        <v>1</v>
      </c>
      <c r="M657" t="b">
        <v>1</v>
      </c>
    </row>
    <row r="658" spans="1:13" x14ac:dyDescent="0.3">
      <c r="A658">
        <v>62</v>
      </c>
      <c r="B658" t="s">
        <v>12</v>
      </c>
      <c r="C658" s="1">
        <v>7</v>
      </c>
      <c r="D658" t="s">
        <v>13</v>
      </c>
      <c r="E658" t="s">
        <v>20</v>
      </c>
      <c r="F658" t="s">
        <v>27</v>
      </c>
      <c r="G658" t="s">
        <v>29</v>
      </c>
      <c r="H658">
        <f t="shared" si="10"/>
        <v>657</v>
      </c>
      <c r="I658" t="s">
        <v>17</v>
      </c>
      <c r="J658" s="3">
        <v>15402</v>
      </c>
      <c r="K658" t="b">
        <v>0</v>
      </c>
      <c r="L658" t="b">
        <v>0</v>
      </c>
      <c r="M658" t="b">
        <v>1</v>
      </c>
    </row>
    <row r="659" spans="1:13" x14ac:dyDescent="0.3">
      <c r="A659">
        <v>49</v>
      </c>
      <c r="B659" t="s">
        <v>25</v>
      </c>
      <c r="C659" s="1">
        <v>7</v>
      </c>
      <c r="D659" t="s">
        <v>28</v>
      </c>
      <c r="E659" t="s">
        <v>26</v>
      </c>
      <c r="F659" t="s">
        <v>27</v>
      </c>
      <c r="G659" t="s">
        <v>16</v>
      </c>
      <c r="H659">
        <f t="shared" si="10"/>
        <v>658</v>
      </c>
      <c r="I659" t="s">
        <v>17</v>
      </c>
      <c r="J659" s="3">
        <v>19281</v>
      </c>
      <c r="K659" t="b">
        <v>1</v>
      </c>
      <c r="L659" t="b">
        <v>0</v>
      </c>
      <c r="M659" t="b">
        <v>1</v>
      </c>
    </row>
    <row r="660" spans="1:13" x14ac:dyDescent="0.3">
      <c r="A660">
        <v>62</v>
      </c>
      <c r="B660" t="s">
        <v>25</v>
      </c>
      <c r="C660" s="1">
        <v>4</v>
      </c>
      <c r="D660" t="s">
        <v>19</v>
      </c>
      <c r="E660" t="s">
        <v>20</v>
      </c>
      <c r="F660" t="s">
        <v>27</v>
      </c>
      <c r="G660" t="s">
        <v>16</v>
      </c>
      <c r="H660">
        <f t="shared" si="10"/>
        <v>659</v>
      </c>
      <c r="I660" t="s">
        <v>17</v>
      </c>
      <c r="J660" s="3">
        <v>11672</v>
      </c>
      <c r="K660" t="b">
        <v>0</v>
      </c>
      <c r="L660" t="b">
        <v>1</v>
      </c>
      <c r="M660" t="b">
        <v>1</v>
      </c>
    </row>
    <row r="661" spans="1:13" x14ac:dyDescent="0.3">
      <c r="A661">
        <v>64</v>
      </c>
      <c r="B661" t="s">
        <v>18</v>
      </c>
      <c r="C661" s="1">
        <v>3</v>
      </c>
      <c r="D661" t="s">
        <v>13</v>
      </c>
      <c r="E661" t="s">
        <v>20</v>
      </c>
      <c r="F661" t="s">
        <v>22</v>
      </c>
      <c r="G661" t="s">
        <v>29</v>
      </c>
      <c r="H661">
        <f t="shared" si="10"/>
        <v>660</v>
      </c>
      <c r="I661" t="s">
        <v>21</v>
      </c>
      <c r="J661" s="3">
        <v>14532</v>
      </c>
      <c r="K661" t="b">
        <v>0</v>
      </c>
      <c r="L661" t="b">
        <v>1</v>
      </c>
      <c r="M661" t="b">
        <v>0</v>
      </c>
    </row>
    <row r="662" spans="1:13" x14ac:dyDescent="0.3">
      <c r="A662">
        <v>38</v>
      </c>
      <c r="B662" t="s">
        <v>25</v>
      </c>
      <c r="C662" s="1">
        <v>8</v>
      </c>
      <c r="D662" t="s">
        <v>13</v>
      </c>
      <c r="E662" t="s">
        <v>14</v>
      </c>
      <c r="F662" t="s">
        <v>22</v>
      </c>
      <c r="G662" t="s">
        <v>29</v>
      </c>
      <c r="H662">
        <f t="shared" si="10"/>
        <v>661</v>
      </c>
      <c r="I662" t="s">
        <v>24</v>
      </c>
      <c r="J662" s="3">
        <v>14924</v>
      </c>
      <c r="K662" t="b">
        <v>0</v>
      </c>
      <c r="L662" t="b">
        <v>0</v>
      </c>
      <c r="M662" t="b">
        <v>1</v>
      </c>
    </row>
    <row r="663" spans="1:13" x14ac:dyDescent="0.3">
      <c r="A663">
        <v>33</v>
      </c>
      <c r="B663" t="s">
        <v>18</v>
      </c>
      <c r="C663" s="1">
        <v>5</v>
      </c>
      <c r="D663" t="s">
        <v>19</v>
      </c>
      <c r="E663" t="s">
        <v>14</v>
      </c>
      <c r="F663" t="s">
        <v>22</v>
      </c>
      <c r="G663" t="s">
        <v>16</v>
      </c>
      <c r="H663">
        <f t="shared" si="10"/>
        <v>662</v>
      </c>
      <c r="I663" t="s">
        <v>17</v>
      </c>
      <c r="J663" s="3">
        <v>16085</v>
      </c>
      <c r="K663" t="b">
        <v>0</v>
      </c>
      <c r="L663" t="b">
        <v>1</v>
      </c>
      <c r="M663" t="b">
        <v>1</v>
      </c>
    </row>
    <row r="664" spans="1:13" x14ac:dyDescent="0.3">
      <c r="A664">
        <v>38</v>
      </c>
      <c r="B664" t="s">
        <v>25</v>
      </c>
      <c r="C664" s="1">
        <v>7</v>
      </c>
      <c r="D664" t="s">
        <v>28</v>
      </c>
      <c r="E664" t="s">
        <v>26</v>
      </c>
      <c r="F664" t="s">
        <v>15</v>
      </c>
      <c r="G664" t="s">
        <v>29</v>
      </c>
      <c r="H664">
        <f t="shared" si="10"/>
        <v>663</v>
      </c>
      <c r="I664" t="s">
        <v>21</v>
      </c>
      <c r="J664" s="3">
        <v>17734</v>
      </c>
      <c r="K664" t="b">
        <v>0</v>
      </c>
      <c r="L664" t="b">
        <v>1</v>
      </c>
      <c r="M664" t="b">
        <v>1</v>
      </c>
    </row>
    <row r="665" spans="1:13" x14ac:dyDescent="0.3">
      <c r="A665">
        <v>28</v>
      </c>
      <c r="B665" t="s">
        <v>12</v>
      </c>
      <c r="C665" s="1">
        <v>4</v>
      </c>
      <c r="D665" t="s">
        <v>19</v>
      </c>
      <c r="E665" t="s">
        <v>20</v>
      </c>
      <c r="F665" t="s">
        <v>22</v>
      </c>
      <c r="G665" t="s">
        <v>16</v>
      </c>
      <c r="H665">
        <f t="shared" si="10"/>
        <v>664</v>
      </c>
      <c r="I665" t="s">
        <v>17</v>
      </c>
      <c r="J665" s="3">
        <v>14864</v>
      </c>
      <c r="K665" t="b">
        <v>0</v>
      </c>
      <c r="L665" t="b">
        <v>1</v>
      </c>
      <c r="M665" t="b">
        <v>1</v>
      </c>
    </row>
    <row r="666" spans="1:13" x14ac:dyDescent="0.3">
      <c r="A666">
        <v>54</v>
      </c>
      <c r="B666" t="s">
        <v>18</v>
      </c>
      <c r="C666" s="1">
        <v>4</v>
      </c>
      <c r="D666" t="s">
        <v>19</v>
      </c>
      <c r="E666" t="s">
        <v>14</v>
      </c>
      <c r="F666" t="s">
        <v>27</v>
      </c>
      <c r="G666" t="s">
        <v>29</v>
      </c>
      <c r="H666">
        <f t="shared" si="10"/>
        <v>665</v>
      </c>
      <c r="I666" t="s">
        <v>21</v>
      </c>
      <c r="J666" s="3">
        <v>19316</v>
      </c>
      <c r="K666" t="b">
        <v>0</v>
      </c>
      <c r="L666" t="b">
        <v>0</v>
      </c>
      <c r="M666" t="b">
        <v>1</v>
      </c>
    </row>
    <row r="667" spans="1:13" x14ac:dyDescent="0.3">
      <c r="A667">
        <v>53</v>
      </c>
      <c r="B667" t="s">
        <v>18</v>
      </c>
      <c r="C667" s="1">
        <v>8</v>
      </c>
      <c r="D667" t="s">
        <v>13</v>
      </c>
      <c r="E667" t="s">
        <v>26</v>
      </c>
      <c r="F667" t="s">
        <v>15</v>
      </c>
      <c r="G667" t="s">
        <v>29</v>
      </c>
      <c r="H667">
        <f t="shared" si="10"/>
        <v>666</v>
      </c>
      <c r="I667" t="s">
        <v>17</v>
      </c>
      <c r="J667" s="3">
        <v>11221</v>
      </c>
      <c r="K667" t="b">
        <v>1</v>
      </c>
      <c r="L667" t="b">
        <v>1</v>
      </c>
      <c r="M667" t="b">
        <v>1</v>
      </c>
    </row>
    <row r="668" spans="1:13" x14ac:dyDescent="0.3">
      <c r="A668">
        <v>52</v>
      </c>
      <c r="B668" t="s">
        <v>18</v>
      </c>
      <c r="C668" s="1">
        <v>8</v>
      </c>
      <c r="D668" t="s">
        <v>13</v>
      </c>
      <c r="E668" t="s">
        <v>14</v>
      </c>
      <c r="F668" t="s">
        <v>27</v>
      </c>
      <c r="G668" t="s">
        <v>23</v>
      </c>
      <c r="H668">
        <f t="shared" si="10"/>
        <v>667</v>
      </c>
      <c r="I668" t="s">
        <v>21</v>
      </c>
      <c r="J668" s="3">
        <v>12860</v>
      </c>
      <c r="K668" t="b">
        <v>1</v>
      </c>
      <c r="L668" t="b">
        <v>1</v>
      </c>
      <c r="M668" t="b">
        <v>1</v>
      </c>
    </row>
    <row r="669" spans="1:13" x14ac:dyDescent="0.3">
      <c r="A669">
        <v>36</v>
      </c>
      <c r="B669" t="s">
        <v>12</v>
      </c>
      <c r="C669" s="1">
        <v>2</v>
      </c>
      <c r="D669" t="s">
        <v>28</v>
      </c>
      <c r="E669" t="s">
        <v>14</v>
      </c>
      <c r="F669" t="s">
        <v>27</v>
      </c>
      <c r="G669" t="s">
        <v>29</v>
      </c>
      <c r="H669">
        <f t="shared" si="10"/>
        <v>668</v>
      </c>
      <c r="I669" t="s">
        <v>17</v>
      </c>
      <c r="J669" s="3">
        <v>18428</v>
      </c>
      <c r="K669" t="b">
        <v>0</v>
      </c>
      <c r="L669" t="b">
        <v>1</v>
      </c>
      <c r="M669" t="b">
        <v>0</v>
      </c>
    </row>
    <row r="670" spans="1:13" x14ac:dyDescent="0.3">
      <c r="A670">
        <v>37</v>
      </c>
      <c r="B670" t="s">
        <v>12</v>
      </c>
      <c r="C670" s="1">
        <v>2</v>
      </c>
      <c r="D670" t="s">
        <v>13</v>
      </c>
      <c r="E670" t="s">
        <v>20</v>
      </c>
      <c r="F670" t="s">
        <v>22</v>
      </c>
      <c r="G670" t="s">
        <v>23</v>
      </c>
      <c r="H670">
        <f t="shared" si="10"/>
        <v>669</v>
      </c>
      <c r="I670" t="s">
        <v>24</v>
      </c>
      <c r="J670" s="3">
        <v>19336</v>
      </c>
      <c r="K670" t="b">
        <v>1</v>
      </c>
      <c r="L670" t="b">
        <v>1</v>
      </c>
      <c r="M670" t="b">
        <v>0</v>
      </c>
    </row>
    <row r="671" spans="1:13" x14ac:dyDescent="0.3">
      <c r="A671">
        <v>35</v>
      </c>
      <c r="B671" t="s">
        <v>12</v>
      </c>
      <c r="C671" s="1">
        <v>3</v>
      </c>
      <c r="D671" t="s">
        <v>13</v>
      </c>
      <c r="E671" t="s">
        <v>20</v>
      </c>
      <c r="F671" t="s">
        <v>22</v>
      </c>
      <c r="G671" t="s">
        <v>29</v>
      </c>
      <c r="H671">
        <f t="shared" si="10"/>
        <v>670</v>
      </c>
      <c r="I671" t="s">
        <v>17</v>
      </c>
      <c r="J671" s="3">
        <v>13253</v>
      </c>
      <c r="K671" t="b">
        <v>0</v>
      </c>
      <c r="L671" t="b">
        <v>0</v>
      </c>
      <c r="M671" t="b">
        <v>0</v>
      </c>
    </row>
    <row r="672" spans="1:13" x14ac:dyDescent="0.3">
      <c r="A672">
        <v>64</v>
      </c>
      <c r="B672" t="s">
        <v>12</v>
      </c>
      <c r="C672" s="1">
        <v>3</v>
      </c>
      <c r="D672" t="s">
        <v>19</v>
      </c>
      <c r="E672" t="s">
        <v>14</v>
      </c>
      <c r="F672" t="s">
        <v>27</v>
      </c>
      <c r="G672" t="s">
        <v>16</v>
      </c>
      <c r="H672">
        <f t="shared" si="10"/>
        <v>671</v>
      </c>
      <c r="I672" t="s">
        <v>21</v>
      </c>
      <c r="J672" s="3">
        <v>13782</v>
      </c>
      <c r="K672" t="b">
        <v>0</v>
      </c>
      <c r="L672" t="b">
        <v>0</v>
      </c>
      <c r="M672" t="b">
        <v>1</v>
      </c>
    </row>
    <row r="673" spans="1:13" x14ac:dyDescent="0.3">
      <c r="A673">
        <v>58</v>
      </c>
      <c r="B673" t="s">
        <v>12</v>
      </c>
      <c r="C673" s="1">
        <v>1</v>
      </c>
      <c r="D673" t="s">
        <v>13</v>
      </c>
      <c r="E673" t="s">
        <v>14</v>
      </c>
      <c r="F673" t="s">
        <v>27</v>
      </c>
      <c r="G673" t="s">
        <v>16</v>
      </c>
      <c r="H673">
        <f t="shared" si="10"/>
        <v>672</v>
      </c>
      <c r="I673" t="s">
        <v>17</v>
      </c>
      <c r="J673" s="3">
        <v>16957</v>
      </c>
      <c r="K673" t="b">
        <v>0</v>
      </c>
      <c r="L673" t="b">
        <v>0</v>
      </c>
      <c r="M673" t="b">
        <v>0</v>
      </c>
    </row>
    <row r="674" spans="1:13" x14ac:dyDescent="0.3">
      <c r="A674">
        <v>31</v>
      </c>
      <c r="B674" t="s">
        <v>18</v>
      </c>
      <c r="C674" s="1">
        <v>3</v>
      </c>
      <c r="D674" t="s">
        <v>28</v>
      </c>
      <c r="E674" t="s">
        <v>20</v>
      </c>
      <c r="F674" t="s">
        <v>15</v>
      </c>
      <c r="G674" t="s">
        <v>29</v>
      </c>
      <c r="H674">
        <f t="shared" si="10"/>
        <v>673</v>
      </c>
      <c r="I674" t="s">
        <v>24</v>
      </c>
      <c r="J674" s="3">
        <v>10766</v>
      </c>
      <c r="K674" t="b">
        <v>1</v>
      </c>
      <c r="L674" t="b">
        <v>1</v>
      </c>
      <c r="M674" t="b">
        <v>1</v>
      </c>
    </row>
    <row r="675" spans="1:13" x14ac:dyDescent="0.3">
      <c r="A675">
        <v>32</v>
      </c>
      <c r="B675" t="s">
        <v>12</v>
      </c>
      <c r="C675" s="1">
        <v>6</v>
      </c>
      <c r="D675" t="s">
        <v>19</v>
      </c>
      <c r="E675" t="s">
        <v>26</v>
      </c>
      <c r="F675" t="s">
        <v>22</v>
      </c>
      <c r="G675" t="s">
        <v>29</v>
      </c>
      <c r="H675">
        <f t="shared" si="10"/>
        <v>674</v>
      </c>
      <c r="I675" t="s">
        <v>17</v>
      </c>
      <c r="J675" s="3">
        <v>12681</v>
      </c>
      <c r="K675" t="b">
        <v>0</v>
      </c>
      <c r="L675" t="b">
        <v>0</v>
      </c>
      <c r="M675" t="b">
        <v>1</v>
      </c>
    </row>
    <row r="676" spans="1:13" x14ac:dyDescent="0.3">
      <c r="A676">
        <v>48</v>
      </c>
      <c r="B676" t="s">
        <v>18</v>
      </c>
      <c r="C676" s="1">
        <v>8</v>
      </c>
      <c r="D676" t="s">
        <v>28</v>
      </c>
      <c r="E676" t="s">
        <v>20</v>
      </c>
      <c r="F676" t="s">
        <v>15</v>
      </c>
      <c r="G676" t="s">
        <v>16</v>
      </c>
      <c r="H676">
        <f t="shared" si="10"/>
        <v>675</v>
      </c>
      <c r="I676" t="s">
        <v>21</v>
      </c>
      <c r="J676" s="3">
        <v>17710</v>
      </c>
      <c r="K676" t="b">
        <v>0</v>
      </c>
      <c r="L676" t="b">
        <v>1</v>
      </c>
      <c r="M676" t="b">
        <v>1</v>
      </c>
    </row>
    <row r="677" spans="1:13" x14ac:dyDescent="0.3">
      <c r="A677">
        <v>18</v>
      </c>
      <c r="B677" t="s">
        <v>12</v>
      </c>
      <c r="C677" s="1">
        <v>6</v>
      </c>
      <c r="D677" t="s">
        <v>19</v>
      </c>
      <c r="E677" t="s">
        <v>14</v>
      </c>
      <c r="F677" t="s">
        <v>15</v>
      </c>
      <c r="G677" t="s">
        <v>29</v>
      </c>
      <c r="H677">
        <f t="shared" si="10"/>
        <v>676</v>
      </c>
      <c r="I677" t="s">
        <v>21</v>
      </c>
      <c r="J677" s="3">
        <v>17482</v>
      </c>
      <c r="K677" t="b">
        <v>1</v>
      </c>
      <c r="L677" t="b">
        <v>0</v>
      </c>
      <c r="M677" t="b">
        <v>1</v>
      </c>
    </row>
    <row r="678" spans="1:13" x14ac:dyDescent="0.3">
      <c r="A678">
        <v>20</v>
      </c>
      <c r="B678" t="s">
        <v>25</v>
      </c>
      <c r="C678" s="1">
        <v>5</v>
      </c>
      <c r="D678" t="s">
        <v>13</v>
      </c>
      <c r="E678" t="s">
        <v>26</v>
      </c>
      <c r="F678" t="s">
        <v>15</v>
      </c>
      <c r="G678" t="s">
        <v>23</v>
      </c>
      <c r="H678">
        <f t="shared" si="10"/>
        <v>677</v>
      </c>
      <c r="I678" t="s">
        <v>24</v>
      </c>
      <c r="J678" s="3">
        <v>15086</v>
      </c>
      <c r="K678" t="b">
        <v>1</v>
      </c>
      <c r="L678" t="b">
        <v>1</v>
      </c>
      <c r="M678" t="b">
        <v>0</v>
      </c>
    </row>
    <row r="679" spans="1:13" x14ac:dyDescent="0.3">
      <c r="A679">
        <v>33</v>
      </c>
      <c r="B679" t="s">
        <v>18</v>
      </c>
      <c r="C679" s="1">
        <v>4</v>
      </c>
      <c r="D679" t="s">
        <v>19</v>
      </c>
      <c r="E679" t="s">
        <v>14</v>
      </c>
      <c r="F679" t="s">
        <v>27</v>
      </c>
      <c r="G679" t="s">
        <v>23</v>
      </c>
      <c r="H679">
        <f t="shared" si="10"/>
        <v>678</v>
      </c>
      <c r="I679" t="s">
        <v>21</v>
      </c>
      <c r="J679" s="3">
        <v>17964</v>
      </c>
      <c r="K679" t="b">
        <v>0</v>
      </c>
      <c r="L679" t="b">
        <v>0</v>
      </c>
      <c r="M679" t="b">
        <v>1</v>
      </c>
    </row>
    <row r="680" spans="1:13" x14ac:dyDescent="0.3">
      <c r="A680">
        <v>40</v>
      </c>
      <c r="B680" t="s">
        <v>25</v>
      </c>
      <c r="C680" s="1">
        <v>3</v>
      </c>
      <c r="D680" t="s">
        <v>19</v>
      </c>
      <c r="E680" t="s">
        <v>26</v>
      </c>
      <c r="F680" t="s">
        <v>15</v>
      </c>
      <c r="G680" t="s">
        <v>23</v>
      </c>
      <c r="H680">
        <f t="shared" si="10"/>
        <v>679</v>
      </c>
      <c r="I680" t="s">
        <v>17</v>
      </c>
      <c r="J680" s="3">
        <v>12665</v>
      </c>
      <c r="K680" t="b">
        <v>1</v>
      </c>
      <c r="L680" t="b">
        <v>0</v>
      </c>
      <c r="M680" t="b">
        <v>1</v>
      </c>
    </row>
    <row r="681" spans="1:13" x14ac:dyDescent="0.3">
      <c r="A681">
        <v>28</v>
      </c>
      <c r="B681" t="s">
        <v>18</v>
      </c>
      <c r="C681" s="1">
        <v>4</v>
      </c>
      <c r="D681" t="s">
        <v>13</v>
      </c>
      <c r="E681" t="s">
        <v>14</v>
      </c>
      <c r="F681" t="s">
        <v>15</v>
      </c>
      <c r="G681" t="s">
        <v>23</v>
      </c>
      <c r="H681">
        <f t="shared" si="10"/>
        <v>680</v>
      </c>
      <c r="I681" t="s">
        <v>17</v>
      </c>
      <c r="J681" s="3">
        <v>19951</v>
      </c>
      <c r="K681" t="b">
        <v>1</v>
      </c>
      <c r="L681" t="b">
        <v>0</v>
      </c>
      <c r="M681" t="b">
        <v>0</v>
      </c>
    </row>
    <row r="682" spans="1:13" x14ac:dyDescent="0.3">
      <c r="A682">
        <v>29</v>
      </c>
      <c r="B682" t="s">
        <v>25</v>
      </c>
      <c r="C682" s="1">
        <v>7</v>
      </c>
      <c r="D682" t="s">
        <v>13</v>
      </c>
      <c r="E682" t="s">
        <v>26</v>
      </c>
      <c r="F682" t="s">
        <v>27</v>
      </c>
      <c r="G682" t="s">
        <v>23</v>
      </c>
      <c r="H682">
        <f t="shared" si="10"/>
        <v>681</v>
      </c>
      <c r="I682" t="s">
        <v>17</v>
      </c>
      <c r="J682" s="3">
        <v>13513</v>
      </c>
      <c r="K682" t="b">
        <v>0</v>
      </c>
      <c r="L682" t="b">
        <v>1</v>
      </c>
      <c r="M682" t="b">
        <v>0</v>
      </c>
    </row>
    <row r="683" spans="1:13" x14ac:dyDescent="0.3">
      <c r="A683">
        <v>27</v>
      </c>
      <c r="B683" t="s">
        <v>12</v>
      </c>
      <c r="C683" s="1">
        <v>1</v>
      </c>
      <c r="D683" t="s">
        <v>28</v>
      </c>
      <c r="E683" t="s">
        <v>26</v>
      </c>
      <c r="F683" t="s">
        <v>22</v>
      </c>
      <c r="G683" t="s">
        <v>29</v>
      </c>
      <c r="H683">
        <f t="shared" si="10"/>
        <v>682</v>
      </c>
      <c r="I683" t="s">
        <v>21</v>
      </c>
      <c r="J683" s="3">
        <v>10495</v>
      </c>
      <c r="K683" t="b">
        <v>0</v>
      </c>
      <c r="L683" t="b">
        <v>1</v>
      </c>
      <c r="M683" t="b">
        <v>0</v>
      </c>
    </row>
    <row r="684" spans="1:13" x14ac:dyDescent="0.3">
      <c r="A684">
        <v>49</v>
      </c>
      <c r="B684" t="s">
        <v>12</v>
      </c>
      <c r="C684" s="1">
        <v>7</v>
      </c>
      <c r="D684" t="s">
        <v>28</v>
      </c>
      <c r="E684" t="s">
        <v>14</v>
      </c>
      <c r="F684" t="s">
        <v>22</v>
      </c>
      <c r="G684" t="s">
        <v>29</v>
      </c>
      <c r="H684">
        <f t="shared" si="10"/>
        <v>683</v>
      </c>
      <c r="I684" t="s">
        <v>17</v>
      </c>
      <c r="J684" s="3">
        <v>15822</v>
      </c>
      <c r="K684" t="b">
        <v>0</v>
      </c>
      <c r="L684" t="b">
        <v>1</v>
      </c>
      <c r="M684" t="b">
        <v>1</v>
      </c>
    </row>
    <row r="685" spans="1:13" x14ac:dyDescent="0.3">
      <c r="A685">
        <v>33</v>
      </c>
      <c r="B685" t="s">
        <v>12</v>
      </c>
      <c r="C685" s="1">
        <v>1</v>
      </c>
      <c r="D685" t="s">
        <v>13</v>
      </c>
      <c r="E685" t="s">
        <v>26</v>
      </c>
      <c r="F685" t="s">
        <v>15</v>
      </c>
      <c r="G685" t="s">
        <v>23</v>
      </c>
      <c r="H685">
        <f t="shared" si="10"/>
        <v>684</v>
      </c>
      <c r="I685" t="s">
        <v>17</v>
      </c>
      <c r="J685" s="3">
        <v>12072</v>
      </c>
      <c r="K685" t="b">
        <v>1</v>
      </c>
      <c r="L685" t="b">
        <v>0</v>
      </c>
      <c r="M685" t="b">
        <v>0</v>
      </c>
    </row>
    <row r="686" spans="1:13" x14ac:dyDescent="0.3">
      <c r="A686">
        <v>25</v>
      </c>
      <c r="B686" t="s">
        <v>18</v>
      </c>
      <c r="C686" s="1">
        <v>2</v>
      </c>
      <c r="D686" t="s">
        <v>13</v>
      </c>
      <c r="E686" t="s">
        <v>20</v>
      </c>
      <c r="F686" t="s">
        <v>27</v>
      </c>
      <c r="G686" t="s">
        <v>29</v>
      </c>
      <c r="H686">
        <f t="shared" si="10"/>
        <v>685</v>
      </c>
      <c r="I686" t="s">
        <v>17</v>
      </c>
      <c r="J686" s="3">
        <v>17795</v>
      </c>
      <c r="K686" t="b">
        <v>1</v>
      </c>
      <c r="L686" t="b">
        <v>1</v>
      </c>
      <c r="M686" t="b">
        <v>1</v>
      </c>
    </row>
    <row r="687" spans="1:13" x14ac:dyDescent="0.3">
      <c r="A687">
        <v>55</v>
      </c>
      <c r="B687" t="s">
        <v>25</v>
      </c>
      <c r="C687" s="1">
        <v>4</v>
      </c>
      <c r="D687" t="s">
        <v>13</v>
      </c>
      <c r="E687" t="s">
        <v>14</v>
      </c>
      <c r="F687" t="s">
        <v>22</v>
      </c>
      <c r="G687" t="s">
        <v>29</v>
      </c>
      <c r="H687">
        <f t="shared" si="10"/>
        <v>686</v>
      </c>
      <c r="I687" t="s">
        <v>24</v>
      </c>
      <c r="J687" s="3">
        <v>18529</v>
      </c>
      <c r="K687" t="b">
        <v>1</v>
      </c>
      <c r="L687" t="b">
        <v>1</v>
      </c>
      <c r="M687" t="b">
        <v>1</v>
      </c>
    </row>
    <row r="688" spans="1:13" x14ac:dyDescent="0.3">
      <c r="A688">
        <v>29</v>
      </c>
      <c r="B688" t="s">
        <v>12</v>
      </c>
      <c r="C688" s="1">
        <v>1</v>
      </c>
      <c r="D688" t="s">
        <v>19</v>
      </c>
      <c r="E688" t="s">
        <v>20</v>
      </c>
      <c r="F688" t="s">
        <v>15</v>
      </c>
      <c r="G688" t="s">
        <v>23</v>
      </c>
      <c r="H688">
        <f t="shared" si="10"/>
        <v>687</v>
      </c>
      <c r="I688" t="s">
        <v>21</v>
      </c>
      <c r="J688" s="3">
        <v>13949</v>
      </c>
      <c r="K688" t="b">
        <v>0</v>
      </c>
      <c r="L688" t="b">
        <v>1</v>
      </c>
      <c r="M688" t="b">
        <v>0</v>
      </c>
    </row>
    <row r="689" spans="1:13" x14ac:dyDescent="0.3">
      <c r="A689">
        <v>41</v>
      </c>
      <c r="B689" t="s">
        <v>25</v>
      </c>
      <c r="C689" s="1">
        <v>9</v>
      </c>
      <c r="D689" t="s">
        <v>19</v>
      </c>
      <c r="E689" t="s">
        <v>14</v>
      </c>
      <c r="F689" t="s">
        <v>15</v>
      </c>
      <c r="G689" t="s">
        <v>29</v>
      </c>
      <c r="H689">
        <f t="shared" si="10"/>
        <v>688</v>
      </c>
      <c r="I689" t="s">
        <v>21</v>
      </c>
      <c r="J689" s="3">
        <v>16033</v>
      </c>
      <c r="K689" t="b">
        <v>1</v>
      </c>
      <c r="L689" t="b">
        <v>1</v>
      </c>
      <c r="M689" t="b">
        <v>0</v>
      </c>
    </row>
    <row r="690" spans="1:13" x14ac:dyDescent="0.3">
      <c r="A690">
        <v>45</v>
      </c>
      <c r="B690" t="s">
        <v>25</v>
      </c>
      <c r="C690" s="1">
        <v>6</v>
      </c>
      <c r="D690" t="s">
        <v>19</v>
      </c>
      <c r="E690" t="s">
        <v>26</v>
      </c>
      <c r="F690" t="s">
        <v>27</v>
      </c>
      <c r="G690" t="s">
        <v>29</v>
      </c>
      <c r="H690">
        <f t="shared" si="10"/>
        <v>689</v>
      </c>
      <c r="I690" t="s">
        <v>21</v>
      </c>
      <c r="J690" s="3">
        <v>18328</v>
      </c>
      <c r="K690" t="b">
        <v>1</v>
      </c>
      <c r="L690" t="b">
        <v>1</v>
      </c>
      <c r="M690" t="b">
        <v>0</v>
      </c>
    </row>
    <row r="691" spans="1:13" x14ac:dyDescent="0.3">
      <c r="A691">
        <v>25</v>
      </c>
      <c r="B691" t="s">
        <v>12</v>
      </c>
      <c r="C691" s="1">
        <v>1</v>
      </c>
      <c r="D691" t="s">
        <v>13</v>
      </c>
      <c r="E691" t="s">
        <v>26</v>
      </c>
      <c r="F691" t="s">
        <v>15</v>
      </c>
      <c r="G691" t="s">
        <v>29</v>
      </c>
      <c r="H691">
        <f t="shared" si="10"/>
        <v>690</v>
      </c>
      <c r="I691" t="s">
        <v>24</v>
      </c>
      <c r="J691" s="3">
        <v>12555</v>
      </c>
      <c r="K691" t="b">
        <v>0</v>
      </c>
      <c r="L691" t="b">
        <v>1</v>
      </c>
      <c r="M691" t="b">
        <v>1</v>
      </c>
    </row>
    <row r="692" spans="1:13" x14ac:dyDescent="0.3">
      <c r="A692">
        <v>45</v>
      </c>
      <c r="B692" t="s">
        <v>12</v>
      </c>
      <c r="C692" s="1">
        <v>1</v>
      </c>
      <c r="D692" t="s">
        <v>28</v>
      </c>
      <c r="E692" t="s">
        <v>26</v>
      </c>
      <c r="F692" t="s">
        <v>22</v>
      </c>
      <c r="G692" t="s">
        <v>23</v>
      </c>
      <c r="H692">
        <f t="shared" si="10"/>
        <v>691</v>
      </c>
      <c r="I692" t="s">
        <v>21</v>
      </c>
      <c r="J692" s="3">
        <v>16370</v>
      </c>
      <c r="K692" t="b">
        <v>0</v>
      </c>
      <c r="L692" t="b">
        <v>0</v>
      </c>
      <c r="M692" t="b">
        <v>1</v>
      </c>
    </row>
    <row r="693" spans="1:13" x14ac:dyDescent="0.3">
      <c r="A693">
        <v>53</v>
      </c>
      <c r="B693" t="s">
        <v>25</v>
      </c>
      <c r="C693" s="1">
        <v>6</v>
      </c>
      <c r="D693" t="s">
        <v>13</v>
      </c>
      <c r="E693" t="s">
        <v>14</v>
      </c>
      <c r="F693" t="s">
        <v>27</v>
      </c>
      <c r="G693" t="s">
        <v>29</v>
      </c>
      <c r="H693">
        <f t="shared" si="10"/>
        <v>692</v>
      </c>
      <c r="I693" t="s">
        <v>24</v>
      </c>
      <c r="J693" s="3">
        <v>14415</v>
      </c>
      <c r="K693" t="b">
        <v>0</v>
      </c>
      <c r="L693" t="b">
        <v>0</v>
      </c>
      <c r="M693" t="b">
        <v>1</v>
      </c>
    </row>
    <row r="694" spans="1:13" x14ac:dyDescent="0.3">
      <c r="A694">
        <v>43</v>
      </c>
      <c r="B694" t="s">
        <v>12</v>
      </c>
      <c r="C694" s="1">
        <v>4</v>
      </c>
      <c r="D694" t="s">
        <v>19</v>
      </c>
      <c r="E694" t="s">
        <v>20</v>
      </c>
      <c r="F694" t="s">
        <v>22</v>
      </c>
      <c r="G694" t="s">
        <v>16</v>
      </c>
      <c r="H694">
        <f t="shared" si="10"/>
        <v>693</v>
      </c>
      <c r="I694" t="s">
        <v>24</v>
      </c>
      <c r="J694" s="3">
        <v>15959</v>
      </c>
      <c r="K694" t="b">
        <v>1</v>
      </c>
      <c r="L694" t="b">
        <v>1</v>
      </c>
      <c r="M694" t="b">
        <v>1</v>
      </c>
    </row>
    <row r="695" spans="1:13" x14ac:dyDescent="0.3">
      <c r="A695">
        <v>25</v>
      </c>
      <c r="B695" t="s">
        <v>12</v>
      </c>
      <c r="C695" s="1">
        <v>4</v>
      </c>
      <c r="D695" t="s">
        <v>19</v>
      </c>
      <c r="E695" t="s">
        <v>20</v>
      </c>
      <c r="F695" t="s">
        <v>22</v>
      </c>
      <c r="G695" t="s">
        <v>16</v>
      </c>
      <c r="H695">
        <f t="shared" si="10"/>
        <v>694</v>
      </c>
      <c r="I695" t="s">
        <v>21</v>
      </c>
      <c r="J695" s="3">
        <v>19107</v>
      </c>
      <c r="K695" t="b">
        <v>0</v>
      </c>
      <c r="L695" t="b">
        <v>0</v>
      </c>
      <c r="M695" t="b">
        <v>1</v>
      </c>
    </row>
    <row r="696" spans="1:13" x14ac:dyDescent="0.3">
      <c r="A696">
        <v>45</v>
      </c>
      <c r="B696" t="s">
        <v>12</v>
      </c>
      <c r="C696" s="1">
        <v>6</v>
      </c>
      <c r="D696" t="s">
        <v>13</v>
      </c>
      <c r="E696" t="s">
        <v>14</v>
      </c>
      <c r="F696" t="s">
        <v>22</v>
      </c>
      <c r="G696" t="s">
        <v>23</v>
      </c>
      <c r="H696">
        <f t="shared" si="10"/>
        <v>695</v>
      </c>
      <c r="I696" t="s">
        <v>17</v>
      </c>
      <c r="J696" s="3">
        <v>15993</v>
      </c>
      <c r="K696" t="b">
        <v>1</v>
      </c>
      <c r="L696" t="b">
        <v>0</v>
      </c>
      <c r="M696" t="b">
        <v>1</v>
      </c>
    </row>
    <row r="697" spans="1:13" x14ac:dyDescent="0.3">
      <c r="A697">
        <v>45</v>
      </c>
      <c r="B697" t="s">
        <v>18</v>
      </c>
      <c r="C697" s="1">
        <v>7</v>
      </c>
      <c r="D697" t="s">
        <v>13</v>
      </c>
      <c r="E697" t="s">
        <v>14</v>
      </c>
      <c r="F697" t="s">
        <v>15</v>
      </c>
      <c r="G697" t="s">
        <v>16</v>
      </c>
      <c r="H697">
        <f t="shared" si="10"/>
        <v>696</v>
      </c>
      <c r="I697" t="s">
        <v>17</v>
      </c>
      <c r="J697" s="3">
        <v>15021</v>
      </c>
      <c r="K697" t="b">
        <v>1</v>
      </c>
      <c r="L697" t="b">
        <v>1</v>
      </c>
      <c r="M697" t="b">
        <v>0</v>
      </c>
    </row>
    <row r="698" spans="1:13" x14ac:dyDescent="0.3">
      <c r="A698">
        <v>54</v>
      </c>
      <c r="B698" t="s">
        <v>25</v>
      </c>
      <c r="C698" s="1">
        <v>9</v>
      </c>
      <c r="D698" t="s">
        <v>19</v>
      </c>
      <c r="E698" t="s">
        <v>20</v>
      </c>
      <c r="F698" t="s">
        <v>15</v>
      </c>
      <c r="G698" t="s">
        <v>23</v>
      </c>
      <c r="H698">
        <f t="shared" si="10"/>
        <v>697</v>
      </c>
      <c r="I698" t="s">
        <v>21</v>
      </c>
      <c r="J698" s="3">
        <v>12907</v>
      </c>
      <c r="K698" t="b">
        <v>0</v>
      </c>
      <c r="L698" t="b">
        <v>1</v>
      </c>
      <c r="M698" t="b">
        <v>1</v>
      </c>
    </row>
    <row r="699" spans="1:13" x14ac:dyDescent="0.3">
      <c r="A699">
        <v>58</v>
      </c>
      <c r="B699" t="s">
        <v>25</v>
      </c>
      <c r="C699" s="1">
        <v>5</v>
      </c>
      <c r="D699" t="s">
        <v>19</v>
      </c>
      <c r="E699" t="s">
        <v>20</v>
      </c>
      <c r="F699" t="s">
        <v>22</v>
      </c>
      <c r="G699" t="s">
        <v>16</v>
      </c>
      <c r="H699">
        <f t="shared" si="10"/>
        <v>698</v>
      </c>
      <c r="I699" t="s">
        <v>21</v>
      </c>
      <c r="J699" s="3">
        <v>12914</v>
      </c>
      <c r="K699" t="b">
        <v>0</v>
      </c>
      <c r="L699" t="b">
        <v>0</v>
      </c>
      <c r="M699" t="b">
        <v>0</v>
      </c>
    </row>
    <row r="700" spans="1:13" x14ac:dyDescent="0.3">
      <c r="A700">
        <v>53</v>
      </c>
      <c r="B700" t="s">
        <v>18</v>
      </c>
      <c r="C700" s="1">
        <v>9</v>
      </c>
      <c r="D700" t="s">
        <v>19</v>
      </c>
      <c r="E700" t="s">
        <v>20</v>
      </c>
      <c r="F700" t="s">
        <v>22</v>
      </c>
      <c r="G700" t="s">
        <v>16</v>
      </c>
      <c r="H700">
        <f t="shared" si="10"/>
        <v>699</v>
      </c>
      <c r="I700" t="s">
        <v>24</v>
      </c>
      <c r="J700" s="3">
        <v>13870</v>
      </c>
      <c r="K700" t="b">
        <v>0</v>
      </c>
      <c r="L700" t="b">
        <v>1</v>
      </c>
      <c r="M700" t="b">
        <v>0</v>
      </c>
    </row>
    <row r="701" spans="1:13" x14ac:dyDescent="0.3">
      <c r="A701">
        <v>44</v>
      </c>
      <c r="B701" t="s">
        <v>25</v>
      </c>
      <c r="C701" s="1">
        <v>4</v>
      </c>
      <c r="D701" t="s">
        <v>13</v>
      </c>
      <c r="E701" t="s">
        <v>20</v>
      </c>
      <c r="F701" t="s">
        <v>27</v>
      </c>
      <c r="G701" t="s">
        <v>16</v>
      </c>
      <c r="H701">
        <f t="shared" si="10"/>
        <v>700</v>
      </c>
      <c r="I701" t="s">
        <v>21</v>
      </c>
      <c r="J701" s="3">
        <v>19190</v>
      </c>
      <c r="K701" t="b">
        <v>0</v>
      </c>
      <c r="L701" t="b">
        <v>0</v>
      </c>
      <c r="M701" t="b">
        <v>0</v>
      </c>
    </row>
    <row r="702" spans="1:13" x14ac:dyDescent="0.3">
      <c r="A702">
        <v>34</v>
      </c>
      <c r="B702" t="s">
        <v>12</v>
      </c>
      <c r="C702" s="1">
        <v>2</v>
      </c>
      <c r="D702" t="s">
        <v>19</v>
      </c>
      <c r="E702" t="s">
        <v>14</v>
      </c>
      <c r="F702" t="s">
        <v>27</v>
      </c>
      <c r="G702" t="s">
        <v>23</v>
      </c>
      <c r="H702">
        <f t="shared" si="10"/>
        <v>701</v>
      </c>
      <c r="I702" t="s">
        <v>24</v>
      </c>
      <c r="J702" s="3">
        <v>15085</v>
      </c>
      <c r="K702" t="b">
        <v>0</v>
      </c>
      <c r="L702" t="b">
        <v>0</v>
      </c>
      <c r="M702" t="b">
        <v>0</v>
      </c>
    </row>
    <row r="703" spans="1:13" x14ac:dyDescent="0.3">
      <c r="A703">
        <v>26</v>
      </c>
      <c r="B703" t="s">
        <v>25</v>
      </c>
      <c r="C703" s="1">
        <v>3</v>
      </c>
      <c r="D703" t="s">
        <v>19</v>
      </c>
      <c r="E703" t="s">
        <v>14</v>
      </c>
      <c r="F703" t="s">
        <v>15</v>
      </c>
      <c r="G703" t="s">
        <v>23</v>
      </c>
      <c r="H703">
        <f t="shared" si="10"/>
        <v>702</v>
      </c>
      <c r="I703" t="s">
        <v>21</v>
      </c>
      <c r="J703" s="3">
        <v>16546</v>
      </c>
      <c r="K703" t="b">
        <v>1</v>
      </c>
      <c r="L703" t="b">
        <v>0</v>
      </c>
      <c r="M703" t="b">
        <v>0</v>
      </c>
    </row>
    <row r="704" spans="1:13" x14ac:dyDescent="0.3">
      <c r="A704">
        <v>50</v>
      </c>
      <c r="B704" t="s">
        <v>12</v>
      </c>
      <c r="C704" s="1">
        <v>1</v>
      </c>
      <c r="D704" t="s">
        <v>28</v>
      </c>
      <c r="E704" t="s">
        <v>26</v>
      </c>
      <c r="F704" t="s">
        <v>15</v>
      </c>
      <c r="G704" t="s">
        <v>29</v>
      </c>
      <c r="H704">
        <f t="shared" si="10"/>
        <v>703</v>
      </c>
      <c r="I704" t="s">
        <v>17</v>
      </c>
      <c r="J704" s="3">
        <v>10395</v>
      </c>
      <c r="K704" t="b">
        <v>1</v>
      </c>
      <c r="L704" t="b">
        <v>1</v>
      </c>
      <c r="M704" t="b">
        <v>1</v>
      </c>
    </row>
    <row r="705" spans="1:13" x14ac:dyDescent="0.3">
      <c r="A705">
        <v>37</v>
      </c>
      <c r="B705" t="s">
        <v>18</v>
      </c>
      <c r="C705" s="1">
        <v>6</v>
      </c>
      <c r="D705" t="s">
        <v>13</v>
      </c>
      <c r="E705" t="s">
        <v>20</v>
      </c>
      <c r="F705" t="s">
        <v>27</v>
      </c>
      <c r="G705" t="s">
        <v>23</v>
      </c>
      <c r="H705">
        <f t="shared" si="10"/>
        <v>704</v>
      </c>
      <c r="I705" t="s">
        <v>17</v>
      </c>
      <c r="J705" s="3">
        <v>10938</v>
      </c>
      <c r="K705" t="b">
        <v>1</v>
      </c>
      <c r="L705" t="b">
        <v>0</v>
      </c>
      <c r="M705" t="b">
        <v>1</v>
      </c>
    </row>
    <row r="706" spans="1:13" x14ac:dyDescent="0.3">
      <c r="A706">
        <v>30</v>
      </c>
      <c r="B706" t="s">
        <v>12</v>
      </c>
      <c r="C706" s="1">
        <v>6</v>
      </c>
      <c r="D706" t="s">
        <v>28</v>
      </c>
      <c r="E706" t="s">
        <v>26</v>
      </c>
      <c r="F706" t="s">
        <v>22</v>
      </c>
      <c r="G706" t="s">
        <v>16</v>
      </c>
      <c r="H706">
        <f t="shared" si="10"/>
        <v>705</v>
      </c>
      <c r="I706" t="s">
        <v>21</v>
      </c>
      <c r="J706" s="3">
        <v>19828</v>
      </c>
      <c r="K706" t="b">
        <v>0</v>
      </c>
      <c r="L706" t="b">
        <v>1</v>
      </c>
      <c r="M706" t="b">
        <v>1</v>
      </c>
    </row>
    <row r="707" spans="1:13" x14ac:dyDescent="0.3">
      <c r="A707">
        <v>45</v>
      </c>
      <c r="B707" t="s">
        <v>25</v>
      </c>
      <c r="C707" s="1">
        <v>1</v>
      </c>
      <c r="D707" t="s">
        <v>28</v>
      </c>
      <c r="E707" t="s">
        <v>14</v>
      </c>
      <c r="F707" t="s">
        <v>15</v>
      </c>
      <c r="G707" t="s">
        <v>16</v>
      </c>
      <c r="H707">
        <f t="shared" si="10"/>
        <v>706</v>
      </c>
      <c r="I707" t="s">
        <v>24</v>
      </c>
      <c r="J707" s="3">
        <v>12510</v>
      </c>
      <c r="K707" t="b">
        <v>1</v>
      </c>
      <c r="L707" t="b">
        <v>1</v>
      </c>
      <c r="M707" t="b">
        <v>1</v>
      </c>
    </row>
    <row r="708" spans="1:13" x14ac:dyDescent="0.3">
      <c r="A708">
        <v>46</v>
      </c>
      <c r="B708" t="s">
        <v>25</v>
      </c>
      <c r="C708" s="1">
        <v>3</v>
      </c>
      <c r="D708" t="s">
        <v>19</v>
      </c>
      <c r="E708" t="s">
        <v>14</v>
      </c>
      <c r="F708" t="s">
        <v>22</v>
      </c>
      <c r="G708" t="s">
        <v>23</v>
      </c>
      <c r="H708">
        <f t="shared" ref="H708:I771" si="11">H707+1</f>
        <v>707</v>
      </c>
      <c r="I708" t="s">
        <v>17</v>
      </c>
      <c r="J708" s="3">
        <v>14636</v>
      </c>
      <c r="K708" t="b">
        <v>0</v>
      </c>
      <c r="L708" t="b">
        <v>1</v>
      </c>
      <c r="M708" t="b">
        <v>0</v>
      </c>
    </row>
    <row r="709" spans="1:13" x14ac:dyDescent="0.3">
      <c r="A709">
        <v>30</v>
      </c>
      <c r="B709" t="s">
        <v>25</v>
      </c>
      <c r="C709" s="1">
        <v>5</v>
      </c>
      <c r="D709" t="s">
        <v>13</v>
      </c>
      <c r="E709" t="s">
        <v>26</v>
      </c>
      <c r="F709" t="s">
        <v>27</v>
      </c>
      <c r="G709" t="s">
        <v>23</v>
      </c>
      <c r="H709">
        <f t="shared" si="11"/>
        <v>708</v>
      </c>
      <c r="I709" t="s">
        <v>24</v>
      </c>
      <c r="J709" s="3">
        <v>11649</v>
      </c>
      <c r="K709" t="b">
        <v>0</v>
      </c>
      <c r="L709" t="b">
        <v>1</v>
      </c>
      <c r="M709" t="b">
        <v>0</v>
      </c>
    </row>
    <row r="710" spans="1:13" x14ac:dyDescent="0.3">
      <c r="A710">
        <v>63</v>
      </c>
      <c r="B710" t="s">
        <v>18</v>
      </c>
      <c r="C710" s="1">
        <v>3</v>
      </c>
      <c r="D710" t="s">
        <v>19</v>
      </c>
      <c r="E710" t="s">
        <v>20</v>
      </c>
      <c r="F710" t="s">
        <v>15</v>
      </c>
      <c r="G710" t="s">
        <v>23</v>
      </c>
      <c r="H710">
        <f t="shared" si="11"/>
        <v>709</v>
      </c>
      <c r="I710" t="s">
        <v>21</v>
      </c>
      <c r="J710" s="3">
        <v>13690</v>
      </c>
      <c r="K710" t="b">
        <v>1</v>
      </c>
      <c r="L710" t="b">
        <v>1</v>
      </c>
      <c r="M710" t="b">
        <v>0</v>
      </c>
    </row>
    <row r="711" spans="1:13" x14ac:dyDescent="0.3">
      <c r="A711">
        <v>52</v>
      </c>
      <c r="B711" t="s">
        <v>18</v>
      </c>
      <c r="C711" s="1">
        <v>3</v>
      </c>
      <c r="D711" t="s">
        <v>13</v>
      </c>
      <c r="E711" t="s">
        <v>20</v>
      </c>
      <c r="F711" t="s">
        <v>15</v>
      </c>
      <c r="G711" t="s">
        <v>29</v>
      </c>
      <c r="H711">
        <f t="shared" si="11"/>
        <v>710</v>
      </c>
      <c r="I711" t="s">
        <v>21</v>
      </c>
      <c r="J711" s="3">
        <v>13435</v>
      </c>
      <c r="K711" t="b">
        <v>1</v>
      </c>
      <c r="L711" t="b">
        <v>0</v>
      </c>
      <c r="M711" t="b">
        <v>1</v>
      </c>
    </row>
    <row r="712" spans="1:13" x14ac:dyDescent="0.3">
      <c r="A712">
        <v>23</v>
      </c>
      <c r="B712" t="s">
        <v>25</v>
      </c>
      <c r="C712" s="1">
        <v>3</v>
      </c>
      <c r="D712" t="s">
        <v>28</v>
      </c>
      <c r="E712" t="s">
        <v>20</v>
      </c>
      <c r="F712" t="s">
        <v>27</v>
      </c>
      <c r="G712" t="s">
        <v>16</v>
      </c>
      <c r="H712">
        <f t="shared" si="11"/>
        <v>711</v>
      </c>
      <c r="I712" t="s">
        <v>17</v>
      </c>
      <c r="J712" s="3">
        <v>13201</v>
      </c>
      <c r="K712" t="b">
        <v>0</v>
      </c>
      <c r="L712" t="b">
        <v>1</v>
      </c>
      <c r="M712" t="b">
        <v>1</v>
      </c>
    </row>
    <row r="713" spans="1:13" x14ac:dyDescent="0.3">
      <c r="A713">
        <v>35</v>
      </c>
      <c r="B713" t="s">
        <v>12</v>
      </c>
      <c r="C713" s="1">
        <v>5</v>
      </c>
      <c r="D713" t="s">
        <v>13</v>
      </c>
      <c r="E713" t="s">
        <v>20</v>
      </c>
      <c r="F713" t="s">
        <v>15</v>
      </c>
      <c r="G713" t="s">
        <v>29</v>
      </c>
      <c r="H713">
        <f t="shared" si="11"/>
        <v>712</v>
      </c>
      <c r="I713" t="s">
        <v>21</v>
      </c>
      <c r="J713" s="3">
        <v>14179</v>
      </c>
      <c r="K713" t="b">
        <v>1</v>
      </c>
      <c r="L713" t="b">
        <v>1</v>
      </c>
      <c r="M713" t="b">
        <v>1</v>
      </c>
    </row>
    <row r="714" spans="1:13" x14ac:dyDescent="0.3">
      <c r="A714">
        <v>22</v>
      </c>
      <c r="B714" t="s">
        <v>18</v>
      </c>
      <c r="C714" s="1">
        <v>5</v>
      </c>
      <c r="D714" t="s">
        <v>19</v>
      </c>
      <c r="E714" t="s">
        <v>26</v>
      </c>
      <c r="F714" t="s">
        <v>27</v>
      </c>
      <c r="G714" t="s">
        <v>29</v>
      </c>
      <c r="H714">
        <f t="shared" si="11"/>
        <v>713</v>
      </c>
      <c r="I714" t="s">
        <v>17</v>
      </c>
      <c r="J714" s="3">
        <v>18405</v>
      </c>
      <c r="K714" t="b">
        <v>0</v>
      </c>
      <c r="L714" t="b">
        <v>1</v>
      </c>
      <c r="M714" t="b">
        <v>1</v>
      </c>
    </row>
    <row r="715" spans="1:13" x14ac:dyDescent="0.3">
      <c r="A715">
        <v>64</v>
      </c>
      <c r="B715" t="s">
        <v>25</v>
      </c>
      <c r="C715" s="1">
        <v>4</v>
      </c>
      <c r="D715" t="s">
        <v>19</v>
      </c>
      <c r="E715" t="s">
        <v>26</v>
      </c>
      <c r="F715" t="s">
        <v>15</v>
      </c>
      <c r="G715" t="s">
        <v>16</v>
      </c>
      <c r="H715">
        <f t="shared" si="11"/>
        <v>714</v>
      </c>
      <c r="I715" t="s">
        <v>24</v>
      </c>
      <c r="J715" s="3">
        <v>13237</v>
      </c>
      <c r="K715" t="b">
        <v>1</v>
      </c>
      <c r="L715" t="b">
        <v>1</v>
      </c>
      <c r="M715" t="b">
        <v>0</v>
      </c>
    </row>
    <row r="716" spans="1:13" x14ac:dyDescent="0.3">
      <c r="A716">
        <v>42</v>
      </c>
      <c r="B716" t="s">
        <v>25</v>
      </c>
      <c r="C716" s="1">
        <v>1</v>
      </c>
      <c r="D716" t="s">
        <v>19</v>
      </c>
      <c r="E716" t="s">
        <v>14</v>
      </c>
      <c r="F716" t="s">
        <v>27</v>
      </c>
      <c r="G716" t="s">
        <v>16</v>
      </c>
      <c r="H716">
        <f t="shared" si="11"/>
        <v>715</v>
      </c>
      <c r="I716" t="s">
        <v>17</v>
      </c>
      <c r="J716" s="3">
        <v>13862</v>
      </c>
      <c r="K716" t="b">
        <v>1</v>
      </c>
      <c r="L716" t="b">
        <v>1</v>
      </c>
      <c r="M716" t="b">
        <v>0</v>
      </c>
    </row>
    <row r="717" spans="1:13" x14ac:dyDescent="0.3">
      <c r="A717">
        <v>19</v>
      </c>
      <c r="B717" t="s">
        <v>18</v>
      </c>
      <c r="C717" s="1">
        <v>5</v>
      </c>
      <c r="D717" t="s">
        <v>13</v>
      </c>
      <c r="E717" t="s">
        <v>20</v>
      </c>
      <c r="F717" t="s">
        <v>15</v>
      </c>
      <c r="G717" t="s">
        <v>23</v>
      </c>
      <c r="H717">
        <f t="shared" si="11"/>
        <v>716</v>
      </c>
      <c r="I717" t="s">
        <v>17</v>
      </c>
      <c r="J717" s="3">
        <v>10058</v>
      </c>
      <c r="K717" t="b">
        <v>1</v>
      </c>
      <c r="L717" t="b">
        <v>0</v>
      </c>
      <c r="M717" t="b">
        <v>1</v>
      </c>
    </row>
    <row r="718" spans="1:13" x14ac:dyDescent="0.3">
      <c r="A718">
        <v>27</v>
      </c>
      <c r="B718" t="s">
        <v>18</v>
      </c>
      <c r="C718" s="1">
        <v>5</v>
      </c>
      <c r="D718" t="s">
        <v>28</v>
      </c>
      <c r="E718" t="s">
        <v>20</v>
      </c>
      <c r="F718" t="s">
        <v>22</v>
      </c>
      <c r="G718" t="s">
        <v>23</v>
      </c>
      <c r="H718">
        <f t="shared" si="11"/>
        <v>717</v>
      </c>
      <c r="I718" t="s">
        <v>24</v>
      </c>
      <c r="J718" s="3">
        <v>14938</v>
      </c>
      <c r="K718" t="b">
        <v>1</v>
      </c>
      <c r="L718" t="b">
        <v>1</v>
      </c>
      <c r="M718" t="b">
        <v>1</v>
      </c>
    </row>
    <row r="719" spans="1:13" x14ac:dyDescent="0.3">
      <c r="A719">
        <v>47</v>
      </c>
      <c r="B719" t="s">
        <v>18</v>
      </c>
      <c r="C719" s="1">
        <v>4</v>
      </c>
      <c r="D719" t="s">
        <v>28</v>
      </c>
      <c r="E719" t="s">
        <v>20</v>
      </c>
      <c r="F719" t="s">
        <v>22</v>
      </c>
      <c r="G719" t="s">
        <v>29</v>
      </c>
      <c r="H719">
        <f t="shared" si="11"/>
        <v>718</v>
      </c>
      <c r="I719" t="s">
        <v>17</v>
      </c>
      <c r="J719" s="3">
        <v>12971</v>
      </c>
      <c r="K719" t="b">
        <v>1</v>
      </c>
      <c r="L719" t="b">
        <v>1</v>
      </c>
      <c r="M719" t="b">
        <v>0</v>
      </c>
    </row>
    <row r="720" spans="1:13" x14ac:dyDescent="0.3">
      <c r="A720">
        <v>62</v>
      </c>
      <c r="B720" t="s">
        <v>12</v>
      </c>
      <c r="C720" s="1">
        <v>6</v>
      </c>
      <c r="D720" t="s">
        <v>13</v>
      </c>
      <c r="E720" t="s">
        <v>26</v>
      </c>
      <c r="F720" t="s">
        <v>22</v>
      </c>
      <c r="G720" t="s">
        <v>23</v>
      </c>
      <c r="H720">
        <f t="shared" si="11"/>
        <v>719</v>
      </c>
      <c r="I720" t="s">
        <v>17</v>
      </c>
      <c r="J720" s="3">
        <v>19719</v>
      </c>
      <c r="K720" t="b">
        <v>0</v>
      </c>
      <c r="L720" t="b">
        <v>0</v>
      </c>
      <c r="M720" t="b">
        <v>0</v>
      </c>
    </row>
    <row r="721" spans="1:13" x14ac:dyDescent="0.3">
      <c r="A721">
        <v>22</v>
      </c>
      <c r="B721" t="s">
        <v>12</v>
      </c>
      <c r="C721" s="1">
        <v>4</v>
      </c>
      <c r="D721" t="s">
        <v>19</v>
      </c>
      <c r="E721" t="s">
        <v>20</v>
      </c>
      <c r="F721" t="s">
        <v>15</v>
      </c>
      <c r="G721" t="s">
        <v>23</v>
      </c>
      <c r="H721">
        <f t="shared" si="11"/>
        <v>720</v>
      </c>
      <c r="I721" t="s">
        <v>21</v>
      </c>
      <c r="J721" s="3">
        <v>18314</v>
      </c>
      <c r="K721" t="b">
        <v>1</v>
      </c>
      <c r="L721" t="b">
        <v>1</v>
      </c>
      <c r="M721" t="b">
        <v>0</v>
      </c>
    </row>
    <row r="722" spans="1:13" x14ac:dyDescent="0.3">
      <c r="A722">
        <v>50</v>
      </c>
      <c r="B722" t="s">
        <v>25</v>
      </c>
      <c r="C722" s="1">
        <v>7</v>
      </c>
      <c r="D722" t="s">
        <v>28</v>
      </c>
      <c r="E722" t="s">
        <v>26</v>
      </c>
      <c r="F722" t="s">
        <v>15</v>
      </c>
      <c r="G722" t="s">
        <v>16</v>
      </c>
      <c r="H722">
        <f t="shared" si="11"/>
        <v>721</v>
      </c>
      <c r="I722" t="s">
        <v>24</v>
      </c>
      <c r="J722" s="3">
        <v>19628</v>
      </c>
      <c r="K722" t="b">
        <v>1</v>
      </c>
      <c r="L722" t="b">
        <v>0</v>
      </c>
      <c r="M722" t="b">
        <v>0</v>
      </c>
    </row>
    <row r="723" spans="1:13" x14ac:dyDescent="0.3">
      <c r="A723">
        <v>18</v>
      </c>
      <c r="B723" t="s">
        <v>18</v>
      </c>
      <c r="C723" s="1">
        <v>7</v>
      </c>
      <c r="D723" t="s">
        <v>19</v>
      </c>
      <c r="E723" t="s">
        <v>20</v>
      </c>
      <c r="F723" t="s">
        <v>22</v>
      </c>
      <c r="G723" t="s">
        <v>16</v>
      </c>
      <c r="H723">
        <f t="shared" si="11"/>
        <v>722</v>
      </c>
      <c r="I723" t="s">
        <v>17</v>
      </c>
      <c r="J723" s="3">
        <v>19354</v>
      </c>
      <c r="K723" t="b">
        <v>1</v>
      </c>
      <c r="L723" t="b">
        <v>0</v>
      </c>
      <c r="M723" t="b">
        <v>1</v>
      </c>
    </row>
    <row r="724" spans="1:13" x14ac:dyDescent="0.3">
      <c r="A724">
        <v>35</v>
      </c>
      <c r="B724" t="s">
        <v>12</v>
      </c>
      <c r="C724" s="1">
        <v>2</v>
      </c>
      <c r="D724" t="s">
        <v>13</v>
      </c>
      <c r="E724" t="s">
        <v>20</v>
      </c>
      <c r="F724" t="s">
        <v>22</v>
      </c>
      <c r="G724" t="s">
        <v>23</v>
      </c>
      <c r="H724">
        <f t="shared" si="11"/>
        <v>723</v>
      </c>
      <c r="I724" t="s">
        <v>24</v>
      </c>
      <c r="J724" s="3">
        <v>13345</v>
      </c>
      <c r="K724" t="b">
        <v>0</v>
      </c>
      <c r="L724" t="b">
        <v>0</v>
      </c>
      <c r="M724" t="b">
        <v>0</v>
      </c>
    </row>
    <row r="725" spans="1:13" x14ac:dyDescent="0.3">
      <c r="A725">
        <v>49</v>
      </c>
      <c r="B725" t="s">
        <v>18</v>
      </c>
      <c r="C725" s="1">
        <v>3</v>
      </c>
      <c r="D725" t="s">
        <v>19</v>
      </c>
      <c r="E725" t="s">
        <v>14</v>
      </c>
      <c r="F725" t="s">
        <v>27</v>
      </c>
      <c r="G725" t="s">
        <v>16</v>
      </c>
      <c r="H725">
        <f t="shared" si="11"/>
        <v>724</v>
      </c>
      <c r="I725" t="s">
        <v>24</v>
      </c>
      <c r="J725" s="3">
        <v>12486</v>
      </c>
      <c r="K725" t="b">
        <v>0</v>
      </c>
      <c r="L725" t="b">
        <v>0</v>
      </c>
      <c r="M725" t="b">
        <v>0</v>
      </c>
    </row>
    <row r="726" spans="1:13" x14ac:dyDescent="0.3">
      <c r="A726">
        <v>64</v>
      </c>
      <c r="B726" t="s">
        <v>25</v>
      </c>
      <c r="C726" s="1">
        <v>1</v>
      </c>
      <c r="D726" t="s">
        <v>28</v>
      </c>
      <c r="E726" t="s">
        <v>20</v>
      </c>
      <c r="F726" t="s">
        <v>27</v>
      </c>
      <c r="G726" t="s">
        <v>23</v>
      </c>
      <c r="H726">
        <f t="shared" si="11"/>
        <v>725</v>
      </c>
      <c r="I726" t="s">
        <v>17</v>
      </c>
      <c r="J726" s="3">
        <v>10561</v>
      </c>
      <c r="K726" t="b">
        <v>0</v>
      </c>
      <c r="L726" t="b">
        <v>1</v>
      </c>
      <c r="M726" t="b">
        <v>0</v>
      </c>
    </row>
    <row r="727" spans="1:13" x14ac:dyDescent="0.3">
      <c r="A727">
        <v>28</v>
      </c>
      <c r="B727" t="s">
        <v>12</v>
      </c>
      <c r="C727" s="1">
        <v>8</v>
      </c>
      <c r="D727" t="s">
        <v>28</v>
      </c>
      <c r="E727" t="s">
        <v>20</v>
      </c>
      <c r="F727" t="s">
        <v>27</v>
      </c>
      <c r="G727" t="s">
        <v>16</v>
      </c>
      <c r="H727">
        <f t="shared" si="11"/>
        <v>726</v>
      </c>
      <c r="I727" t="s">
        <v>21</v>
      </c>
      <c r="J727" s="3">
        <v>13981</v>
      </c>
      <c r="K727" t="b">
        <v>0</v>
      </c>
      <c r="L727" t="b">
        <v>1</v>
      </c>
      <c r="M727" t="b">
        <v>0</v>
      </c>
    </row>
    <row r="728" spans="1:13" x14ac:dyDescent="0.3">
      <c r="A728">
        <v>38</v>
      </c>
      <c r="B728" t="s">
        <v>12</v>
      </c>
      <c r="C728" s="1">
        <v>9</v>
      </c>
      <c r="D728" t="s">
        <v>19</v>
      </c>
      <c r="E728" t="s">
        <v>14</v>
      </c>
      <c r="F728" t="s">
        <v>22</v>
      </c>
      <c r="G728" t="s">
        <v>16</v>
      </c>
      <c r="H728">
        <f t="shared" si="11"/>
        <v>727</v>
      </c>
      <c r="I728" t="s">
        <v>24</v>
      </c>
      <c r="J728" s="3">
        <v>16261</v>
      </c>
      <c r="K728" t="b">
        <v>0</v>
      </c>
      <c r="L728" t="b">
        <v>0</v>
      </c>
      <c r="M728" t="b">
        <v>1</v>
      </c>
    </row>
    <row r="729" spans="1:13" x14ac:dyDescent="0.3">
      <c r="A729">
        <v>43</v>
      </c>
      <c r="B729" t="s">
        <v>12</v>
      </c>
      <c r="C729" s="1">
        <v>4</v>
      </c>
      <c r="D729" t="s">
        <v>13</v>
      </c>
      <c r="E729" t="s">
        <v>26</v>
      </c>
      <c r="F729" t="s">
        <v>22</v>
      </c>
      <c r="G729" t="s">
        <v>16</v>
      </c>
      <c r="H729">
        <f t="shared" si="11"/>
        <v>728</v>
      </c>
      <c r="I729" t="s">
        <v>17</v>
      </c>
      <c r="J729" s="3">
        <v>11737</v>
      </c>
      <c r="K729" t="b">
        <v>1</v>
      </c>
      <c r="L729" t="b">
        <v>0</v>
      </c>
      <c r="M729" t="b">
        <v>1</v>
      </c>
    </row>
    <row r="730" spans="1:13" x14ac:dyDescent="0.3">
      <c r="A730">
        <v>42</v>
      </c>
      <c r="B730" t="s">
        <v>25</v>
      </c>
      <c r="C730" s="1">
        <v>6</v>
      </c>
      <c r="D730" t="s">
        <v>19</v>
      </c>
      <c r="E730" t="s">
        <v>26</v>
      </c>
      <c r="F730" t="s">
        <v>22</v>
      </c>
      <c r="G730" t="s">
        <v>16</v>
      </c>
      <c r="H730">
        <f t="shared" si="11"/>
        <v>729</v>
      </c>
      <c r="I730" t="s">
        <v>24</v>
      </c>
      <c r="J730" s="3">
        <v>19096</v>
      </c>
      <c r="K730" t="b">
        <v>1</v>
      </c>
      <c r="L730" t="b">
        <v>1</v>
      </c>
      <c r="M730" t="b">
        <v>1</v>
      </c>
    </row>
    <row r="731" spans="1:13" x14ac:dyDescent="0.3">
      <c r="A731">
        <v>39</v>
      </c>
      <c r="B731" t="s">
        <v>18</v>
      </c>
      <c r="C731" s="1">
        <v>9</v>
      </c>
      <c r="D731" t="s">
        <v>13</v>
      </c>
      <c r="E731" t="s">
        <v>20</v>
      </c>
      <c r="F731" t="s">
        <v>27</v>
      </c>
      <c r="G731" t="s">
        <v>23</v>
      </c>
      <c r="H731">
        <f t="shared" si="11"/>
        <v>730</v>
      </c>
      <c r="I731" t="s">
        <v>21</v>
      </c>
      <c r="J731" s="3">
        <v>13554</v>
      </c>
      <c r="K731" t="b">
        <v>1</v>
      </c>
      <c r="L731" t="b">
        <v>0</v>
      </c>
      <c r="M731" t="b">
        <v>1</v>
      </c>
    </row>
    <row r="732" spans="1:13" x14ac:dyDescent="0.3">
      <c r="A732">
        <v>44</v>
      </c>
      <c r="B732" t="s">
        <v>12</v>
      </c>
      <c r="C732" s="1">
        <v>6</v>
      </c>
      <c r="D732" t="s">
        <v>19</v>
      </c>
      <c r="E732" t="s">
        <v>26</v>
      </c>
      <c r="F732" t="s">
        <v>15</v>
      </c>
      <c r="G732" t="s">
        <v>29</v>
      </c>
      <c r="H732">
        <f t="shared" si="11"/>
        <v>731</v>
      </c>
      <c r="I732" t="s">
        <v>21</v>
      </c>
      <c r="J732" s="3">
        <v>19918</v>
      </c>
      <c r="K732" t="b">
        <v>0</v>
      </c>
      <c r="L732" t="b">
        <v>0</v>
      </c>
      <c r="M732" t="b">
        <v>1</v>
      </c>
    </row>
    <row r="733" spans="1:13" x14ac:dyDescent="0.3">
      <c r="A733">
        <v>30</v>
      </c>
      <c r="B733" t="s">
        <v>25</v>
      </c>
      <c r="C733" s="1">
        <v>9</v>
      </c>
      <c r="D733" t="s">
        <v>28</v>
      </c>
      <c r="E733" t="s">
        <v>20</v>
      </c>
      <c r="F733" t="s">
        <v>22</v>
      </c>
      <c r="G733" t="s">
        <v>16</v>
      </c>
      <c r="H733">
        <f t="shared" si="11"/>
        <v>732</v>
      </c>
      <c r="I733" t="s">
        <v>21</v>
      </c>
      <c r="J733" s="3">
        <v>19126</v>
      </c>
      <c r="K733" t="b">
        <v>0</v>
      </c>
      <c r="L733" t="b">
        <v>0</v>
      </c>
      <c r="M733" t="b">
        <v>1</v>
      </c>
    </row>
    <row r="734" spans="1:13" x14ac:dyDescent="0.3">
      <c r="A734">
        <v>50</v>
      </c>
      <c r="B734" t="s">
        <v>18</v>
      </c>
      <c r="C734" s="1">
        <v>4</v>
      </c>
      <c r="D734" t="s">
        <v>13</v>
      </c>
      <c r="E734" t="s">
        <v>14</v>
      </c>
      <c r="F734" t="s">
        <v>15</v>
      </c>
      <c r="G734" t="s">
        <v>23</v>
      </c>
      <c r="H734">
        <f t="shared" si="11"/>
        <v>733</v>
      </c>
      <c r="I734" t="s">
        <v>17</v>
      </c>
      <c r="J734" s="3">
        <v>17095</v>
      </c>
      <c r="K734" t="b">
        <v>1</v>
      </c>
      <c r="L734" t="b">
        <v>1</v>
      </c>
      <c r="M734" t="b">
        <v>0</v>
      </c>
    </row>
    <row r="735" spans="1:13" x14ac:dyDescent="0.3">
      <c r="A735">
        <v>51</v>
      </c>
      <c r="B735" t="s">
        <v>25</v>
      </c>
      <c r="C735" s="1">
        <v>8</v>
      </c>
      <c r="D735" t="s">
        <v>13</v>
      </c>
      <c r="E735" t="s">
        <v>14</v>
      </c>
      <c r="F735" t="s">
        <v>15</v>
      </c>
      <c r="G735" t="s">
        <v>23</v>
      </c>
      <c r="H735">
        <f t="shared" si="11"/>
        <v>734</v>
      </c>
      <c r="I735" t="s">
        <v>17</v>
      </c>
      <c r="J735" s="3">
        <v>18266</v>
      </c>
      <c r="K735" t="b">
        <v>0</v>
      </c>
      <c r="L735" t="b">
        <v>0</v>
      </c>
      <c r="M735" t="b">
        <v>0</v>
      </c>
    </row>
    <row r="736" spans="1:13" x14ac:dyDescent="0.3">
      <c r="A736">
        <v>58</v>
      </c>
      <c r="B736" t="s">
        <v>18</v>
      </c>
      <c r="C736" s="1">
        <v>9</v>
      </c>
      <c r="D736" t="s">
        <v>13</v>
      </c>
      <c r="E736" t="s">
        <v>20</v>
      </c>
      <c r="F736" t="s">
        <v>15</v>
      </c>
      <c r="G736" t="s">
        <v>16</v>
      </c>
      <c r="H736">
        <f t="shared" si="11"/>
        <v>735</v>
      </c>
      <c r="I736" t="s">
        <v>21</v>
      </c>
      <c r="J736" s="3">
        <v>10294</v>
      </c>
      <c r="K736" t="b">
        <v>0</v>
      </c>
      <c r="L736" t="b">
        <v>1</v>
      </c>
      <c r="M736" t="b">
        <v>0</v>
      </c>
    </row>
    <row r="737" spans="1:13" x14ac:dyDescent="0.3">
      <c r="A737">
        <v>52</v>
      </c>
      <c r="B737" t="s">
        <v>25</v>
      </c>
      <c r="C737" s="1">
        <v>4</v>
      </c>
      <c r="D737" t="s">
        <v>28</v>
      </c>
      <c r="E737" t="s">
        <v>14</v>
      </c>
      <c r="F737" t="s">
        <v>27</v>
      </c>
      <c r="G737" t="s">
        <v>29</v>
      </c>
      <c r="H737">
        <f t="shared" si="11"/>
        <v>736</v>
      </c>
      <c r="I737" t="s">
        <v>17</v>
      </c>
      <c r="J737" s="3">
        <v>18212</v>
      </c>
      <c r="K737" t="b">
        <v>0</v>
      </c>
      <c r="L737" t="b">
        <v>1</v>
      </c>
      <c r="M737" t="b">
        <v>0</v>
      </c>
    </row>
    <row r="738" spans="1:13" x14ac:dyDescent="0.3">
      <c r="A738">
        <v>18</v>
      </c>
      <c r="B738" t="s">
        <v>18</v>
      </c>
      <c r="C738" s="1">
        <v>5</v>
      </c>
      <c r="D738" t="s">
        <v>19</v>
      </c>
      <c r="E738" t="s">
        <v>14</v>
      </c>
      <c r="F738" t="s">
        <v>15</v>
      </c>
      <c r="G738" t="s">
        <v>16</v>
      </c>
      <c r="H738">
        <f t="shared" si="11"/>
        <v>737</v>
      </c>
      <c r="I738" t="s">
        <v>21</v>
      </c>
      <c r="J738" s="3">
        <v>19230</v>
      </c>
      <c r="K738" t="b">
        <v>1</v>
      </c>
      <c r="L738" t="b">
        <v>1</v>
      </c>
      <c r="M738" t="b">
        <v>1</v>
      </c>
    </row>
    <row r="739" spans="1:13" x14ac:dyDescent="0.3">
      <c r="A739">
        <v>38</v>
      </c>
      <c r="B739" t="s">
        <v>12</v>
      </c>
      <c r="C739" s="1">
        <v>8</v>
      </c>
      <c r="D739" t="s">
        <v>28</v>
      </c>
      <c r="E739" t="s">
        <v>20</v>
      </c>
      <c r="F739" t="s">
        <v>22</v>
      </c>
      <c r="G739" t="s">
        <v>23</v>
      </c>
      <c r="H739">
        <f t="shared" si="11"/>
        <v>738</v>
      </c>
      <c r="I739" t="s">
        <v>17</v>
      </c>
      <c r="J739" s="3">
        <v>15330</v>
      </c>
      <c r="K739" t="b">
        <v>1</v>
      </c>
      <c r="L739" t="b">
        <v>0</v>
      </c>
      <c r="M739" t="b">
        <v>0</v>
      </c>
    </row>
    <row r="740" spans="1:13" x14ac:dyDescent="0.3">
      <c r="A740">
        <v>23</v>
      </c>
      <c r="B740" t="s">
        <v>18</v>
      </c>
      <c r="C740" s="1">
        <v>6</v>
      </c>
      <c r="D740" t="s">
        <v>13</v>
      </c>
      <c r="E740" t="s">
        <v>20</v>
      </c>
      <c r="F740" t="s">
        <v>27</v>
      </c>
      <c r="G740" t="s">
        <v>29</v>
      </c>
      <c r="H740">
        <f t="shared" si="11"/>
        <v>739</v>
      </c>
      <c r="I740" t="s">
        <v>21</v>
      </c>
      <c r="J740" s="3">
        <v>14655</v>
      </c>
      <c r="K740" t="b">
        <v>0</v>
      </c>
      <c r="L740" t="b">
        <v>0</v>
      </c>
      <c r="M740" t="b">
        <v>1</v>
      </c>
    </row>
    <row r="741" spans="1:13" x14ac:dyDescent="0.3">
      <c r="A741">
        <v>45</v>
      </c>
      <c r="B741" t="s">
        <v>25</v>
      </c>
      <c r="C741" s="1">
        <v>7</v>
      </c>
      <c r="D741" t="s">
        <v>19</v>
      </c>
      <c r="E741" t="s">
        <v>14</v>
      </c>
      <c r="F741" t="s">
        <v>22</v>
      </c>
      <c r="G741" t="s">
        <v>23</v>
      </c>
      <c r="H741">
        <f t="shared" si="11"/>
        <v>740</v>
      </c>
      <c r="I741" t="s">
        <v>24</v>
      </c>
      <c r="J741" s="3">
        <v>11109</v>
      </c>
      <c r="K741" t="b">
        <v>0</v>
      </c>
      <c r="L741" t="b">
        <v>1</v>
      </c>
      <c r="M741" t="b">
        <v>0</v>
      </c>
    </row>
    <row r="742" spans="1:13" x14ac:dyDescent="0.3">
      <c r="A742">
        <v>34</v>
      </c>
      <c r="B742" t="s">
        <v>25</v>
      </c>
      <c r="C742" s="1">
        <v>3</v>
      </c>
      <c r="D742" t="s">
        <v>28</v>
      </c>
      <c r="E742" t="s">
        <v>26</v>
      </c>
      <c r="F742" t="s">
        <v>22</v>
      </c>
      <c r="G742" t="s">
        <v>16</v>
      </c>
      <c r="H742">
        <f t="shared" si="11"/>
        <v>741</v>
      </c>
      <c r="I742" t="s">
        <v>21</v>
      </c>
      <c r="J742" s="3">
        <v>13771</v>
      </c>
      <c r="K742" t="b">
        <v>0</v>
      </c>
      <c r="L742" t="b">
        <v>1</v>
      </c>
      <c r="M742" t="b">
        <v>0</v>
      </c>
    </row>
    <row r="743" spans="1:13" x14ac:dyDescent="0.3">
      <c r="A743">
        <v>22</v>
      </c>
      <c r="B743" t="s">
        <v>18</v>
      </c>
      <c r="C743" s="1">
        <v>7</v>
      </c>
      <c r="D743" t="s">
        <v>13</v>
      </c>
      <c r="E743" t="s">
        <v>26</v>
      </c>
      <c r="F743" t="s">
        <v>27</v>
      </c>
      <c r="G743" t="s">
        <v>29</v>
      </c>
      <c r="H743">
        <f t="shared" si="11"/>
        <v>742</v>
      </c>
      <c r="I743" t="s">
        <v>21</v>
      </c>
      <c r="J743" s="3">
        <v>18563</v>
      </c>
      <c r="K743" t="b">
        <v>0</v>
      </c>
      <c r="L743" t="b">
        <v>1</v>
      </c>
      <c r="M743" t="b">
        <v>0</v>
      </c>
    </row>
    <row r="744" spans="1:13" x14ac:dyDescent="0.3">
      <c r="A744">
        <v>48</v>
      </c>
      <c r="B744" t="s">
        <v>12</v>
      </c>
      <c r="C744" s="1">
        <v>8</v>
      </c>
      <c r="D744" t="s">
        <v>13</v>
      </c>
      <c r="E744" t="s">
        <v>20</v>
      </c>
      <c r="F744" t="s">
        <v>22</v>
      </c>
      <c r="G744" t="s">
        <v>23</v>
      </c>
      <c r="H744">
        <f t="shared" si="11"/>
        <v>743</v>
      </c>
      <c r="I744" t="s">
        <v>17</v>
      </c>
      <c r="J744" s="3">
        <v>16123</v>
      </c>
      <c r="K744" t="b">
        <v>1</v>
      </c>
      <c r="L744" t="b">
        <v>0</v>
      </c>
      <c r="M744" t="b">
        <v>1</v>
      </c>
    </row>
    <row r="745" spans="1:13" x14ac:dyDescent="0.3">
      <c r="A745">
        <v>22</v>
      </c>
      <c r="B745" t="s">
        <v>12</v>
      </c>
      <c r="C745" s="1">
        <v>6</v>
      </c>
      <c r="D745" t="s">
        <v>28</v>
      </c>
      <c r="E745" t="s">
        <v>20</v>
      </c>
      <c r="F745" t="s">
        <v>22</v>
      </c>
      <c r="G745" t="s">
        <v>23</v>
      </c>
      <c r="H745">
        <f t="shared" si="11"/>
        <v>744</v>
      </c>
      <c r="I745" t="s">
        <v>17</v>
      </c>
      <c r="J745" s="3">
        <v>17647</v>
      </c>
      <c r="K745" t="b">
        <v>0</v>
      </c>
      <c r="L745" t="b">
        <v>0</v>
      </c>
      <c r="M745" t="b">
        <v>0</v>
      </c>
    </row>
    <row r="746" spans="1:13" x14ac:dyDescent="0.3">
      <c r="A746">
        <v>55</v>
      </c>
      <c r="B746" t="s">
        <v>18</v>
      </c>
      <c r="C746" s="1">
        <v>9</v>
      </c>
      <c r="D746" t="s">
        <v>28</v>
      </c>
      <c r="E746" t="s">
        <v>26</v>
      </c>
      <c r="F746" t="s">
        <v>27</v>
      </c>
      <c r="G746" t="s">
        <v>23</v>
      </c>
      <c r="H746">
        <f t="shared" si="11"/>
        <v>745</v>
      </c>
      <c r="I746" t="s">
        <v>17</v>
      </c>
      <c r="J746" s="3">
        <v>11174</v>
      </c>
      <c r="K746" t="b">
        <v>1</v>
      </c>
      <c r="L746" t="b">
        <v>1</v>
      </c>
      <c r="M746" t="b">
        <v>1</v>
      </c>
    </row>
    <row r="747" spans="1:13" x14ac:dyDescent="0.3">
      <c r="A747">
        <v>20</v>
      </c>
      <c r="B747" t="s">
        <v>18</v>
      </c>
      <c r="C747" s="1">
        <v>6</v>
      </c>
      <c r="D747" t="s">
        <v>28</v>
      </c>
      <c r="E747" t="s">
        <v>14</v>
      </c>
      <c r="F747" t="s">
        <v>22</v>
      </c>
      <c r="G747" t="s">
        <v>16</v>
      </c>
      <c r="H747">
        <f t="shared" si="11"/>
        <v>746</v>
      </c>
      <c r="I747" t="s">
        <v>17</v>
      </c>
      <c r="J747" s="3">
        <v>11164</v>
      </c>
      <c r="K747" t="b">
        <v>1</v>
      </c>
      <c r="L747" t="b">
        <v>1</v>
      </c>
      <c r="M747" t="b">
        <v>1</v>
      </c>
    </row>
    <row r="748" spans="1:13" x14ac:dyDescent="0.3">
      <c r="A748">
        <v>40</v>
      </c>
      <c r="B748" t="s">
        <v>25</v>
      </c>
      <c r="C748" s="1">
        <v>9</v>
      </c>
      <c r="D748" t="s">
        <v>13</v>
      </c>
      <c r="E748" t="s">
        <v>26</v>
      </c>
      <c r="F748" t="s">
        <v>15</v>
      </c>
      <c r="G748" t="s">
        <v>29</v>
      </c>
      <c r="H748">
        <f t="shared" si="11"/>
        <v>747</v>
      </c>
      <c r="I748" t="s">
        <v>17</v>
      </c>
      <c r="J748" s="3">
        <v>19284</v>
      </c>
      <c r="K748" t="b">
        <v>1</v>
      </c>
      <c r="L748" t="b">
        <v>0</v>
      </c>
      <c r="M748" t="b">
        <v>0</v>
      </c>
    </row>
    <row r="749" spans="1:13" x14ac:dyDescent="0.3">
      <c r="A749">
        <v>54</v>
      </c>
      <c r="B749" t="s">
        <v>12</v>
      </c>
      <c r="C749" s="1">
        <v>4</v>
      </c>
      <c r="D749" t="s">
        <v>28</v>
      </c>
      <c r="E749" t="s">
        <v>26</v>
      </c>
      <c r="F749" t="s">
        <v>22</v>
      </c>
      <c r="G749" t="s">
        <v>16</v>
      </c>
      <c r="H749">
        <f t="shared" si="11"/>
        <v>748</v>
      </c>
      <c r="I749" t="s">
        <v>17</v>
      </c>
      <c r="J749" s="3">
        <v>19475</v>
      </c>
      <c r="K749" t="b">
        <v>0</v>
      </c>
      <c r="L749" t="b">
        <v>1</v>
      </c>
      <c r="M749" t="b">
        <v>1</v>
      </c>
    </row>
    <row r="750" spans="1:13" x14ac:dyDescent="0.3">
      <c r="A750">
        <v>54</v>
      </c>
      <c r="B750" t="s">
        <v>18</v>
      </c>
      <c r="C750" s="1">
        <v>8</v>
      </c>
      <c r="D750" t="s">
        <v>13</v>
      </c>
      <c r="E750" t="s">
        <v>26</v>
      </c>
      <c r="F750" t="s">
        <v>15</v>
      </c>
      <c r="G750" t="s">
        <v>16</v>
      </c>
      <c r="H750">
        <f t="shared" si="11"/>
        <v>749</v>
      </c>
      <c r="I750" t="s">
        <v>24</v>
      </c>
      <c r="J750" s="3">
        <v>19037</v>
      </c>
      <c r="K750" t="b">
        <v>1</v>
      </c>
      <c r="L750" t="b">
        <v>0</v>
      </c>
      <c r="M750" t="b">
        <v>1</v>
      </c>
    </row>
    <row r="751" spans="1:13" x14ac:dyDescent="0.3">
      <c r="A751">
        <v>27</v>
      </c>
      <c r="B751" t="s">
        <v>12</v>
      </c>
      <c r="C751" s="1">
        <v>4</v>
      </c>
      <c r="D751" t="s">
        <v>28</v>
      </c>
      <c r="E751" t="s">
        <v>26</v>
      </c>
      <c r="F751" t="s">
        <v>22</v>
      </c>
      <c r="G751" t="s">
        <v>16</v>
      </c>
      <c r="H751">
        <f t="shared" si="11"/>
        <v>750</v>
      </c>
      <c r="I751" t="s">
        <v>21</v>
      </c>
      <c r="J751" s="3">
        <v>18712</v>
      </c>
      <c r="K751" t="b">
        <v>1</v>
      </c>
      <c r="L751" t="b">
        <v>0</v>
      </c>
      <c r="M751" t="b">
        <v>0</v>
      </c>
    </row>
    <row r="752" spans="1:13" x14ac:dyDescent="0.3">
      <c r="A752">
        <v>27</v>
      </c>
      <c r="B752" t="s">
        <v>18</v>
      </c>
      <c r="C752" s="1">
        <v>2</v>
      </c>
      <c r="D752" t="s">
        <v>13</v>
      </c>
      <c r="E752" t="s">
        <v>20</v>
      </c>
      <c r="F752" t="s">
        <v>27</v>
      </c>
      <c r="G752" t="s">
        <v>29</v>
      </c>
      <c r="H752">
        <f t="shared" si="11"/>
        <v>751</v>
      </c>
      <c r="I752" t="s">
        <v>21</v>
      </c>
      <c r="J752" s="3">
        <v>14466</v>
      </c>
      <c r="K752" t="b">
        <v>0</v>
      </c>
      <c r="L752" t="b">
        <v>1</v>
      </c>
      <c r="M752" t="b">
        <v>0</v>
      </c>
    </row>
    <row r="753" spans="1:13" x14ac:dyDescent="0.3">
      <c r="A753">
        <v>36</v>
      </c>
      <c r="B753" t="s">
        <v>18</v>
      </c>
      <c r="C753" s="1">
        <v>9</v>
      </c>
      <c r="D753" t="s">
        <v>13</v>
      </c>
      <c r="E753" t="s">
        <v>20</v>
      </c>
      <c r="F753" t="s">
        <v>27</v>
      </c>
      <c r="G753" t="s">
        <v>16</v>
      </c>
      <c r="H753">
        <f t="shared" si="11"/>
        <v>752</v>
      </c>
      <c r="I753" t="s">
        <v>21</v>
      </c>
      <c r="J753" s="3">
        <v>15538</v>
      </c>
      <c r="K753" t="b">
        <v>0</v>
      </c>
      <c r="L753" t="b">
        <v>1</v>
      </c>
      <c r="M753" t="b">
        <v>0</v>
      </c>
    </row>
    <row r="754" spans="1:13" x14ac:dyDescent="0.3">
      <c r="A754">
        <v>34</v>
      </c>
      <c r="B754" t="s">
        <v>12</v>
      </c>
      <c r="C754" s="1">
        <v>5</v>
      </c>
      <c r="D754" t="s">
        <v>19</v>
      </c>
      <c r="E754" t="s">
        <v>14</v>
      </c>
      <c r="F754" t="s">
        <v>22</v>
      </c>
      <c r="G754" t="s">
        <v>16</v>
      </c>
      <c r="H754">
        <f t="shared" si="11"/>
        <v>753</v>
      </c>
      <c r="I754" t="s">
        <v>24</v>
      </c>
      <c r="J754" s="3">
        <v>17111</v>
      </c>
      <c r="K754" t="b">
        <v>0</v>
      </c>
      <c r="L754" t="b">
        <v>0</v>
      </c>
      <c r="M754" t="b">
        <v>0</v>
      </c>
    </row>
    <row r="755" spans="1:13" x14ac:dyDescent="0.3">
      <c r="A755">
        <v>38</v>
      </c>
      <c r="B755" t="s">
        <v>18</v>
      </c>
      <c r="C755" s="1">
        <v>4</v>
      </c>
      <c r="D755" t="s">
        <v>28</v>
      </c>
      <c r="E755" t="s">
        <v>14</v>
      </c>
      <c r="F755" t="s">
        <v>27</v>
      </c>
      <c r="G755" t="s">
        <v>16</v>
      </c>
      <c r="H755">
        <f t="shared" si="11"/>
        <v>754</v>
      </c>
      <c r="I755" t="s">
        <v>21</v>
      </c>
      <c r="J755" s="3">
        <v>18434</v>
      </c>
      <c r="K755" t="b">
        <v>1</v>
      </c>
      <c r="L755" t="b">
        <v>0</v>
      </c>
      <c r="M755" t="b">
        <v>0</v>
      </c>
    </row>
    <row r="756" spans="1:13" x14ac:dyDescent="0.3">
      <c r="A756">
        <v>31</v>
      </c>
      <c r="B756" t="s">
        <v>18</v>
      </c>
      <c r="C756" s="1">
        <v>2</v>
      </c>
      <c r="D756" t="s">
        <v>28</v>
      </c>
      <c r="E756" t="s">
        <v>14</v>
      </c>
      <c r="F756" t="s">
        <v>22</v>
      </c>
      <c r="G756" t="s">
        <v>16</v>
      </c>
      <c r="H756">
        <f t="shared" si="11"/>
        <v>755</v>
      </c>
      <c r="I756" t="s">
        <v>24</v>
      </c>
      <c r="J756" s="3">
        <v>12800</v>
      </c>
      <c r="K756" t="b">
        <v>0</v>
      </c>
      <c r="L756" t="b">
        <v>0</v>
      </c>
      <c r="M756" t="b">
        <v>0</v>
      </c>
    </row>
    <row r="757" spans="1:13" x14ac:dyDescent="0.3">
      <c r="A757">
        <v>26</v>
      </c>
      <c r="B757" t="s">
        <v>25</v>
      </c>
      <c r="C757" s="1">
        <v>1</v>
      </c>
      <c r="D757" t="s">
        <v>13</v>
      </c>
      <c r="E757" t="s">
        <v>14</v>
      </c>
      <c r="F757" t="s">
        <v>27</v>
      </c>
      <c r="G757" t="s">
        <v>23</v>
      </c>
      <c r="H757">
        <f t="shared" si="11"/>
        <v>756</v>
      </c>
      <c r="I757" t="s">
        <v>24</v>
      </c>
      <c r="J757" s="3">
        <v>14607</v>
      </c>
      <c r="K757" t="b">
        <v>1</v>
      </c>
      <c r="L757" t="b">
        <v>0</v>
      </c>
      <c r="M757" t="b">
        <v>1</v>
      </c>
    </row>
    <row r="758" spans="1:13" x14ac:dyDescent="0.3">
      <c r="A758">
        <v>63</v>
      </c>
      <c r="B758" t="s">
        <v>18</v>
      </c>
      <c r="C758" s="1">
        <v>7</v>
      </c>
      <c r="D758" t="s">
        <v>13</v>
      </c>
      <c r="E758" t="s">
        <v>26</v>
      </c>
      <c r="F758" t="s">
        <v>15</v>
      </c>
      <c r="G758" t="s">
        <v>16</v>
      </c>
      <c r="H758">
        <f t="shared" si="11"/>
        <v>757</v>
      </c>
      <c r="I758" t="s">
        <v>24</v>
      </c>
      <c r="J758" s="3">
        <v>17262</v>
      </c>
      <c r="K758" t="b">
        <v>1</v>
      </c>
      <c r="L758" t="b">
        <v>0</v>
      </c>
      <c r="M758" t="b">
        <v>0</v>
      </c>
    </row>
    <row r="759" spans="1:13" x14ac:dyDescent="0.3">
      <c r="A759">
        <v>18</v>
      </c>
      <c r="B759" t="s">
        <v>18</v>
      </c>
      <c r="C759" s="1">
        <v>6</v>
      </c>
      <c r="D759" t="s">
        <v>13</v>
      </c>
      <c r="E759" t="s">
        <v>20</v>
      </c>
      <c r="F759" t="s">
        <v>22</v>
      </c>
      <c r="G759" t="s">
        <v>23</v>
      </c>
      <c r="H759">
        <f t="shared" si="11"/>
        <v>758</v>
      </c>
      <c r="I759" t="s">
        <v>21</v>
      </c>
      <c r="J759" s="3">
        <v>11541</v>
      </c>
      <c r="K759" t="b">
        <v>0</v>
      </c>
      <c r="L759" t="b">
        <v>1</v>
      </c>
      <c r="M759" t="b">
        <v>0</v>
      </c>
    </row>
    <row r="760" spans="1:13" x14ac:dyDescent="0.3">
      <c r="A760">
        <v>62</v>
      </c>
      <c r="B760" t="s">
        <v>18</v>
      </c>
      <c r="C760" s="1">
        <v>2</v>
      </c>
      <c r="D760" t="s">
        <v>19</v>
      </c>
      <c r="E760" t="s">
        <v>20</v>
      </c>
      <c r="F760" t="s">
        <v>15</v>
      </c>
      <c r="G760" t="s">
        <v>16</v>
      </c>
      <c r="H760">
        <f t="shared" si="11"/>
        <v>759</v>
      </c>
      <c r="I760" t="s">
        <v>24</v>
      </c>
      <c r="J760" s="3">
        <v>12765</v>
      </c>
      <c r="K760" t="b">
        <v>1</v>
      </c>
      <c r="L760" t="b">
        <v>0</v>
      </c>
      <c r="M760" t="b">
        <v>1</v>
      </c>
    </row>
    <row r="761" spans="1:13" x14ac:dyDescent="0.3">
      <c r="A761">
        <v>30</v>
      </c>
      <c r="B761" t="s">
        <v>25</v>
      </c>
      <c r="C761" s="1">
        <v>8</v>
      </c>
      <c r="D761" t="s">
        <v>19</v>
      </c>
      <c r="E761" t="s">
        <v>14</v>
      </c>
      <c r="F761" t="s">
        <v>15</v>
      </c>
      <c r="G761" t="s">
        <v>29</v>
      </c>
      <c r="H761">
        <f t="shared" si="11"/>
        <v>760</v>
      </c>
      <c r="I761" t="s">
        <v>21</v>
      </c>
      <c r="J761" s="3">
        <v>14491</v>
      </c>
      <c r="K761" t="b">
        <v>1</v>
      </c>
      <c r="L761" t="b">
        <v>0</v>
      </c>
      <c r="M761" t="b">
        <v>0</v>
      </c>
    </row>
    <row r="762" spans="1:13" x14ac:dyDescent="0.3">
      <c r="A762">
        <v>21</v>
      </c>
      <c r="B762" t="s">
        <v>12</v>
      </c>
      <c r="C762" s="1">
        <v>4</v>
      </c>
      <c r="D762" t="s">
        <v>13</v>
      </c>
      <c r="E762" t="s">
        <v>14</v>
      </c>
      <c r="F762" t="s">
        <v>22</v>
      </c>
      <c r="G762" t="s">
        <v>23</v>
      </c>
      <c r="H762">
        <f t="shared" si="11"/>
        <v>761</v>
      </c>
      <c r="I762" t="s">
        <v>21</v>
      </c>
      <c r="J762" s="3">
        <v>13083</v>
      </c>
      <c r="K762" t="b">
        <v>1</v>
      </c>
      <c r="L762" t="b">
        <v>0</v>
      </c>
      <c r="M762" t="b">
        <v>1</v>
      </c>
    </row>
    <row r="763" spans="1:13" x14ac:dyDescent="0.3">
      <c r="A763">
        <v>18</v>
      </c>
      <c r="B763" t="s">
        <v>25</v>
      </c>
      <c r="C763" s="1">
        <v>8</v>
      </c>
      <c r="D763" t="s">
        <v>28</v>
      </c>
      <c r="E763" t="s">
        <v>26</v>
      </c>
      <c r="F763" t="s">
        <v>15</v>
      </c>
      <c r="G763" t="s">
        <v>23</v>
      </c>
      <c r="H763">
        <f t="shared" si="11"/>
        <v>762</v>
      </c>
      <c r="I763" t="s">
        <v>17</v>
      </c>
      <c r="J763" s="3">
        <v>15356</v>
      </c>
      <c r="K763" t="b">
        <v>1</v>
      </c>
      <c r="L763" t="b">
        <v>1</v>
      </c>
      <c r="M763" t="b">
        <v>0</v>
      </c>
    </row>
    <row r="764" spans="1:13" x14ac:dyDescent="0.3">
      <c r="A764">
        <v>57</v>
      </c>
      <c r="B764" t="s">
        <v>25</v>
      </c>
      <c r="C764" s="1">
        <v>7</v>
      </c>
      <c r="D764" t="s">
        <v>28</v>
      </c>
      <c r="E764" t="s">
        <v>26</v>
      </c>
      <c r="F764" t="s">
        <v>22</v>
      </c>
      <c r="G764" t="s">
        <v>23</v>
      </c>
      <c r="H764">
        <f t="shared" si="11"/>
        <v>763</v>
      </c>
      <c r="I764" t="s">
        <v>17</v>
      </c>
      <c r="J764" s="3">
        <v>11857</v>
      </c>
      <c r="K764" t="b">
        <v>0</v>
      </c>
      <c r="L764" t="b">
        <v>1</v>
      </c>
      <c r="M764" t="b">
        <v>0</v>
      </c>
    </row>
    <row r="765" spans="1:13" x14ac:dyDescent="0.3">
      <c r="A765">
        <v>49</v>
      </c>
      <c r="B765" t="s">
        <v>12</v>
      </c>
      <c r="C765" s="1">
        <v>5</v>
      </c>
      <c r="D765" t="s">
        <v>19</v>
      </c>
      <c r="E765" t="s">
        <v>14</v>
      </c>
      <c r="F765" t="s">
        <v>15</v>
      </c>
      <c r="G765" t="s">
        <v>23</v>
      </c>
      <c r="H765">
        <f t="shared" si="11"/>
        <v>764</v>
      </c>
      <c r="I765" t="s">
        <v>24</v>
      </c>
      <c r="J765" s="3">
        <v>10769</v>
      </c>
      <c r="K765" t="b">
        <v>1</v>
      </c>
      <c r="L765" t="b">
        <v>0</v>
      </c>
      <c r="M765" t="b">
        <v>1</v>
      </c>
    </row>
    <row r="766" spans="1:13" x14ac:dyDescent="0.3">
      <c r="A766">
        <v>51</v>
      </c>
      <c r="B766" t="s">
        <v>25</v>
      </c>
      <c r="C766" s="1">
        <v>8</v>
      </c>
      <c r="D766" t="s">
        <v>19</v>
      </c>
      <c r="E766" t="s">
        <v>20</v>
      </c>
      <c r="F766" t="s">
        <v>22</v>
      </c>
      <c r="G766" t="s">
        <v>29</v>
      </c>
      <c r="H766">
        <f t="shared" si="11"/>
        <v>765</v>
      </c>
      <c r="I766" t="s">
        <v>24</v>
      </c>
      <c r="J766" s="3">
        <v>11422</v>
      </c>
      <c r="K766" t="b">
        <v>0</v>
      </c>
      <c r="L766" t="b">
        <v>0</v>
      </c>
      <c r="M766" t="b">
        <v>0</v>
      </c>
    </row>
    <row r="767" spans="1:13" x14ac:dyDescent="0.3">
      <c r="A767">
        <v>45</v>
      </c>
      <c r="B767" t="s">
        <v>12</v>
      </c>
      <c r="C767" s="1">
        <v>9</v>
      </c>
      <c r="D767" t="s">
        <v>13</v>
      </c>
      <c r="E767" t="s">
        <v>20</v>
      </c>
      <c r="F767" t="s">
        <v>22</v>
      </c>
      <c r="G767" t="s">
        <v>16</v>
      </c>
      <c r="H767">
        <f t="shared" si="11"/>
        <v>766</v>
      </c>
      <c r="I767" t="s">
        <v>21</v>
      </c>
      <c r="J767" s="3">
        <v>18598</v>
      </c>
      <c r="K767" t="b">
        <v>1</v>
      </c>
      <c r="L767" t="b">
        <v>1</v>
      </c>
      <c r="M767" t="b">
        <v>1</v>
      </c>
    </row>
    <row r="768" spans="1:13" x14ac:dyDescent="0.3">
      <c r="A768">
        <v>48</v>
      </c>
      <c r="B768" t="s">
        <v>25</v>
      </c>
      <c r="C768" s="1">
        <v>5</v>
      </c>
      <c r="D768" t="s">
        <v>28</v>
      </c>
      <c r="E768" t="s">
        <v>20</v>
      </c>
      <c r="F768" t="s">
        <v>27</v>
      </c>
      <c r="G768" t="s">
        <v>23</v>
      </c>
      <c r="H768">
        <f t="shared" si="11"/>
        <v>767</v>
      </c>
      <c r="I768" t="s">
        <v>24</v>
      </c>
      <c r="J768" s="3">
        <v>12972</v>
      </c>
      <c r="K768" t="b">
        <v>1</v>
      </c>
      <c r="L768" t="b">
        <v>1</v>
      </c>
      <c r="M768" t="b">
        <v>0</v>
      </c>
    </row>
    <row r="769" spans="1:13" x14ac:dyDescent="0.3">
      <c r="A769">
        <v>25</v>
      </c>
      <c r="B769" t="s">
        <v>12</v>
      </c>
      <c r="C769" s="1">
        <v>5</v>
      </c>
      <c r="D769" t="s">
        <v>13</v>
      </c>
      <c r="E769" t="s">
        <v>14</v>
      </c>
      <c r="F769" t="s">
        <v>22</v>
      </c>
      <c r="G769" t="s">
        <v>29</v>
      </c>
      <c r="H769">
        <f t="shared" si="11"/>
        <v>768</v>
      </c>
      <c r="I769" t="s">
        <v>24</v>
      </c>
      <c r="J769" s="3">
        <v>11872</v>
      </c>
      <c r="K769" t="b">
        <v>0</v>
      </c>
      <c r="L769" t="b">
        <v>1</v>
      </c>
      <c r="M769" t="b">
        <v>0</v>
      </c>
    </row>
    <row r="770" spans="1:13" x14ac:dyDescent="0.3">
      <c r="A770">
        <v>56</v>
      </c>
      <c r="B770" t="s">
        <v>18</v>
      </c>
      <c r="C770" s="1">
        <v>2</v>
      </c>
      <c r="D770" t="s">
        <v>19</v>
      </c>
      <c r="E770" t="s">
        <v>20</v>
      </c>
      <c r="F770" t="s">
        <v>22</v>
      </c>
      <c r="G770" t="s">
        <v>23</v>
      </c>
      <c r="H770">
        <f t="shared" si="11"/>
        <v>769</v>
      </c>
      <c r="I770" t="s">
        <v>21</v>
      </c>
      <c r="J770" s="3">
        <v>15599</v>
      </c>
      <c r="K770" t="b">
        <v>1</v>
      </c>
      <c r="L770" t="b">
        <v>1</v>
      </c>
      <c r="M770" t="b">
        <v>1</v>
      </c>
    </row>
    <row r="771" spans="1:13" x14ac:dyDescent="0.3">
      <c r="A771">
        <v>43</v>
      </c>
      <c r="B771" t="s">
        <v>25</v>
      </c>
      <c r="C771" s="1">
        <v>5</v>
      </c>
      <c r="D771" t="s">
        <v>28</v>
      </c>
      <c r="E771" t="s">
        <v>26</v>
      </c>
      <c r="F771" t="s">
        <v>15</v>
      </c>
      <c r="G771" t="s">
        <v>16</v>
      </c>
      <c r="H771">
        <f t="shared" si="11"/>
        <v>770</v>
      </c>
      <c r="I771" t="s">
        <v>24</v>
      </c>
      <c r="J771" s="3">
        <v>12269</v>
      </c>
      <c r="K771" t="b">
        <v>1</v>
      </c>
      <c r="L771" t="b">
        <v>0</v>
      </c>
      <c r="M771" t="b">
        <v>0</v>
      </c>
    </row>
    <row r="772" spans="1:13" x14ac:dyDescent="0.3">
      <c r="A772">
        <v>51</v>
      </c>
      <c r="B772" t="s">
        <v>25</v>
      </c>
      <c r="C772" s="1">
        <v>3</v>
      </c>
      <c r="D772" t="s">
        <v>28</v>
      </c>
      <c r="E772" t="s">
        <v>26</v>
      </c>
      <c r="F772" t="s">
        <v>22</v>
      </c>
      <c r="G772" t="s">
        <v>23</v>
      </c>
      <c r="H772">
        <f t="shared" ref="H772:I835" si="12">H771+1</f>
        <v>771</v>
      </c>
      <c r="I772" t="s">
        <v>24</v>
      </c>
      <c r="J772" s="3">
        <v>15275</v>
      </c>
      <c r="K772" t="b">
        <v>1</v>
      </c>
      <c r="L772" t="b">
        <v>1</v>
      </c>
      <c r="M772" t="b">
        <v>0</v>
      </c>
    </row>
    <row r="773" spans="1:13" x14ac:dyDescent="0.3">
      <c r="A773">
        <v>20</v>
      </c>
      <c r="B773" t="s">
        <v>25</v>
      </c>
      <c r="C773" s="1">
        <v>7</v>
      </c>
      <c r="D773" t="s">
        <v>19</v>
      </c>
      <c r="E773" t="s">
        <v>14</v>
      </c>
      <c r="F773" t="s">
        <v>27</v>
      </c>
      <c r="G773" t="s">
        <v>29</v>
      </c>
      <c r="H773">
        <f t="shared" si="12"/>
        <v>772</v>
      </c>
      <c r="I773" t="s">
        <v>21</v>
      </c>
      <c r="J773" s="3">
        <v>14749</v>
      </c>
      <c r="K773" t="b">
        <v>1</v>
      </c>
      <c r="L773" t="b">
        <v>0</v>
      </c>
      <c r="M773" t="b">
        <v>1</v>
      </c>
    </row>
    <row r="774" spans="1:13" x14ac:dyDescent="0.3">
      <c r="A774">
        <v>29</v>
      </c>
      <c r="B774" t="s">
        <v>25</v>
      </c>
      <c r="C774" s="1">
        <v>5</v>
      </c>
      <c r="D774" t="s">
        <v>13</v>
      </c>
      <c r="E774" t="s">
        <v>26</v>
      </c>
      <c r="F774" t="s">
        <v>15</v>
      </c>
      <c r="G774" t="s">
        <v>16</v>
      </c>
      <c r="H774">
        <f t="shared" si="12"/>
        <v>773</v>
      </c>
      <c r="I774" t="s">
        <v>21</v>
      </c>
      <c r="J774" s="3">
        <v>16571</v>
      </c>
      <c r="K774" t="b">
        <v>1</v>
      </c>
      <c r="L774" t="b">
        <v>0</v>
      </c>
      <c r="M774" t="b">
        <v>0</v>
      </c>
    </row>
    <row r="775" spans="1:13" x14ac:dyDescent="0.3">
      <c r="A775">
        <v>18</v>
      </c>
      <c r="B775" t="s">
        <v>18</v>
      </c>
      <c r="C775" s="1">
        <v>8</v>
      </c>
      <c r="D775" t="s">
        <v>13</v>
      </c>
      <c r="E775" t="s">
        <v>14</v>
      </c>
      <c r="F775" t="s">
        <v>15</v>
      </c>
      <c r="G775" t="s">
        <v>29</v>
      </c>
      <c r="H775">
        <f t="shared" si="12"/>
        <v>774</v>
      </c>
      <c r="I775" t="s">
        <v>17</v>
      </c>
      <c r="J775" s="3">
        <v>19373</v>
      </c>
      <c r="K775" t="b">
        <v>1</v>
      </c>
      <c r="L775" t="b">
        <v>1</v>
      </c>
      <c r="M775" t="b">
        <v>1</v>
      </c>
    </row>
    <row r="776" spans="1:13" x14ac:dyDescent="0.3">
      <c r="A776">
        <v>61</v>
      </c>
      <c r="B776" t="s">
        <v>25</v>
      </c>
      <c r="C776" s="1">
        <v>1</v>
      </c>
      <c r="D776" t="s">
        <v>28</v>
      </c>
      <c r="E776" t="s">
        <v>20</v>
      </c>
      <c r="F776" t="s">
        <v>27</v>
      </c>
      <c r="G776" t="s">
        <v>16</v>
      </c>
      <c r="H776">
        <f t="shared" si="12"/>
        <v>775</v>
      </c>
      <c r="I776" t="s">
        <v>21</v>
      </c>
      <c r="J776" s="3">
        <v>15072</v>
      </c>
      <c r="K776" t="b">
        <v>0</v>
      </c>
      <c r="L776" t="b">
        <v>1</v>
      </c>
      <c r="M776" t="b">
        <v>0</v>
      </c>
    </row>
    <row r="777" spans="1:13" x14ac:dyDescent="0.3">
      <c r="A777">
        <v>22</v>
      </c>
      <c r="B777" t="s">
        <v>18</v>
      </c>
      <c r="C777" s="1">
        <v>3</v>
      </c>
      <c r="D777" t="s">
        <v>19</v>
      </c>
      <c r="E777" t="s">
        <v>20</v>
      </c>
      <c r="F777" t="s">
        <v>15</v>
      </c>
      <c r="G777" t="s">
        <v>16</v>
      </c>
      <c r="H777">
        <f t="shared" si="12"/>
        <v>776</v>
      </c>
      <c r="I777" t="s">
        <v>17</v>
      </c>
      <c r="J777" s="3">
        <v>19631</v>
      </c>
      <c r="K777" t="b">
        <v>0</v>
      </c>
      <c r="L777" t="b">
        <v>1</v>
      </c>
      <c r="M777" t="b">
        <v>1</v>
      </c>
    </row>
    <row r="778" spans="1:13" x14ac:dyDescent="0.3">
      <c r="A778">
        <v>47</v>
      </c>
      <c r="B778" t="s">
        <v>18</v>
      </c>
      <c r="C778" s="1">
        <v>3</v>
      </c>
      <c r="D778" t="s">
        <v>28</v>
      </c>
      <c r="E778" t="s">
        <v>20</v>
      </c>
      <c r="F778" t="s">
        <v>15</v>
      </c>
      <c r="G778" t="s">
        <v>16</v>
      </c>
      <c r="H778">
        <f t="shared" si="12"/>
        <v>777</v>
      </c>
      <c r="I778" t="s">
        <v>24</v>
      </c>
      <c r="J778" s="3">
        <v>15463</v>
      </c>
      <c r="K778" t="b">
        <v>0</v>
      </c>
      <c r="L778" t="b">
        <v>1</v>
      </c>
      <c r="M778" t="b">
        <v>0</v>
      </c>
    </row>
    <row r="779" spans="1:13" x14ac:dyDescent="0.3">
      <c r="A779">
        <v>47</v>
      </c>
      <c r="B779" t="s">
        <v>18</v>
      </c>
      <c r="C779" s="1">
        <v>9</v>
      </c>
      <c r="D779" t="s">
        <v>19</v>
      </c>
      <c r="E779" t="s">
        <v>26</v>
      </c>
      <c r="F779" t="s">
        <v>15</v>
      </c>
      <c r="G779" t="s">
        <v>23</v>
      </c>
      <c r="H779">
        <f t="shared" si="12"/>
        <v>778</v>
      </c>
      <c r="I779" t="s">
        <v>21</v>
      </c>
      <c r="J779" s="3">
        <v>17450</v>
      </c>
      <c r="K779" t="b">
        <v>1</v>
      </c>
      <c r="L779" t="b">
        <v>0</v>
      </c>
      <c r="M779" t="b">
        <v>1</v>
      </c>
    </row>
    <row r="780" spans="1:13" x14ac:dyDescent="0.3">
      <c r="A780">
        <v>34</v>
      </c>
      <c r="B780" t="s">
        <v>18</v>
      </c>
      <c r="C780" s="1">
        <v>5</v>
      </c>
      <c r="D780" t="s">
        <v>13</v>
      </c>
      <c r="E780" t="s">
        <v>14</v>
      </c>
      <c r="F780" t="s">
        <v>15</v>
      </c>
      <c r="G780" t="s">
        <v>29</v>
      </c>
      <c r="H780">
        <f t="shared" si="12"/>
        <v>779</v>
      </c>
      <c r="I780" t="s">
        <v>21</v>
      </c>
      <c r="J780" s="3">
        <v>18420</v>
      </c>
      <c r="K780" t="b">
        <v>1</v>
      </c>
      <c r="L780" t="b">
        <v>0</v>
      </c>
      <c r="M780" t="b">
        <v>1</v>
      </c>
    </row>
    <row r="781" spans="1:13" x14ac:dyDescent="0.3">
      <c r="A781">
        <v>64</v>
      </c>
      <c r="B781" t="s">
        <v>12</v>
      </c>
      <c r="C781" s="1">
        <v>9</v>
      </c>
      <c r="D781" t="s">
        <v>19</v>
      </c>
      <c r="E781" t="s">
        <v>20</v>
      </c>
      <c r="F781" t="s">
        <v>27</v>
      </c>
      <c r="G781" t="s">
        <v>29</v>
      </c>
      <c r="H781">
        <f t="shared" si="12"/>
        <v>780</v>
      </c>
      <c r="I781" t="s">
        <v>21</v>
      </c>
      <c r="J781" s="3">
        <v>13959</v>
      </c>
      <c r="K781" t="b">
        <v>1</v>
      </c>
      <c r="L781" t="b">
        <v>0</v>
      </c>
      <c r="M781" t="b">
        <v>0</v>
      </c>
    </row>
    <row r="782" spans="1:13" x14ac:dyDescent="0.3">
      <c r="A782">
        <v>40</v>
      </c>
      <c r="B782" t="s">
        <v>12</v>
      </c>
      <c r="C782" s="1">
        <v>9</v>
      </c>
      <c r="D782" t="s">
        <v>13</v>
      </c>
      <c r="E782" t="s">
        <v>14</v>
      </c>
      <c r="F782" t="s">
        <v>27</v>
      </c>
      <c r="G782" t="s">
        <v>29</v>
      </c>
      <c r="H782">
        <f t="shared" si="12"/>
        <v>781</v>
      </c>
      <c r="I782" t="s">
        <v>24</v>
      </c>
      <c r="J782" s="3">
        <v>11313</v>
      </c>
      <c r="K782" t="b">
        <v>0</v>
      </c>
      <c r="L782" t="b">
        <v>1</v>
      </c>
      <c r="M782" t="b">
        <v>0</v>
      </c>
    </row>
    <row r="783" spans="1:13" x14ac:dyDescent="0.3">
      <c r="A783">
        <v>32</v>
      </c>
      <c r="B783" t="s">
        <v>25</v>
      </c>
      <c r="C783" s="1">
        <v>1</v>
      </c>
      <c r="D783" t="s">
        <v>19</v>
      </c>
      <c r="E783" t="s">
        <v>20</v>
      </c>
      <c r="F783" t="s">
        <v>15</v>
      </c>
      <c r="G783" t="s">
        <v>16</v>
      </c>
      <c r="H783">
        <f t="shared" si="12"/>
        <v>782</v>
      </c>
      <c r="I783" t="s">
        <v>17</v>
      </c>
      <c r="J783" s="3">
        <v>17847</v>
      </c>
      <c r="K783" t="b">
        <v>1</v>
      </c>
      <c r="L783" t="b">
        <v>0</v>
      </c>
      <c r="M783" t="b">
        <v>1</v>
      </c>
    </row>
    <row r="784" spans="1:13" x14ac:dyDescent="0.3">
      <c r="A784">
        <v>54</v>
      </c>
      <c r="B784" t="s">
        <v>12</v>
      </c>
      <c r="C784" s="1">
        <v>2</v>
      </c>
      <c r="D784" t="s">
        <v>28</v>
      </c>
      <c r="E784" t="s">
        <v>26</v>
      </c>
      <c r="F784" t="s">
        <v>15</v>
      </c>
      <c r="G784" t="s">
        <v>23</v>
      </c>
      <c r="H784">
        <f t="shared" si="12"/>
        <v>783</v>
      </c>
      <c r="I784" t="s">
        <v>24</v>
      </c>
      <c r="J784" s="3">
        <v>11070</v>
      </c>
      <c r="K784" t="b">
        <v>0</v>
      </c>
      <c r="L784" t="b">
        <v>1</v>
      </c>
      <c r="M784" t="b">
        <v>0</v>
      </c>
    </row>
    <row r="785" spans="1:13" x14ac:dyDescent="0.3">
      <c r="A785">
        <v>38</v>
      </c>
      <c r="B785" t="s">
        <v>12</v>
      </c>
      <c r="C785" s="1">
        <v>5</v>
      </c>
      <c r="D785" t="s">
        <v>13</v>
      </c>
      <c r="E785" t="s">
        <v>26</v>
      </c>
      <c r="F785" t="s">
        <v>27</v>
      </c>
      <c r="G785" t="s">
        <v>16</v>
      </c>
      <c r="H785">
        <f t="shared" si="12"/>
        <v>784</v>
      </c>
      <c r="I785" t="s">
        <v>24</v>
      </c>
      <c r="J785" s="3">
        <v>19166</v>
      </c>
      <c r="K785" t="b">
        <v>1</v>
      </c>
      <c r="L785" t="b">
        <v>0</v>
      </c>
      <c r="M785" t="b">
        <v>1</v>
      </c>
    </row>
    <row r="786" spans="1:13" x14ac:dyDescent="0.3">
      <c r="A786">
        <v>31</v>
      </c>
      <c r="B786" t="s">
        <v>25</v>
      </c>
      <c r="C786" s="1">
        <v>4</v>
      </c>
      <c r="D786" t="s">
        <v>28</v>
      </c>
      <c r="E786" t="s">
        <v>14</v>
      </c>
      <c r="F786" t="s">
        <v>27</v>
      </c>
      <c r="G786" t="s">
        <v>29</v>
      </c>
      <c r="H786">
        <f t="shared" si="12"/>
        <v>785</v>
      </c>
      <c r="I786" t="s">
        <v>21</v>
      </c>
      <c r="J786" s="3">
        <v>19930</v>
      </c>
      <c r="K786" t="b">
        <v>1</v>
      </c>
      <c r="L786" t="b">
        <v>1</v>
      </c>
      <c r="M786" t="b">
        <v>0</v>
      </c>
    </row>
    <row r="787" spans="1:13" x14ac:dyDescent="0.3">
      <c r="A787">
        <v>19</v>
      </c>
      <c r="B787" t="s">
        <v>25</v>
      </c>
      <c r="C787" s="1">
        <v>9</v>
      </c>
      <c r="D787" t="s">
        <v>28</v>
      </c>
      <c r="E787" t="s">
        <v>26</v>
      </c>
      <c r="F787" t="s">
        <v>27</v>
      </c>
      <c r="G787" t="s">
        <v>23</v>
      </c>
      <c r="H787">
        <f t="shared" si="12"/>
        <v>786</v>
      </c>
      <c r="I787" t="s">
        <v>17</v>
      </c>
      <c r="J787" s="3">
        <v>13285</v>
      </c>
      <c r="K787" t="b">
        <v>1</v>
      </c>
      <c r="L787" t="b">
        <v>0</v>
      </c>
      <c r="M787" t="b">
        <v>0</v>
      </c>
    </row>
    <row r="788" spans="1:13" x14ac:dyDescent="0.3">
      <c r="A788">
        <v>28</v>
      </c>
      <c r="B788" t="s">
        <v>25</v>
      </c>
      <c r="C788" s="1">
        <v>7</v>
      </c>
      <c r="D788" t="s">
        <v>13</v>
      </c>
      <c r="E788" t="s">
        <v>26</v>
      </c>
      <c r="F788" t="s">
        <v>15</v>
      </c>
      <c r="G788" t="s">
        <v>23</v>
      </c>
      <c r="H788">
        <f t="shared" si="12"/>
        <v>787</v>
      </c>
      <c r="I788" t="s">
        <v>24</v>
      </c>
      <c r="J788" s="3">
        <v>18949</v>
      </c>
      <c r="K788" t="b">
        <v>0</v>
      </c>
      <c r="L788" t="b">
        <v>0</v>
      </c>
      <c r="M788" t="b">
        <v>1</v>
      </c>
    </row>
    <row r="789" spans="1:13" x14ac:dyDescent="0.3">
      <c r="A789">
        <v>56</v>
      </c>
      <c r="B789" t="s">
        <v>12</v>
      </c>
      <c r="C789" s="1">
        <v>6</v>
      </c>
      <c r="D789" t="s">
        <v>13</v>
      </c>
      <c r="E789" t="s">
        <v>14</v>
      </c>
      <c r="F789" t="s">
        <v>15</v>
      </c>
      <c r="G789" t="s">
        <v>23</v>
      </c>
      <c r="H789">
        <f t="shared" si="12"/>
        <v>788</v>
      </c>
      <c r="I789" t="s">
        <v>21</v>
      </c>
      <c r="J789" s="3">
        <v>13095</v>
      </c>
      <c r="K789" t="b">
        <v>1</v>
      </c>
      <c r="L789" t="b">
        <v>1</v>
      </c>
      <c r="M789" t="b">
        <v>1</v>
      </c>
    </row>
    <row r="790" spans="1:13" x14ac:dyDescent="0.3">
      <c r="A790">
        <v>55</v>
      </c>
      <c r="B790" t="s">
        <v>12</v>
      </c>
      <c r="C790" s="1">
        <v>7</v>
      </c>
      <c r="D790" t="s">
        <v>28</v>
      </c>
      <c r="E790" t="s">
        <v>20</v>
      </c>
      <c r="F790" t="s">
        <v>22</v>
      </c>
      <c r="G790" t="s">
        <v>29</v>
      </c>
      <c r="H790">
        <f t="shared" si="12"/>
        <v>789</v>
      </c>
      <c r="I790" t="s">
        <v>24</v>
      </c>
      <c r="J790" s="3">
        <v>10320</v>
      </c>
      <c r="K790" t="b">
        <v>0</v>
      </c>
      <c r="L790" t="b">
        <v>0</v>
      </c>
      <c r="M790" t="b">
        <v>0</v>
      </c>
    </row>
    <row r="791" spans="1:13" x14ac:dyDescent="0.3">
      <c r="A791">
        <v>51</v>
      </c>
      <c r="B791" t="s">
        <v>25</v>
      </c>
      <c r="C791" s="1">
        <v>1</v>
      </c>
      <c r="D791" t="s">
        <v>28</v>
      </c>
      <c r="E791" t="s">
        <v>26</v>
      </c>
      <c r="F791" t="s">
        <v>27</v>
      </c>
      <c r="G791" t="s">
        <v>23</v>
      </c>
      <c r="H791">
        <f t="shared" si="12"/>
        <v>790</v>
      </c>
      <c r="I791" t="s">
        <v>24</v>
      </c>
      <c r="J791" s="3">
        <v>12321</v>
      </c>
      <c r="K791" t="b">
        <v>1</v>
      </c>
      <c r="L791" t="b">
        <v>0</v>
      </c>
      <c r="M791" t="b">
        <v>0</v>
      </c>
    </row>
    <row r="792" spans="1:13" x14ac:dyDescent="0.3">
      <c r="A792">
        <v>55</v>
      </c>
      <c r="B792" t="s">
        <v>18</v>
      </c>
      <c r="C792" s="1">
        <v>1</v>
      </c>
      <c r="D792" t="s">
        <v>28</v>
      </c>
      <c r="E792" t="s">
        <v>14</v>
      </c>
      <c r="F792" t="s">
        <v>15</v>
      </c>
      <c r="G792" t="s">
        <v>23</v>
      </c>
      <c r="H792">
        <f t="shared" si="12"/>
        <v>791</v>
      </c>
      <c r="I792" t="s">
        <v>21</v>
      </c>
      <c r="J792" s="3">
        <v>10555</v>
      </c>
      <c r="K792" t="b">
        <v>1</v>
      </c>
      <c r="L792" t="b">
        <v>1</v>
      </c>
      <c r="M792" t="b">
        <v>0</v>
      </c>
    </row>
    <row r="793" spans="1:13" x14ac:dyDescent="0.3">
      <c r="A793">
        <v>51</v>
      </c>
      <c r="B793" t="s">
        <v>25</v>
      </c>
      <c r="C793" s="1">
        <v>8</v>
      </c>
      <c r="D793" t="s">
        <v>28</v>
      </c>
      <c r="E793" t="s">
        <v>26</v>
      </c>
      <c r="F793" t="s">
        <v>27</v>
      </c>
      <c r="G793" t="s">
        <v>16</v>
      </c>
      <c r="H793">
        <f t="shared" si="12"/>
        <v>792</v>
      </c>
      <c r="I793" t="s">
        <v>21</v>
      </c>
      <c r="J793" s="3">
        <v>14939</v>
      </c>
      <c r="K793" t="b">
        <v>0</v>
      </c>
      <c r="L793" t="b">
        <v>1</v>
      </c>
      <c r="M793" t="b">
        <v>0</v>
      </c>
    </row>
    <row r="794" spans="1:13" x14ac:dyDescent="0.3">
      <c r="A794">
        <v>35</v>
      </c>
      <c r="B794" t="s">
        <v>18</v>
      </c>
      <c r="C794" s="1">
        <v>2</v>
      </c>
      <c r="D794" t="s">
        <v>13</v>
      </c>
      <c r="E794" t="s">
        <v>26</v>
      </c>
      <c r="F794" t="s">
        <v>15</v>
      </c>
      <c r="G794" t="s">
        <v>16</v>
      </c>
      <c r="H794">
        <f t="shared" si="12"/>
        <v>793</v>
      </c>
      <c r="I794" t="s">
        <v>17</v>
      </c>
      <c r="J794" s="3">
        <v>15432</v>
      </c>
      <c r="K794" t="b">
        <v>1</v>
      </c>
      <c r="L794" t="b">
        <v>1</v>
      </c>
      <c r="M794" t="b">
        <v>0</v>
      </c>
    </row>
    <row r="795" spans="1:13" x14ac:dyDescent="0.3">
      <c r="A795">
        <v>47</v>
      </c>
      <c r="B795" t="s">
        <v>18</v>
      </c>
      <c r="C795" s="1">
        <v>9</v>
      </c>
      <c r="D795" t="s">
        <v>13</v>
      </c>
      <c r="E795" t="s">
        <v>26</v>
      </c>
      <c r="F795" t="s">
        <v>27</v>
      </c>
      <c r="G795" t="s">
        <v>23</v>
      </c>
      <c r="H795">
        <f t="shared" si="12"/>
        <v>794</v>
      </c>
      <c r="I795" t="s">
        <v>24</v>
      </c>
      <c r="J795" s="3">
        <v>11386</v>
      </c>
      <c r="K795" t="b">
        <v>1</v>
      </c>
      <c r="L795" t="b">
        <v>1</v>
      </c>
      <c r="M795" t="b">
        <v>1</v>
      </c>
    </row>
    <row r="796" spans="1:13" x14ac:dyDescent="0.3">
      <c r="A796">
        <v>32</v>
      </c>
      <c r="B796" t="s">
        <v>25</v>
      </c>
      <c r="C796" s="1">
        <v>7</v>
      </c>
      <c r="D796" t="s">
        <v>28</v>
      </c>
      <c r="E796" t="s">
        <v>26</v>
      </c>
      <c r="F796" t="s">
        <v>15</v>
      </c>
      <c r="G796" t="s">
        <v>23</v>
      </c>
      <c r="H796">
        <f t="shared" si="12"/>
        <v>795</v>
      </c>
      <c r="I796" t="s">
        <v>21</v>
      </c>
      <c r="J796" s="3">
        <v>14763</v>
      </c>
      <c r="K796" t="b">
        <v>1</v>
      </c>
      <c r="L796" t="b">
        <v>1</v>
      </c>
      <c r="M796" t="b">
        <v>0</v>
      </c>
    </row>
    <row r="797" spans="1:13" x14ac:dyDescent="0.3">
      <c r="A797">
        <v>44</v>
      </c>
      <c r="B797" t="s">
        <v>25</v>
      </c>
      <c r="C797" s="1">
        <v>6</v>
      </c>
      <c r="D797" t="s">
        <v>19</v>
      </c>
      <c r="E797" t="s">
        <v>14</v>
      </c>
      <c r="F797" t="s">
        <v>22</v>
      </c>
      <c r="G797" t="s">
        <v>16</v>
      </c>
      <c r="H797">
        <f t="shared" si="12"/>
        <v>796</v>
      </c>
      <c r="I797" t="s">
        <v>21</v>
      </c>
      <c r="J797" s="3">
        <v>16854</v>
      </c>
      <c r="K797" t="b">
        <v>1</v>
      </c>
      <c r="L797" t="b">
        <v>0</v>
      </c>
      <c r="M797" t="b">
        <v>0</v>
      </c>
    </row>
    <row r="798" spans="1:13" x14ac:dyDescent="0.3">
      <c r="A798">
        <v>51</v>
      </c>
      <c r="B798" t="s">
        <v>25</v>
      </c>
      <c r="C798" s="1">
        <v>1</v>
      </c>
      <c r="D798" t="s">
        <v>19</v>
      </c>
      <c r="E798" t="s">
        <v>14</v>
      </c>
      <c r="F798" t="s">
        <v>22</v>
      </c>
      <c r="G798" t="s">
        <v>16</v>
      </c>
      <c r="H798">
        <f t="shared" si="12"/>
        <v>797</v>
      </c>
      <c r="I798" t="s">
        <v>17</v>
      </c>
      <c r="J798" s="3">
        <v>17637</v>
      </c>
      <c r="K798" t="b">
        <v>0</v>
      </c>
      <c r="L798" t="b">
        <v>1</v>
      </c>
      <c r="M798" t="b">
        <v>1</v>
      </c>
    </row>
    <row r="799" spans="1:13" x14ac:dyDescent="0.3">
      <c r="A799">
        <v>55</v>
      </c>
      <c r="B799" t="s">
        <v>12</v>
      </c>
      <c r="C799" s="1">
        <v>1</v>
      </c>
      <c r="D799" t="s">
        <v>13</v>
      </c>
      <c r="E799" t="s">
        <v>14</v>
      </c>
      <c r="F799" t="s">
        <v>27</v>
      </c>
      <c r="G799" t="s">
        <v>16</v>
      </c>
      <c r="H799">
        <f t="shared" si="12"/>
        <v>798</v>
      </c>
      <c r="I799" t="s">
        <v>17</v>
      </c>
      <c r="J799" s="3">
        <v>14841</v>
      </c>
      <c r="K799" t="b">
        <v>0</v>
      </c>
      <c r="L799" t="b">
        <v>0</v>
      </c>
      <c r="M799" t="b">
        <v>1</v>
      </c>
    </row>
    <row r="800" spans="1:13" x14ac:dyDescent="0.3">
      <c r="A800">
        <v>50</v>
      </c>
      <c r="B800" t="s">
        <v>18</v>
      </c>
      <c r="C800" s="1">
        <v>2</v>
      </c>
      <c r="D800" t="s">
        <v>28</v>
      </c>
      <c r="E800" t="s">
        <v>26</v>
      </c>
      <c r="F800" t="s">
        <v>15</v>
      </c>
      <c r="G800" t="s">
        <v>29</v>
      </c>
      <c r="H800">
        <f t="shared" si="12"/>
        <v>799</v>
      </c>
      <c r="I800" t="s">
        <v>21</v>
      </c>
      <c r="J800" s="3">
        <v>13867</v>
      </c>
      <c r="K800" t="b">
        <v>1</v>
      </c>
      <c r="L800" t="b">
        <v>0</v>
      </c>
      <c r="M800" t="b">
        <v>1</v>
      </c>
    </row>
    <row r="801" spans="1:13" x14ac:dyDescent="0.3">
      <c r="A801">
        <v>41</v>
      </c>
      <c r="B801" t="s">
        <v>12</v>
      </c>
      <c r="C801" s="1">
        <v>6</v>
      </c>
      <c r="D801" t="s">
        <v>28</v>
      </c>
      <c r="E801" t="s">
        <v>26</v>
      </c>
      <c r="F801" t="s">
        <v>15</v>
      </c>
      <c r="G801" t="s">
        <v>29</v>
      </c>
      <c r="H801">
        <f t="shared" si="12"/>
        <v>800</v>
      </c>
      <c r="I801" t="s">
        <v>17</v>
      </c>
      <c r="J801" s="3">
        <v>13793</v>
      </c>
      <c r="K801" t="b">
        <v>1</v>
      </c>
      <c r="L801" t="b">
        <v>1</v>
      </c>
      <c r="M801" t="b">
        <v>0</v>
      </c>
    </row>
    <row r="802" spans="1:13" x14ac:dyDescent="0.3">
      <c r="A802">
        <v>32</v>
      </c>
      <c r="B802" t="s">
        <v>12</v>
      </c>
      <c r="C802" s="1">
        <v>6</v>
      </c>
      <c r="D802" t="s">
        <v>13</v>
      </c>
      <c r="E802" t="s">
        <v>26</v>
      </c>
      <c r="F802" t="s">
        <v>27</v>
      </c>
      <c r="G802" t="s">
        <v>16</v>
      </c>
      <c r="H802">
        <f t="shared" si="12"/>
        <v>801</v>
      </c>
      <c r="I802" t="s">
        <v>21</v>
      </c>
      <c r="J802" s="3">
        <v>17373</v>
      </c>
      <c r="K802" t="b">
        <v>0</v>
      </c>
      <c r="L802" t="b">
        <v>0</v>
      </c>
      <c r="M802" t="b">
        <v>1</v>
      </c>
    </row>
    <row r="803" spans="1:13" x14ac:dyDescent="0.3">
      <c r="A803">
        <v>47</v>
      </c>
      <c r="B803" t="s">
        <v>25</v>
      </c>
      <c r="C803" s="1">
        <v>2</v>
      </c>
      <c r="D803" t="s">
        <v>19</v>
      </c>
      <c r="E803" t="s">
        <v>14</v>
      </c>
      <c r="F803" t="s">
        <v>15</v>
      </c>
      <c r="G803" t="s">
        <v>23</v>
      </c>
      <c r="H803">
        <f t="shared" si="12"/>
        <v>802</v>
      </c>
      <c r="I803" t="s">
        <v>24</v>
      </c>
      <c r="J803" s="3">
        <v>12513</v>
      </c>
      <c r="K803" t="b">
        <v>1</v>
      </c>
      <c r="L803" t="b">
        <v>0</v>
      </c>
      <c r="M803" t="b">
        <v>1</v>
      </c>
    </row>
    <row r="804" spans="1:13" x14ac:dyDescent="0.3">
      <c r="A804">
        <v>59</v>
      </c>
      <c r="B804" t="s">
        <v>12</v>
      </c>
      <c r="C804" s="1">
        <v>1</v>
      </c>
      <c r="D804" t="s">
        <v>19</v>
      </c>
      <c r="E804" t="s">
        <v>26</v>
      </c>
      <c r="F804" t="s">
        <v>27</v>
      </c>
      <c r="G804" t="s">
        <v>16</v>
      </c>
      <c r="H804">
        <f t="shared" si="12"/>
        <v>803</v>
      </c>
      <c r="I804" t="s">
        <v>17</v>
      </c>
      <c r="J804" s="3">
        <v>13803</v>
      </c>
      <c r="K804" t="b">
        <v>0</v>
      </c>
      <c r="L804" t="b">
        <v>1</v>
      </c>
      <c r="M804" t="b">
        <v>1</v>
      </c>
    </row>
    <row r="805" spans="1:13" x14ac:dyDescent="0.3">
      <c r="A805">
        <v>34</v>
      </c>
      <c r="B805" t="s">
        <v>25</v>
      </c>
      <c r="C805" s="1">
        <v>5</v>
      </c>
      <c r="D805" t="s">
        <v>19</v>
      </c>
      <c r="E805" t="s">
        <v>20</v>
      </c>
      <c r="F805" t="s">
        <v>15</v>
      </c>
      <c r="G805" t="s">
        <v>29</v>
      </c>
      <c r="H805">
        <f t="shared" si="12"/>
        <v>804</v>
      </c>
      <c r="I805" t="s">
        <v>24</v>
      </c>
      <c r="J805" s="3">
        <v>12327</v>
      </c>
      <c r="K805" t="b">
        <v>1</v>
      </c>
      <c r="L805" t="b">
        <v>0</v>
      </c>
      <c r="M805" t="b">
        <v>1</v>
      </c>
    </row>
    <row r="806" spans="1:13" x14ac:dyDescent="0.3">
      <c r="A806">
        <v>22</v>
      </c>
      <c r="B806" t="s">
        <v>18</v>
      </c>
      <c r="C806" s="1">
        <v>5</v>
      </c>
      <c r="D806" t="s">
        <v>13</v>
      </c>
      <c r="E806" t="s">
        <v>26</v>
      </c>
      <c r="F806" t="s">
        <v>27</v>
      </c>
      <c r="G806" t="s">
        <v>23</v>
      </c>
      <c r="H806">
        <f t="shared" si="12"/>
        <v>805</v>
      </c>
      <c r="I806" t="s">
        <v>24</v>
      </c>
      <c r="J806" s="3">
        <v>18809</v>
      </c>
      <c r="K806" t="b">
        <v>0</v>
      </c>
      <c r="L806" t="b">
        <v>1</v>
      </c>
      <c r="M806" t="b">
        <v>0</v>
      </c>
    </row>
    <row r="807" spans="1:13" x14ac:dyDescent="0.3">
      <c r="A807">
        <v>46</v>
      </c>
      <c r="B807" t="s">
        <v>25</v>
      </c>
      <c r="C807" s="1">
        <v>2</v>
      </c>
      <c r="D807" t="s">
        <v>19</v>
      </c>
      <c r="E807" t="s">
        <v>20</v>
      </c>
      <c r="F807" t="s">
        <v>15</v>
      </c>
      <c r="G807" t="s">
        <v>29</v>
      </c>
      <c r="H807">
        <f t="shared" si="12"/>
        <v>806</v>
      </c>
      <c r="I807" t="s">
        <v>24</v>
      </c>
      <c r="J807" s="3">
        <v>12165</v>
      </c>
      <c r="K807" t="b">
        <v>0</v>
      </c>
      <c r="L807" t="b">
        <v>1</v>
      </c>
      <c r="M807" t="b">
        <v>0</v>
      </c>
    </row>
    <row r="808" spans="1:13" x14ac:dyDescent="0.3">
      <c r="A808">
        <v>21</v>
      </c>
      <c r="B808" t="s">
        <v>12</v>
      </c>
      <c r="C808" s="1">
        <v>6</v>
      </c>
      <c r="D808" t="s">
        <v>13</v>
      </c>
      <c r="E808" t="s">
        <v>26</v>
      </c>
      <c r="F808" t="s">
        <v>27</v>
      </c>
      <c r="G808" t="s">
        <v>23</v>
      </c>
      <c r="H808">
        <f t="shared" si="12"/>
        <v>807</v>
      </c>
      <c r="I808" t="s">
        <v>21</v>
      </c>
      <c r="J808" s="3">
        <v>13308</v>
      </c>
      <c r="K808" t="b">
        <v>0</v>
      </c>
      <c r="L808" t="b">
        <v>1</v>
      </c>
      <c r="M808" t="b">
        <v>0</v>
      </c>
    </row>
    <row r="809" spans="1:13" x14ac:dyDescent="0.3">
      <c r="A809">
        <v>27</v>
      </c>
      <c r="B809" t="s">
        <v>12</v>
      </c>
      <c r="C809" s="1">
        <v>9</v>
      </c>
      <c r="D809" t="s">
        <v>13</v>
      </c>
      <c r="E809" t="s">
        <v>14</v>
      </c>
      <c r="F809" t="s">
        <v>15</v>
      </c>
      <c r="G809" t="s">
        <v>29</v>
      </c>
      <c r="H809">
        <f t="shared" si="12"/>
        <v>808</v>
      </c>
      <c r="I809" t="s">
        <v>24</v>
      </c>
      <c r="J809" s="3">
        <v>16452</v>
      </c>
      <c r="K809" t="b">
        <v>0</v>
      </c>
      <c r="L809" t="b">
        <v>0</v>
      </c>
      <c r="M809" t="b">
        <v>1</v>
      </c>
    </row>
    <row r="810" spans="1:13" x14ac:dyDescent="0.3">
      <c r="A810">
        <v>34</v>
      </c>
      <c r="B810" t="s">
        <v>25</v>
      </c>
      <c r="C810" s="1">
        <v>2</v>
      </c>
      <c r="D810" t="s">
        <v>28</v>
      </c>
      <c r="E810" t="s">
        <v>26</v>
      </c>
      <c r="F810" t="s">
        <v>22</v>
      </c>
      <c r="G810" t="s">
        <v>23</v>
      </c>
      <c r="H810">
        <f t="shared" si="12"/>
        <v>809</v>
      </c>
      <c r="I810" t="s">
        <v>24</v>
      </c>
      <c r="J810" s="3">
        <v>18067</v>
      </c>
      <c r="K810" t="b">
        <v>1</v>
      </c>
      <c r="L810" t="b">
        <v>0</v>
      </c>
      <c r="M810" t="b">
        <v>1</v>
      </c>
    </row>
    <row r="811" spans="1:13" x14ac:dyDescent="0.3">
      <c r="A811">
        <v>27</v>
      </c>
      <c r="B811" t="s">
        <v>25</v>
      </c>
      <c r="C811" s="1">
        <v>2</v>
      </c>
      <c r="D811" t="s">
        <v>19</v>
      </c>
      <c r="E811" t="s">
        <v>20</v>
      </c>
      <c r="F811" t="s">
        <v>15</v>
      </c>
      <c r="G811" t="s">
        <v>23</v>
      </c>
      <c r="H811">
        <f t="shared" si="12"/>
        <v>810</v>
      </c>
      <c r="I811" t="s">
        <v>24</v>
      </c>
      <c r="J811" s="3">
        <v>17642</v>
      </c>
      <c r="K811" t="b">
        <v>1</v>
      </c>
      <c r="L811" t="b">
        <v>0</v>
      </c>
      <c r="M811" t="b">
        <v>1</v>
      </c>
    </row>
    <row r="812" spans="1:13" x14ac:dyDescent="0.3">
      <c r="A812">
        <v>34</v>
      </c>
      <c r="B812" t="s">
        <v>12</v>
      </c>
      <c r="C812" s="1">
        <v>3</v>
      </c>
      <c r="D812" t="s">
        <v>13</v>
      </c>
      <c r="E812" t="s">
        <v>20</v>
      </c>
      <c r="F812" t="s">
        <v>27</v>
      </c>
      <c r="G812" t="s">
        <v>23</v>
      </c>
      <c r="H812">
        <f t="shared" si="12"/>
        <v>811</v>
      </c>
      <c r="I812" t="s">
        <v>21</v>
      </c>
      <c r="J812" s="3">
        <v>16404</v>
      </c>
      <c r="K812" t="b">
        <v>0</v>
      </c>
      <c r="L812" t="b">
        <v>0</v>
      </c>
      <c r="M812" t="b">
        <v>1</v>
      </c>
    </row>
    <row r="813" spans="1:13" x14ac:dyDescent="0.3">
      <c r="A813">
        <v>37</v>
      </c>
      <c r="B813" t="s">
        <v>18</v>
      </c>
      <c r="C813" s="1">
        <v>7</v>
      </c>
      <c r="D813" t="s">
        <v>19</v>
      </c>
      <c r="E813" t="s">
        <v>26</v>
      </c>
      <c r="F813" t="s">
        <v>22</v>
      </c>
      <c r="G813" t="s">
        <v>23</v>
      </c>
      <c r="H813">
        <f t="shared" si="12"/>
        <v>812</v>
      </c>
      <c r="I813" t="s">
        <v>24</v>
      </c>
      <c r="J813" s="3">
        <v>10992</v>
      </c>
      <c r="K813" t="b">
        <v>0</v>
      </c>
      <c r="L813" t="b">
        <v>1</v>
      </c>
      <c r="M813" t="b">
        <v>1</v>
      </c>
    </row>
    <row r="814" spans="1:13" x14ac:dyDescent="0.3">
      <c r="A814">
        <v>41</v>
      </c>
      <c r="B814" t="s">
        <v>18</v>
      </c>
      <c r="C814" s="1">
        <v>6</v>
      </c>
      <c r="D814" t="s">
        <v>19</v>
      </c>
      <c r="E814" t="s">
        <v>20</v>
      </c>
      <c r="F814" t="s">
        <v>15</v>
      </c>
      <c r="G814" t="s">
        <v>29</v>
      </c>
      <c r="H814">
        <f t="shared" si="12"/>
        <v>813</v>
      </c>
      <c r="I814" t="s">
        <v>24</v>
      </c>
      <c r="J814" s="3">
        <v>15424</v>
      </c>
      <c r="K814" t="b">
        <v>0</v>
      </c>
      <c r="L814" t="b">
        <v>0</v>
      </c>
      <c r="M814" t="b">
        <v>1</v>
      </c>
    </row>
    <row r="815" spans="1:13" x14ac:dyDescent="0.3">
      <c r="A815">
        <v>22</v>
      </c>
      <c r="B815" t="s">
        <v>25</v>
      </c>
      <c r="C815" s="1">
        <v>8</v>
      </c>
      <c r="D815" t="s">
        <v>28</v>
      </c>
      <c r="E815" t="s">
        <v>20</v>
      </c>
      <c r="F815" t="s">
        <v>22</v>
      </c>
      <c r="G815" t="s">
        <v>29</v>
      </c>
      <c r="H815">
        <f t="shared" si="12"/>
        <v>814</v>
      </c>
      <c r="I815" t="s">
        <v>17</v>
      </c>
      <c r="J815" s="3">
        <v>19569</v>
      </c>
      <c r="K815" t="b">
        <v>0</v>
      </c>
      <c r="L815" t="b">
        <v>1</v>
      </c>
      <c r="M815" t="b">
        <v>0</v>
      </c>
    </row>
    <row r="816" spans="1:13" x14ac:dyDescent="0.3">
      <c r="A816">
        <v>51</v>
      </c>
      <c r="B816" t="s">
        <v>18</v>
      </c>
      <c r="C816" s="1">
        <v>8</v>
      </c>
      <c r="D816" t="s">
        <v>19</v>
      </c>
      <c r="E816" t="s">
        <v>14</v>
      </c>
      <c r="F816" t="s">
        <v>15</v>
      </c>
      <c r="G816" t="s">
        <v>23</v>
      </c>
      <c r="H816">
        <f t="shared" si="12"/>
        <v>815</v>
      </c>
      <c r="I816" t="s">
        <v>21</v>
      </c>
      <c r="J816" s="3">
        <v>14381</v>
      </c>
      <c r="K816" t="b">
        <v>1</v>
      </c>
      <c r="L816" t="b">
        <v>0</v>
      </c>
      <c r="M816" t="b">
        <v>0</v>
      </c>
    </row>
    <row r="817" spans="1:13" x14ac:dyDescent="0.3">
      <c r="A817">
        <v>23</v>
      </c>
      <c r="B817" t="s">
        <v>12</v>
      </c>
      <c r="C817" s="1">
        <v>6</v>
      </c>
      <c r="D817" t="s">
        <v>28</v>
      </c>
      <c r="E817" t="s">
        <v>26</v>
      </c>
      <c r="F817" t="s">
        <v>22</v>
      </c>
      <c r="G817" t="s">
        <v>23</v>
      </c>
      <c r="H817">
        <f t="shared" si="12"/>
        <v>816</v>
      </c>
      <c r="I817" t="s">
        <v>24</v>
      </c>
      <c r="J817" s="3">
        <v>13174</v>
      </c>
      <c r="K817" t="b">
        <v>0</v>
      </c>
      <c r="L817" t="b">
        <v>0</v>
      </c>
      <c r="M817" t="b">
        <v>1</v>
      </c>
    </row>
    <row r="818" spans="1:13" x14ac:dyDescent="0.3">
      <c r="A818">
        <v>19</v>
      </c>
      <c r="B818" t="s">
        <v>25</v>
      </c>
      <c r="C818" s="1">
        <v>3</v>
      </c>
      <c r="D818" t="s">
        <v>13</v>
      </c>
      <c r="E818" t="s">
        <v>26</v>
      </c>
      <c r="F818" t="s">
        <v>27</v>
      </c>
      <c r="G818" t="s">
        <v>29</v>
      </c>
      <c r="H818">
        <f t="shared" si="12"/>
        <v>817</v>
      </c>
      <c r="I818" t="s">
        <v>17</v>
      </c>
      <c r="J818" s="3">
        <v>14782</v>
      </c>
      <c r="K818" t="b">
        <v>0</v>
      </c>
      <c r="L818" t="b">
        <v>0</v>
      </c>
      <c r="M818" t="b">
        <v>0</v>
      </c>
    </row>
    <row r="819" spans="1:13" x14ac:dyDescent="0.3">
      <c r="A819">
        <v>30</v>
      </c>
      <c r="B819" t="s">
        <v>12</v>
      </c>
      <c r="C819" s="1">
        <v>3</v>
      </c>
      <c r="D819" t="s">
        <v>19</v>
      </c>
      <c r="E819" t="s">
        <v>26</v>
      </c>
      <c r="F819" t="s">
        <v>15</v>
      </c>
      <c r="G819" t="s">
        <v>23</v>
      </c>
      <c r="H819">
        <f t="shared" si="12"/>
        <v>818</v>
      </c>
      <c r="I819" t="s">
        <v>21</v>
      </c>
      <c r="J819" s="3">
        <v>19497</v>
      </c>
      <c r="K819" t="b">
        <v>0</v>
      </c>
      <c r="L819" t="b">
        <v>0</v>
      </c>
      <c r="M819" t="b">
        <v>1</v>
      </c>
    </row>
    <row r="820" spans="1:13" x14ac:dyDescent="0.3">
      <c r="A820">
        <v>60</v>
      </c>
      <c r="B820" t="s">
        <v>12</v>
      </c>
      <c r="C820" s="1">
        <v>1</v>
      </c>
      <c r="D820" t="s">
        <v>13</v>
      </c>
      <c r="E820" t="s">
        <v>20</v>
      </c>
      <c r="F820" t="s">
        <v>15</v>
      </c>
      <c r="G820" t="s">
        <v>23</v>
      </c>
      <c r="H820">
        <f t="shared" si="12"/>
        <v>819</v>
      </c>
      <c r="I820" t="s">
        <v>21</v>
      </c>
      <c r="J820" s="3">
        <v>15560</v>
      </c>
      <c r="K820" t="b">
        <v>0</v>
      </c>
      <c r="L820" t="b">
        <v>0</v>
      </c>
      <c r="M820" t="b">
        <v>1</v>
      </c>
    </row>
    <row r="821" spans="1:13" x14ac:dyDescent="0.3">
      <c r="A821">
        <v>60</v>
      </c>
      <c r="B821" t="s">
        <v>18</v>
      </c>
      <c r="C821" s="1">
        <v>7</v>
      </c>
      <c r="D821" t="s">
        <v>19</v>
      </c>
      <c r="E821" t="s">
        <v>26</v>
      </c>
      <c r="F821" t="s">
        <v>27</v>
      </c>
      <c r="G821" t="s">
        <v>23</v>
      </c>
      <c r="H821">
        <f t="shared" si="12"/>
        <v>820</v>
      </c>
      <c r="I821" t="s">
        <v>21</v>
      </c>
      <c r="J821" s="3">
        <v>17460</v>
      </c>
      <c r="K821" t="b">
        <v>0</v>
      </c>
      <c r="L821" t="b">
        <v>1</v>
      </c>
      <c r="M821" t="b">
        <v>0</v>
      </c>
    </row>
    <row r="822" spans="1:13" x14ac:dyDescent="0.3">
      <c r="A822">
        <v>28</v>
      </c>
      <c r="B822" t="s">
        <v>25</v>
      </c>
      <c r="C822" s="1">
        <v>5</v>
      </c>
      <c r="D822" t="s">
        <v>13</v>
      </c>
      <c r="E822" t="s">
        <v>26</v>
      </c>
      <c r="F822" t="s">
        <v>22</v>
      </c>
      <c r="G822" t="s">
        <v>16</v>
      </c>
      <c r="H822">
        <f t="shared" si="12"/>
        <v>821</v>
      </c>
      <c r="I822" t="s">
        <v>21</v>
      </c>
      <c r="J822" s="3">
        <v>13078</v>
      </c>
      <c r="K822" t="b">
        <v>0</v>
      </c>
      <c r="L822" t="b">
        <v>0</v>
      </c>
      <c r="M822" t="b">
        <v>1</v>
      </c>
    </row>
    <row r="823" spans="1:13" x14ac:dyDescent="0.3">
      <c r="A823">
        <v>64</v>
      </c>
      <c r="B823" t="s">
        <v>25</v>
      </c>
      <c r="C823" s="1">
        <v>4</v>
      </c>
      <c r="D823" t="s">
        <v>19</v>
      </c>
      <c r="E823" t="s">
        <v>14</v>
      </c>
      <c r="F823" t="s">
        <v>27</v>
      </c>
      <c r="G823" t="s">
        <v>23</v>
      </c>
      <c r="H823">
        <f t="shared" si="12"/>
        <v>822</v>
      </c>
      <c r="I823" t="s">
        <v>21</v>
      </c>
      <c r="J823" s="3">
        <v>12983</v>
      </c>
      <c r="K823" t="b">
        <v>0</v>
      </c>
      <c r="L823" t="b">
        <v>0</v>
      </c>
      <c r="M823" t="b">
        <v>0</v>
      </c>
    </row>
    <row r="824" spans="1:13" x14ac:dyDescent="0.3">
      <c r="A824">
        <v>40</v>
      </c>
      <c r="B824" t="s">
        <v>18</v>
      </c>
      <c r="C824" s="1">
        <v>4</v>
      </c>
      <c r="D824" t="s">
        <v>19</v>
      </c>
      <c r="E824" t="s">
        <v>14</v>
      </c>
      <c r="F824" t="s">
        <v>27</v>
      </c>
      <c r="G824" t="s">
        <v>16</v>
      </c>
      <c r="H824">
        <f t="shared" si="12"/>
        <v>823</v>
      </c>
      <c r="I824" t="s">
        <v>21</v>
      </c>
      <c r="J824" s="3">
        <v>17259</v>
      </c>
      <c r="K824" t="b">
        <v>1</v>
      </c>
      <c r="L824" t="b">
        <v>0</v>
      </c>
      <c r="M824" t="b">
        <v>1</v>
      </c>
    </row>
    <row r="825" spans="1:13" x14ac:dyDescent="0.3">
      <c r="A825">
        <v>33</v>
      </c>
      <c r="B825" t="s">
        <v>12</v>
      </c>
      <c r="C825" s="1">
        <v>4</v>
      </c>
      <c r="D825" t="s">
        <v>19</v>
      </c>
      <c r="E825" t="s">
        <v>14</v>
      </c>
      <c r="F825" t="s">
        <v>22</v>
      </c>
      <c r="G825" t="s">
        <v>23</v>
      </c>
      <c r="H825">
        <f t="shared" si="12"/>
        <v>824</v>
      </c>
      <c r="I825" t="s">
        <v>24</v>
      </c>
      <c r="J825" s="3">
        <v>16054</v>
      </c>
      <c r="K825" t="b">
        <v>0</v>
      </c>
      <c r="L825" t="b">
        <v>0</v>
      </c>
      <c r="M825" t="b">
        <v>1</v>
      </c>
    </row>
    <row r="826" spans="1:13" x14ac:dyDescent="0.3">
      <c r="A826">
        <v>48</v>
      </c>
      <c r="B826" t="s">
        <v>12</v>
      </c>
      <c r="C826" s="1">
        <v>6</v>
      </c>
      <c r="D826" t="s">
        <v>19</v>
      </c>
      <c r="E826" t="s">
        <v>20</v>
      </c>
      <c r="F826" t="s">
        <v>27</v>
      </c>
      <c r="G826" t="s">
        <v>29</v>
      </c>
      <c r="H826">
        <f t="shared" si="12"/>
        <v>825</v>
      </c>
      <c r="I826" t="s">
        <v>24</v>
      </c>
      <c r="J826" s="3">
        <v>12523</v>
      </c>
      <c r="K826" t="b">
        <v>0</v>
      </c>
      <c r="L826" t="b">
        <v>1</v>
      </c>
      <c r="M826" t="b">
        <v>0</v>
      </c>
    </row>
    <row r="827" spans="1:13" x14ac:dyDescent="0.3">
      <c r="A827">
        <v>28</v>
      </c>
      <c r="B827" t="s">
        <v>12</v>
      </c>
      <c r="C827" s="1">
        <v>8</v>
      </c>
      <c r="D827" t="s">
        <v>19</v>
      </c>
      <c r="E827" t="s">
        <v>26</v>
      </c>
      <c r="F827" t="s">
        <v>15</v>
      </c>
      <c r="G827" t="s">
        <v>16</v>
      </c>
      <c r="H827">
        <f t="shared" si="12"/>
        <v>826</v>
      </c>
      <c r="I827" t="s">
        <v>24</v>
      </c>
      <c r="J827" s="3">
        <v>19677</v>
      </c>
      <c r="K827" t="b">
        <v>0</v>
      </c>
      <c r="L827" t="b">
        <v>0</v>
      </c>
      <c r="M827" t="b">
        <v>1</v>
      </c>
    </row>
    <row r="828" spans="1:13" x14ac:dyDescent="0.3">
      <c r="A828">
        <v>33</v>
      </c>
      <c r="B828" t="s">
        <v>12</v>
      </c>
      <c r="C828" s="1">
        <v>8</v>
      </c>
      <c r="D828" t="s">
        <v>19</v>
      </c>
      <c r="E828" t="s">
        <v>14</v>
      </c>
      <c r="F828" t="s">
        <v>15</v>
      </c>
      <c r="G828" t="s">
        <v>16</v>
      </c>
      <c r="H828">
        <f t="shared" si="12"/>
        <v>827</v>
      </c>
      <c r="I828" t="s">
        <v>24</v>
      </c>
      <c r="J828" s="3">
        <v>14581</v>
      </c>
      <c r="K828" t="b">
        <v>1</v>
      </c>
      <c r="L828" t="b">
        <v>1</v>
      </c>
      <c r="M828" t="b">
        <v>1</v>
      </c>
    </row>
    <row r="829" spans="1:13" x14ac:dyDescent="0.3">
      <c r="A829">
        <v>25</v>
      </c>
      <c r="B829" t="s">
        <v>25</v>
      </c>
      <c r="C829" s="1">
        <v>5</v>
      </c>
      <c r="D829" t="s">
        <v>19</v>
      </c>
      <c r="E829" t="s">
        <v>14</v>
      </c>
      <c r="F829" t="s">
        <v>15</v>
      </c>
      <c r="G829" t="s">
        <v>23</v>
      </c>
      <c r="H829">
        <f t="shared" si="12"/>
        <v>828</v>
      </c>
      <c r="I829" t="s">
        <v>17</v>
      </c>
      <c r="J829" s="3">
        <v>15609</v>
      </c>
      <c r="K829" t="b">
        <v>1</v>
      </c>
      <c r="L829" t="b">
        <v>0</v>
      </c>
      <c r="M829" t="b">
        <v>1</v>
      </c>
    </row>
    <row r="830" spans="1:13" x14ac:dyDescent="0.3">
      <c r="A830">
        <v>21</v>
      </c>
      <c r="B830" t="s">
        <v>25</v>
      </c>
      <c r="C830" s="1">
        <v>6</v>
      </c>
      <c r="D830" t="s">
        <v>19</v>
      </c>
      <c r="E830" t="s">
        <v>14</v>
      </c>
      <c r="F830" t="s">
        <v>27</v>
      </c>
      <c r="G830" t="s">
        <v>23</v>
      </c>
      <c r="H830">
        <f t="shared" si="12"/>
        <v>829</v>
      </c>
      <c r="I830" t="s">
        <v>24</v>
      </c>
      <c r="J830" s="3">
        <v>12001</v>
      </c>
      <c r="K830" t="b">
        <v>1</v>
      </c>
      <c r="L830" t="b">
        <v>1</v>
      </c>
      <c r="M830" t="b">
        <v>0</v>
      </c>
    </row>
    <row r="831" spans="1:13" x14ac:dyDescent="0.3">
      <c r="A831">
        <v>57</v>
      </c>
      <c r="B831" t="s">
        <v>18</v>
      </c>
      <c r="C831" s="1">
        <v>4</v>
      </c>
      <c r="D831" t="s">
        <v>19</v>
      </c>
      <c r="E831" t="s">
        <v>26</v>
      </c>
      <c r="F831" t="s">
        <v>15</v>
      </c>
      <c r="G831" t="s">
        <v>16</v>
      </c>
      <c r="H831">
        <f t="shared" si="12"/>
        <v>830</v>
      </c>
      <c r="I831" t="s">
        <v>21</v>
      </c>
      <c r="J831" s="3">
        <v>11387</v>
      </c>
      <c r="K831" t="b">
        <v>0</v>
      </c>
      <c r="L831" t="b">
        <v>1</v>
      </c>
      <c r="M831" t="b">
        <v>1</v>
      </c>
    </row>
    <row r="832" spans="1:13" x14ac:dyDescent="0.3">
      <c r="A832">
        <v>21</v>
      </c>
      <c r="B832" t="s">
        <v>18</v>
      </c>
      <c r="C832" s="1">
        <v>9</v>
      </c>
      <c r="D832" t="s">
        <v>13</v>
      </c>
      <c r="E832" t="s">
        <v>26</v>
      </c>
      <c r="F832" t="s">
        <v>15</v>
      </c>
      <c r="G832" t="s">
        <v>29</v>
      </c>
      <c r="H832">
        <f t="shared" si="12"/>
        <v>831</v>
      </c>
      <c r="I832" t="s">
        <v>24</v>
      </c>
      <c r="J832" s="3">
        <v>16552</v>
      </c>
      <c r="K832" t="b">
        <v>0</v>
      </c>
      <c r="L832" t="b">
        <v>1</v>
      </c>
      <c r="M832" t="b">
        <v>1</v>
      </c>
    </row>
    <row r="833" spans="1:13" x14ac:dyDescent="0.3">
      <c r="A833">
        <v>42</v>
      </c>
      <c r="B833" t="s">
        <v>25</v>
      </c>
      <c r="C833" s="1">
        <v>8</v>
      </c>
      <c r="D833" t="s">
        <v>28</v>
      </c>
      <c r="E833" t="s">
        <v>26</v>
      </c>
      <c r="F833" t="s">
        <v>15</v>
      </c>
      <c r="G833" t="s">
        <v>29</v>
      </c>
      <c r="H833">
        <f t="shared" si="12"/>
        <v>832</v>
      </c>
      <c r="I833" t="s">
        <v>24</v>
      </c>
      <c r="J833" s="3">
        <v>11030</v>
      </c>
      <c r="K833" t="b">
        <v>0</v>
      </c>
      <c r="L833" t="b">
        <v>1</v>
      </c>
      <c r="M833" t="b">
        <v>1</v>
      </c>
    </row>
    <row r="834" spans="1:13" x14ac:dyDescent="0.3">
      <c r="A834">
        <v>20</v>
      </c>
      <c r="B834" t="s">
        <v>25</v>
      </c>
      <c r="C834" s="1">
        <v>1</v>
      </c>
      <c r="D834" t="s">
        <v>19</v>
      </c>
      <c r="E834" t="s">
        <v>20</v>
      </c>
      <c r="F834" t="s">
        <v>15</v>
      </c>
      <c r="G834" t="s">
        <v>23</v>
      </c>
      <c r="H834">
        <f t="shared" si="12"/>
        <v>833</v>
      </c>
      <c r="I834" t="s">
        <v>21</v>
      </c>
      <c r="J834" s="3">
        <v>19957</v>
      </c>
      <c r="K834" t="b">
        <v>1</v>
      </c>
      <c r="L834" t="b">
        <v>1</v>
      </c>
      <c r="M834" t="b">
        <v>0</v>
      </c>
    </row>
    <row r="835" spans="1:13" x14ac:dyDescent="0.3">
      <c r="A835">
        <v>49</v>
      </c>
      <c r="B835" t="s">
        <v>12</v>
      </c>
      <c r="C835" s="1">
        <v>2</v>
      </c>
      <c r="D835" t="s">
        <v>28</v>
      </c>
      <c r="E835" t="s">
        <v>20</v>
      </c>
      <c r="F835" t="s">
        <v>15</v>
      </c>
      <c r="G835" t="s">
        <v>29</v>
      </c>
      <c r="H835">
        <f t="shared" si="12"/>
        <v>834</v>
      </c>
      <c r="I835" t="s">
        <v>24</v>
      </c>
      <c r="J835" s="3">
        <v>11220</v>
      </c>
      <c r="K835" t="b">
        <v>0</v>
      </c>
      <c r="L835" t="b">
        <v>0</v>
      </c>
      <c r="M835" t="b">
        <v>0</v>
      </c>
    </row>
    <row r="836" spans="1:13" x14ac:dyDescent="0.3">
      <c r="A836">
        <v>20</v>
      </c>
      <c r="B836" t="s">
        <v>12</v>
      </c>
      <c r="C836" s="1">
        <v>9</v>
      </c>
      <c r="D836" t="s">
        <v>19</v>
      </c>
      <c r="E836" t="s">
        <v>14</v>
      </c>
      <c r="F836" t="s">
        <v>15</v>
      </c>
      <c r="G836" t="s">
        <v>29</v>
      </c>
      <c r="H836">
        <f t="shared" ref="H836:I899" si="13">H835+1</f>
        <v>835</v>
      </c>
      <c r="I836" t="s">
        <v>24</v>
      </c>
      <c r="J836" s="3">
        <v>16035</v>
      </c>
      <c r="K836" t="b">
        <v>1</v>
      </c>
      <c r="L836" t="b">
        <v>1</v>
      </c>
      <c r="M836" t="b">
        <v>0</v>
      </c>
    </row>
    <row r="837" spans="1:13" x14ac:dyDescent="0.3">
      <c r="A837">
        <v>44</v>
      </c>
      <c r="B837" t="s">
        <v>18</v>
      </c>
      <c r="C837" s="1">
        <v>8</v>
      </c>
      <c r="D837" t="s">
        <v>19</v>
      </c>
      <c r="E837" t="s">
        <v>26</v>
      </c>
      <c r="F837" t="s">
        <v>27</v>
      </c>
      <c r="G837" t="s">
        <v>23</v>
      </c>
      <c r="H837">
        <f t="shared" si="13"/>
        <v>836</v>
      </c>
      <c r="I837" t="s">
        <v>24</v>
      </c>
      <c r="J837" s="3">
        <v>19810</v>
      </c>
      <c r="K837" t="b">
        <v>1</v>
      </c>
      <c r="L837" t="b">
        <v>0</v>
      </c>
      <c r="M837" t="b">
        <v>0</v>
      </c>
    </row>
    <row r="838" spans="1:13" x14ac:dyDescent="0.3">
      <c r="A838">
        <v>46</v>
      </c>
      <c r="B838" t="s">
        <v>25</v>
      </c>
      <c r="C838" s="1">
        <v>3</v>
      </c>
      <c r="D838" t="s">
        <v>13</v>
      </c>
      <c r="E838" t="s">
        <v>14</v>
      </c>
      <c r="F838" t="s">
        <v>15</v>
      </c>
      <c r="G838" t="s">
        <v>29</v>
      </c>
      <c r="H838">
        <f t="shared" si="13"/>
        <v>837</v>
      </c>
      <c r="I838" t="s">
        <v>17</v>
      </c>
      <c r="J838" s="3">
        <v>19455</v>
      </c>
      <c r="K838" t="b">
        <v>1</v>
      </c>
      <c r="L838" t="b">
        <v>1</v>
      </c>
      <c r="M838" t="b">
        <v>0</v>
      </c>
    </row>
    <row r="839" spans="1:13" x14ac:dyDescent="0.3">
      <c r="A839">
        <v>49</v>
      </c>
      <c r="B839" t="s">
        <v>18</v>
      </c>
      <c r="C839" s="1">
        <v>8</v>
      </c>
      <c r="D839" t="s">
        <v>13</v>
      </c>
      <c r="E839" t="s">
        <v>26</v>
      </c>
      <c r="F839" t="s">
        <v>15</v>
      </c>
      <c r="G839" t="s">
        <v>23</v>
      </c>
      <c r="H839">
        <f t="shared" si="13"/>
        <v>838</v>
      </c>
      <c r="I839" t="s">
        <v>24</v>
      </c>
      <c r="J839" s="3">
        <v>16523</v>
      </c>
      <c r="K839" t="b">
        <v>1</v>
      </c>
      <c r="L839" t="b">
        <v>1</v>
      </c>
      <c r="M839" t="b">
        <v>1</v>
      </c>
    </row>
    <row r="840" spans="1:13" x14ac:dyDescent="0.3">
      <c r="A840">
        <v>36</v>
      </c>
      <c r="B840" t="s">
        <v>25</v>
      </c>
      <c r="C840" s="1">
        <v>1</v>
      </c>
      <c r="D840" t="s">
        <v>28</v>
      </c>
      <c r="E840" t="s">
        <v>26</v>
      </c>
      <c r="F840" t="s">
        <v>22</v>
      </c>
      <c r="G840" t="s">
        <v>16</v>
      </c>
      <c r="H840">
        <f t="shared" si="13"/>
        <v>839</v>
      </c>
      <c r="I840" t="s">
        <v>21</v>
      </c>
      <c r="J840" s="3">
        <v>18074</v>
      </c>
      <c r="K840" t="b">
        <v>1</v>
      </c>
      <c r="L840" t="b">
        <v>0</v>
      </c>
      <c r="M840" t="b">
        <v>0</v>
      </c>
    </row>
    <row r="841" spans="1:13" x14ac:dyDescent="0.3">
      <c r="A841">
        <v>38</v>
      </c>
      <c r="B841" t="s">
        <v>12</v>
      </c>
      <c r="C841" s="1">
        <v>4</v>
      </c>
      <c r="D841" t="s">
        <v>13</v>
      </c>
      <c r="E841" t="s">
        <v>26</v>
      </c>
      <c r="F841" t="s">
        <v>27</v>
      </c>
      <c r="G841" t="s">
        <v>23</v>
      </c>
      <c r="H841">
        <f t="shared" si="13"/>
        <v>840</v>
      </c>
      <c r="I841" t="s">
        <v>21</v>
      </c>
      <c r="J841" s="3">
        <v>19063</v>
      </c>
      <c r="K841" t="b">
        <v>0</v>
      </c>
      <c r="L841" t="b">
        <v>1</v>
      </c>
      <c r="M841" t="b">
        <v>0</v>
      </c>
    </row>
    <row r="842" spans="1:13" x14ac:dyDescent="0.3">
      <c r="A842">
        <v>22</v>
      </c>
      <c r="B842" t="s">
        <v>18</v>
      </c>
      <c r="C842" s="1">
        <v>3</v>
      </c>
      <c r="D842" t="s">
        <v>13</v>
      </c>
      <c r="E842" t="s">
        <v>20</v>
      </c>
      <c r="F842" t="s">
        <v>27</v>
      </c>
      <c r="G842" t="s">
        <v>16</v>
      </c>
      <c r="H842">
        <f t="shared" si="13"/>
        <v>841</v>
      </c>
      <c r="I842" t="s">
        <v>24</v>
      </c>
      <c r="J842" s="3">
        <v>10834</v>
      </c>
      <c r="K842" t="b">
        <v>0</v>
      </c>
      <c r="L842" t="b">
        <v>1</v>
      </c>
      <c r="M842" t="b">
        <v>1</v>
      </c>
    </row>
    <row r="843" spans="1:13" x14ac:dyDescent="0.3">
      <c r="A843">
        <v>35</v>
      </c>
      <c r="B843" t="s">
        <v>18</v>
      </c>
      <c r="C843" s="1">
        <v>6</v>
      </c>
      <c r="D843" t="s">
        <v>28</v>
      </c>
      <c r="E843" t="s">
        <v>20</v>
      </c>
      <c r="F843" t="s">
        <v>27</v>
      </c>
      <c r="G843" t="s">
        <v>16</v>
      </c>
      <c r="H843">
        <f t="shared" si="13"/>
        <v>842</v>
      </c>
      <c r="I843" t="s">
        <v>24</v>
      </c>
      <c r="J843" s="3">
        <v>19110</v>
      </c>
      <c r="K843" t="b">
        <v>1</v>
      </c>
      <c r="L843" t="b">
        <v>1</v>
      </c>
      <c r="M843" t="b">
        <v>0</v>
      </c>
    </row>
    <row r="844" spans="1:13" x14ac:dyDescent="0.3">
      <c r="A844">
        <v>45</v>
      </c>
      <c r="B844" t="s">
        <v>25</v>
      </c>
      <c r="C844" s="1">
        <v>7</v>
      </c>
      <c r="D844" t="s">
        <v>13</v>
      </c>
      <c r="E844" t="s">
        <v>26</v>
      </c>
      <c r="F844" t="s">
        <v>27</v>
      </c>
      <c r="G844" t="s">
        <v>29</v>
      </c>
      <c r="H844">
        <f t="shared" si="13"/>
        <v>843</v>
      </c>
      <c r="I844" t="s">
        <v>24</v>
      </c>
      <c r="J844" s="3">
        <v>11724</v>
      </c>
      <c r="K844" t="b">
        <v>0</v>
      </c>
      <c r="L844" t="b">
        <v>1</v>
      </c>
      <c r="M844" t="b">
        <v>1</v>
      </c>
    </row>
    <row r="845" spans="1:13" x14ac:dyDescent="0.3">
      <c r="A845">
        <v>59</v>
      </c>
      <c r="B845" t="s">
        <v>12</v>
      </c>
      <c r="C845" s="1">
        <v>4</v>
      </c>
      <c r="D845" t="s">
        <v>19</v>
      </c>
      <c r="E845" t="s">
        <v>14</v>
      </c>
      <c r="F845" t="s">
        <v>15</v>
      </c>
      <c r="G845" t="s">
        <v>29</v>
      </c>
      <c r="H845">
        <f t="shared" si="13"/>
        <v>844</v>
      </c>
      <c r="I845" t="s">
        <v>21</v>
      </c>
      <c r="J845" s="3">
        <v>16598</v>
      </c>
      <c r="K845" t="b">
        <v>0</v>
      </c>
      <c r="L845" t="b">
        <v>0</v>
      </c>
      <c r="M845" t="b">
        <v>0</v>
      </c>
    </row>
    <row r="846" spans="1:13" x14ac:dyDescent="0.3">
      <c r="A846">
        <v>39</v>
      </c>
      <c r="B846" t="s">
        <v>18</v>
      </c>
      <c r="C846" s="1">
        <v>7</v>
      </c>
      <c r="D846" t="s">
        <v>28</v>
      </c>
      <c r="E846" t="s">
        <v>26</v>
      </c>
      <c r="F846" t="s">
        <v>15</v>
      </c>
      <c r="G846" t="s">
        <v>29</v>
      </c>
      <c r="H846">
        <f t="shared" si="13"/>
        <v>845</v>
      </c>
      <c r="I846" t="s">
        <v>21</v>
      </c>
      <c r="J846" s="3">
        <v>12413</v>
      </c>
      <c r="K846" t="b">
        <v>1</v>
      </c>
      <c r="L846" t="b">
        <v>1</v>
      </c>
      <c r="M846" t="b">
        <v>1</v>
      </c>
    </row>
    <row r="847" spans="1:13" x14ac:dyDescent="0.3">
      <c r="A847">
        <v>38</v>
      </c>
      <c r="B847" t="s">
        <v>12</v>
      </c>
      <c r="C847" s="1">
        <v>9</v>
      </c>
      <c r="D847" t="s">
        <v>28</v>
      </c>
      <c r="E847" t="s">
        <v>26</v>
      </c>
      <c r="F847" t="s">
        <v>22</v>
      </c>
      <c r="G847" t="s">
        <v>23</v>
      </c>
      <c r="H847">
        <f t="shared" si="13"/>
        <v>846</v>
      </c>
      <c r="I847" t="s">
        <v>17</v>
      </c>
      <c r="J847" s="3">
        <v>19505</v>
      </c>
      <c r="K847" t="b">
        <v>1</v>
      </c>
      <c r="L847" t="b">
        <v>1</v>
      </c>
      <c r="M847" t="b">
        <v>1</v>
      </c>
    </row>
    <row r="848" spans="1:13" x14ac:dyDescent="0.3">
      <c r="A848">
        <v>23</v>
      </c>
      <c r="B848" t="s">
        <v>18</v>
      </c>
      <c r="C848" s="1">
        <v>2</v>
      </c>
      <c r="D848" t="s">
        <v>19</v>
      </c>
      <c r="E848" t="s">
        <v>14</v>
      </c>
      <c r="F848" t="s">
        <v>22</v>
      </c>
      <c r="G848" t="s">
        <v>29</v>
      </c>
      <c r="H848">
        <f t="shared" si="13"/>
        <v>847</v>
      </c>
      <c r="I848" t="s">
        <v>17</v>
      </c>
      <c r="J848" s="3">
        <v>15993</v>
      </c>
      <c r="K848" t="b">
        <v>0</v>
      </c>
      <c r="L848" t="b">
        <v>0</v>
      </c>
      <c r="M848" t="b">
        <v>0</v>
      </c>
    </row>
    <row r="849" spans="1:13" x14ac:dyDescent="0.3">
      <c r="A849">
        <v>18</v>
      </c>
      <c r="B849" t="s">
        <v>12</v>
      </c>
      <c r="C849" s="1">
        <v>3</v>
      </c>
      <c r="D849" t="s">
        <v>13</v>
      </c>
      <c r="E849" t="s">
        <v>26</v>
      </c>
      <c r="F849" t="s">
        <v>27</v>
      </c>
      <c r="G849" t="s">
        <v>16</v>
      </c>
      <c r="H849">
        <f t="shared" si="13"/>
        <v>848</v>
      </c>
      <c r="I849" t="s">
        <v>17</v>
      </c>
      <c r="J849" s="3">
        <v>14498</v>
      </c>
      <c r="K849" t="b">
        <v>0</v>
      </c>
      <c r="L849" t="b">
        <v>0</v>
      </c>
      <c r="M849" t="b">
        <v>0</v>
      </c>
    </row>
    <row r="850" spans="1:13" x14ac:dyDescent="0.3">
      <c r="A850">
        <v>22</v>
      </c>
      <c r="B850" t="s">
        <v>25</v>
      </c>
      <c r="C850" s="1">
        <v>5</v>
      </c>
      <c r="D850" t="s">
        <v>28</v>
      </c>
      <c r="E850" t="s">
        <v>14</v>
      </c>
      <c r="F850" t="s">
        <v>22</v>
      </c>
      <c r="G850" t="s">
        <v>29</v>
      </c>
      <c r="H850">
        <f t="shared" si="13"/>
        <v>849</v>
      </c>
      <c r="I850" t="s">
        <v>21</v>
      </c>
      <c r="J850" s="3">
        <v>12105</v>
      </c>
      <c r="K850" t="b">
        <v>0</v>
      </c>
      <c r="L850" t="b">
        <v>1</v>
      </c>
      <c r="M850" t="b">
        <v>1</v>
      </c>
    </row>
    <row r="851" spans="1:13" x14ac:dyDescent="0.3">
      <c r="A851">
        <v>58</v>
      </c>
      <c r="B851" t="s">
        <v>18</v>
      </c>
      <c r="C851" s="1">
        <v>3</v>
      </c>
      <c r="D851" t="s">
        <v>28</v>
      </c>
      <c r="E851" t="s">
        <v>20</v>
      </c>
      <c r="F851" t="s">
        <v>22</v>
      </c>
      <c r="G851" t="s">
        <v>29</v>
      </c>
      <c r="H851">
        <f t="shared" si="13"/>
        <v>850</v>
      </c>
      <c r="I851" t="s">
        <v>17</v>
      </c>
      <c r="J851" s="3">
        <v>12568</v>
      </c>
      <c r="K851" t="b">
        <v>0</v>
      </c>
      <c r="L851" t="b">
        <v>1</v>
      </c>
      <c r="M851" t="b">
        <v>1</v>
      </c>
    </row>
    <row r="852" spans="1:13" x14ac:dyDescent="0.3">
      <c r="A852">
        <v>29</v>
      </c>
      <c r="B852" t="s">
        <v>18</v>
      </c>
      <c r="C852" s="1">
        <v>8</v>
      </c>
      <c r="D852" t="s">
        <v>19</v>
      </c>
      <c r="E852" t="s">
        <v>20</v>
      </c>
      <c r="F852" t="s">
        <v>27</v>
      </c>
      <c r="G852" t="s">
        <v>23</v>
      </c>
      <c r="H852">
        <f t="shared" si="13"/>
        <v>851</v>
      </c>
      <c r="I852" t="s">
        <v>24</v>
      </c>
      <c r="J852" s="3">
        <v>19330</v>
      </c>
      <c r="K852" t="b">
        <v>1</v>
      </c>
      <c r="L852" t="b">
        <v>0</v>
      </c>
      <c r="M852" t="b">
        <v>1</v>
      </c>
    </row>
    <row r="853" spans="1:13" x14ac:dyDescent="0.3">
      <c r="A853">
        <v>43</v>
      </c>
      <c r="B853" t="s">
        <v>12</v>
      </c>
      <c r="C853" s="1">
        <v>8</v>
      </c>
      <c r="D853" t="s">
        <v>19</v>
      </c>
      <c r="E853" t="s">
        <v>14</v>
      </c>
      <c r="F853" t="s">
        <v>27</v>
      </c>
      <c r="G853" t="s">
        <v>23</v>
      </c>
      <c r="H853">
        <f t="shared" si="13"/>
        <v>852</v>
      </c>
      <c r="I853" t="s">
        <v>24</v>
      </c>
      <c r="J853" s="3">
        <v>10209</v>
      </c>
      <c r="K853" t="b">
        <v>0</v>
      </c>
      <c r="L853" t="b">
        <v>1</v>
      </c>
      <c r="M853" t="b">
        <v>1</v>
      </c>
    </row>
    <row r="854" spans="1:13" x14ac:dyDescent="0.3">
      <c r="A854">
        <v>63</v>
      </c>
      <c r="B854" t="s">
        <v>12</v>
      </c>
      <c r="C854" s="1">
        <v>8</v>
      </c>
      <c r="D854" t="s">
        <v>13</v>
      </c>
      <c r="E854" t="s">
        <v>20</v>
      </c>
      <c r="F854" t="s">
        <v>22</v>
      </c>
      <c r="G854" t="s">
        <v>16</v>
      </c>
      <c r="H854">
        <f t="shared" si="13"/>
        <v>853</v>
      </c>
      <c r="I854" t="s">
        <v>21</v>
      </c>
      <c r="J854" s="3">
        <v>19256</v>
      </c>
      <c r="K854" t="b">
        <v>1</v>
      </c>
      <c r="L854" t="b">
        <v>0</v>
      </c>
      <c r="M854" t="b">
        <v>1</v>
      </c>
    </row>
    <row r="855" spans="1:13" x14ac:dyDescent="0.3">
      <c r="A855">
        <v>51</v>
      </c>
      <c r="B855" t="s">
        <v>18</v>
      </c>
      <c r="C855" s="1">
        <v>9</v>
      </c>
      <c r="D855" t="s">
        <v>28</v>
      </c>
      <c r="E855" t="s">
        <v>20</v>
      </c>
      <c r="F855" t="s">
        <v>15</v>
      </c>
      <c r="G855" t="s">
        <v>23</v>
      </c>
      <c r="H855">
        <f t="shared" si="13"/>
        <v>854</v>
      </c>
      <c r="I855" t="s">
        <v>17</v>
      </c>
      <c r="J855" s="3">
        <v>14911</v>
      </c>
      <c r="K855" t="b">
        <v>1</v>
      </c>
      <c r="L855" t="b">
        <v>1</v>
      </c>
      <c r="M855" t="b">
        <v>1</v>
      </c>
    </row>
    <row r="856" spans="1:13" x14ac:dyDescent="0.3">
      <c r="A856">
        <v>31</v>
      </c>
      <c r="B856" t="s">
        <v>25</v>
      </c>
      <c r="C856" s="1">
        <v>4</v>
      </c>
      <c r="D856" t="s">
        <v>13</v>
      </c>
      <c r="E856" t="s">
        <v>14</v>
      </c>
      <c r="F856" t="s">
        <v>22</v>
      </c>
      <c r="G856" t="s">
        <v>29</v>
      </c>
      <c r="H856">
        <f t="shared" si="13"/>
        <v>855</v>
      </c>
      <c r="I856" t="s">
        <v>24</v>
      </c>
      <c r="J856" s="3">
        <v>12220</v>
      </c>
      <c r="K856" t="b">
        <v>0</v>
      </c>
      <c r="L856" t="b">
        <v>0</v>
      </c>
      <c r="M856" t="b">
        <v>1</v>
      </c>
    </row>
    <row r="857" spans="1:13" x14ac:dyDescent="0.3">
      <c r="A857">
        <v>43</v>
      </c>
      <c r="B857" t="s">
        <v>12</v>
      </c>
      <c r="C857" s="1">
        <v>5</v>
      </c>
      <c r="D857" t="s">
        <v>13</v>
      </c>
      <c r="E857" t="s">
        <v>20</v>
      </c>
      <c r="F857" t="s">
        <v>22</v>
      </c>
      <c r="G857" t="s">
        <v>23</v>
      </c>
      <c r="H857">
        <f t="shared" si="13"/>
        <v>856</v>
      </c>
      <c r="I857" t="s">
        <v>21</v>
      </c>
      <c r="J857" s="3">
        <v>10233</v>
      </c>
      <c r="K857" t="b">
        <v>0</v>
      </c>
      <c r="L857" t="b">
        <v>0</v>
      </c>
      <c r="M857" t="b">
        <v>0</v>
      </c>
    </row>
    <row r="858" spans="1:13" x14ac:dyDescent="0.3">
      <c r="A858">
        <v>62</v>
      </c>
      <c r="B858" t="s">
        <v>12</v>
      </c>
      <c r="C858" s="1">
        <v>5</v>
      </c>
      <c r="D858" t="s">
        <v>19</v>
      </c>
      <c r="E858" t="s">
        <v>26</v>
      </c>
      <c r="F858" t="s">
        <v>15</v>
      </c>
      <c r="G858" t="s">
        <v>16</v>
      </c>
      <c r="H858">
        <f t="shared" si="13"/>
        <v>857</v>
      </c>
      <c r="I858" t="s">
        <v>17</v>
      </c>
      <c r="J858" s="3">
        <v>10792</v>
      </c>
      <c r="K858" t="b">
        <v>0</v>
      </c>
      <c r="L858" t="b">
        <v>0</v>
      </c>
      <c r="M858" t="b">
        <v>1</v>
      </c>
    </row>
    <row r="859" spans="1:13" x14ac:dyDescent="0.3">
      <c r="A859">
        <v>44</v>
      </c>
      <c r="B859" t="s">
        <v>12</v>
      </c>
      <c r="C859" s="1">
        <v>8</v>
      </c>
      <c r="D859" t="s">
        <v>28</v>
      </c>
      <c r="E859" t="s">
        <v>26</v>
      </c>
      <c r="F859" t="s">
        <v>15</v>
      </c>
      <c r="G859" t="s">
        <v>29</v>
      </c>
      <c r="H859">
        <f t="shared" si="13"/>
        <v>858</v>
      </c>
      <c r="I859" t="s">
        <v>24</v>
      </c>
      <c r="J859" s="3">
        <v>13110</v>
      </c>
      <c r="K859" t="b">
        <v>1</v>
      </c>
      <c r="L859" t="b">
        <v>1</v>
      </c>
      <c r="M859" t="b">
        <v>0</v>
      </c>
    </row>
    <row r="860" spans="1:13" x14ac:dyDescent="0.3">
      <c r="A860">
        <v>26</v>
      </c>
      <c r="B860" t="s">
        <v>18</v>
      </c>
      <c r="C860" s="1">
        <v>7</v>
      </c>
      <c r="D860" t="s">
        <v>28</v>
      </c>
      <c r="E860" t="s">
        <v>14</v>
      </c>
      <c r="F860" t="s">
        <v>27</v>
      </c>
      <c r="G860" t="s">
        <v>16</v>
      </c>
      <c r="H860">
        <f t="shared" si="13"/>
        <v>859</v>
      </c>
      <c r="I860" t="s">
        <v>17</v>
      </c>
      <c r="J860" s="3">
        <v>12166</v>
      </c>
      <c r="K860" t="b">
        <v>1</v>
      </c>
      <c r="L860" t="b">
        <v>1</v>
      </c>
      <c r="M860" t="b">
        <v>0</v>
      </c>
    </row>
    <row r="861" spans="1:13" x14ac:dyDescent="0.3">
      <c r="A861">
        <v>43</v>
      </c>
      <c r="B861" t="s">
        <v>18</v>
      </c>
      <c r="C861" s="1">
        <v>9</v>
      </c>
      <c r="D861" t="s">
        <v>28</v>
      </c>
      <c r="E861" t="s">
        <v>20</v>
      </c>
      <c r="F861" t="s">
        <v>27</v>
      </c>
      <c r="G861" t="s">
        <v>23</v>
      </c>
      <c r="H861">
        <f t="shared" si="13"/>
        <v>860</v>
      </c>
      <c r="I861" t="s">
        <v>21</v>
      </c>
      <c r="J861" s="3">
        <v>18526</v>
      </c>
      <c r="K861" t="b">
        <v>1</v>
      </c>
      <c r="L861" t="b">
        <v>1</v>
      </c>
      <c r="M861" t="b">
        <v>1</v>
      </c>
    </row>
    <row r="862" spans="1:13" x14ac:dyDescent="0.3">
      <c r="A862">
        <v>64</v>
      </c>
      <c r="B862" t="s">
        <v>18</v>
      </c>
      <c r="C862" s="1">
        <v>8</v>
      </c>
      <c r="D862" t="s">
        <v>19</v>
      </c>
      <c r="E862" t="s">
        <v>26</v>
      </c>
      <c r="F862" t="s">
        <v>22</v>
      </c>
      <c r="G862" t="s">
        <v>23</v>
      </c>
      <c r="H862">
        <f t="shared" si="13"/>
        <v>861</v>
      </c>
      <c r="I862" t="s">
        <v>17</v>
      </c>
      <c r="J862" s="3">
        <v>19551</v>
      </c>
      <c r="K862" t="b">
        <v>1</v>
      </c>
      <c r="L862" t="b">
        <v>1</v>
      </c>
      <c r="M862" t="b">
        <v>1</v>
      </c>
    </row>
    <row r="863" spans="1:13" x14ac:dyDescent="0.3">
      <c r="A863">
        <v>39</v>
      </c>
      <c r="B863" t="s">
        <v>18</v>
      </c>
      <c r="C863" s="1">
        <v>2</v>
      </c>
      <c r="D863" t="s">
        <v>19</v>
      </c>
      <c r="E863" t="s">
        <v>26</v>
      </c>
      <c r="F863" t="s">
        <v>15</v>
      </c>
      <c r="G863" t="s">
        <v>16</v>
      </c>
      <c r="H863">
        <f t="shared" si="13"/>
        <v>862</v>
      </c>
      <c r="I863" t="s">
        <v>21</v>
      </c>
      <c r="J863" s="3">
        <v>15193</v>
      </c>
      <c r="K863" t="b">
        <v>0</v>
      </c>
      <c r="L863" t="b">
        <v>0</v>
      </c>
      <c r="M863" t="b">
        <v>0</v>
      </c>
    </row>
    <row r="864" spans="1:13" x14ac:dyDescent="0.3">
      <c r="A864">
        <v>64</v>
      </c>
      <c r="B864" t="s">
        <v>25</v>
      </c>
      <c r="C864" s="1">
        <v>4</v>
      </c>
      <c r="D864" t="s">
        <v>19</v>
      </c>
      <c r="E864" t="s">
        <v>20</v>
      </c>
      <c r="F864" t="s">
        <v>27</v>
      </c>
      <c r="G864" t="s">
        <v>29</v>
      </c>
      <c r="H864">
        <f t="shared" si="13"/>
        <v>863</v>
      </c>
      <c r="I864" t="s">
        <v>17</v>
      </c>
      <c r="J864" s="3">
        <v>11214</v>
      </c>
      <c r="K864" t="b">
        <v>1</v>
      </c>
      <c r="L864" t="b">
        <v>0</v>
      </c>
      <c r="M864" t="b">
        <v>1</v>
      </c>
    </row>
    <row r="865" spans="1:13" x14ac:dyDescent="0.3">
      <c r="A865">
        <v>47</v>
      </c>
      <c r="B865" t="s">
        <v>25</v>
      </c>
      <c r="C865" s="1">
        <v>6</v>
      </c>
      <c r="D865" t="s">
        <v>19</v>
      </c>
      <c r="E865" t="s">
        <v>20</v>
      </c>
      <c r="F865" t="s">
        <v>22</v>
      </c>
      <c r="G865" t="s">
        <v>23</v>
      </c>
      <c r="H865">
        <f t="shared" si="13"/>
        <v>864</v>
      </c>
      <c r="I865" t="s">
        <v>24</v>
      </c>
      <c r="J865" s="3">
        <v>14419</v>
      </c>
      <c r="K865" t="b">
        <v>1</v>
      </c>
      <c r="L865" t="b">
        <v>0</v>
      </c>
      <c r="M865" t="b">
        <v>1</v>
      </c>
    </row>
    <row r="866" spans="1:13" x14ac:dyDescent="0.3">
      <c r="A866">
        <v>60</v>
      </c>
      <c r="B866" t="s">
        <v>18</v>
      </c>
      <c r="C866" s="1">
        <v>2</v>
      </c>
      <c r="D866" t="s">
        <v>19</v>
      </c>
      <c r="E866" t="s">
        <v>26</v>
      </c>
      <c r="F866" t="s">
        <v>15</v>
      </c>
      <c r="G866" t="s">
        <v>23</v>
      </c>
      <c r="H866">
        <f t="shared" si="13"/>
        <v>865</v>
      </c>
      <c r="I866" t="s">
        <v>21</v>
      </c>
      <c r="J866" s="3">
        <v>17314</v>
      </c>
      <c r="K866" t="b">
        <v>0</v>
      </c>
      <c r="L866" t="b">
        <v>1</v>
      </c>
      <c r="M866" t="b">
        <v>0</v>
      </c>
    </row>
    <row r="867" spans="1:13" x14ac:dyDescent="0.3">
      <c r="A867">
        <v>34</v>
      </c>
      <c r="B867" t="s">
        <v>25</v>
      </c>
      <c r="C867" s="1">
        <v>7</v>
      </c>
      <c r="D867" t="s">
        <v>28</v>
      </c>
      <c r="E867" t="s">
        <v>26</v>
      </c>
      <c r="F867" t="s">
        <v>22</v>
      </c>
      <c r="G867" t="s">
        <v>29</v>
      </c>
      <c r="H867">
        <f t="shared" si="13"/>
        <v>866</v>
      </c>
      <c r="I867" t="s">
        <v>21</v>
      </c>
      <c r="J867" s="3">
        <v>18475</v>
      </c>
      <c r="K867" t="b">
        <v>1</v>
      </c>
      <c r="L867" t="b">
        <v>1</v>
      </c>
      <c r="M867" t="b">
        <v>0</v>
      </c>
    </row>
    <row r="868" spans="1:13" x14ac:dyDescent="0.3">
      <c r="A868">
        <v>43</v>
      </c>
      <c r="B868" t="s">
        <v>12</v>
      </c>
      <c r="C868" s="1">
        <v>3</v>
      </c>
      <c r="D868" t="s">
        <v>13</v>
      </c>
      <c r="E868" t="s">
        <v>14</v>
      </c>
      <c r="F868" t="s">
        <v>27</v>
      </c>
      <c r="G868" t="s">
        <v>23</v>
      </c>
      <c r="H868">
        <f t="shared" si="13"/>
        <v>867</v>
      </c>
      <c r="I868" t="s">
        <v>21</v>
      </c>
      <c r="J868" s="3">
        <v>10212</v>
      </c>
      <c r="K868" t="b">
        <v>1</v>
      </c>
      <c r="L868" t="b">
        <v>1</v>
      </c>
      <c r="M868" t="b">
        <v>0</v>
      </c>
    </row>
    <row r="869" spans="1:13" x14ac:dyDescent="0.3">
      <c r="A869">
        <v>53</v>
      </c>
      <c r="B869" t="s">
        <v>12</v>
      </c>
      <c r="C869" s="1">
        <v>3</v>
      </c>
      <c r="D869" t="s">
        <v>28</v>
      </c>
      <c r="E869" t="s">
        <v>14</v>
      </c>
      <c r="F869" t="s">
        <v>27</v>
      </c>
      <c r="G869" t="s">
        <v>16</v>
      </c>
      <c r="H869">
        <f t="shared" si="13"/>
        <v>868</v>
      </c>
      <c r="I869" t="s">
        <v>17</v>
      </c>
      <c r="J869" s="3">
        <v>11658</v>
      </c>
      <c r="K869" t="b">
        <v>0</v>
      </c>
      <c r="L869" t="b">
        <v>0</v>
      </c>
      <c r="M869" t="b">
        <v>1</v>
      </c>
    </row>
    <row r="870" spans="1:13" x14ac:dyDescent="0.3">
      <c r="A870">
        <v>18</v>
      </c>
      <c r="B870" t="s">
        <v>12</v>
      </c>
      <c r="C870" s="1">
        <v>2</v>
      </c>
      <c r="D870" t="s">
        <v>13</v>
      </c>
      <c r="E870" t="s">
        <v>26</v>
      </c>
      <c r="F870" t="s">
        <v>15</v>
      </c>
      <c r="G870" t="s">
        <v>23</v>
      </c>
      <c r="H870">
        <f t="shared" si="13"/>
        <v>869</v>
      </c>
      <c r="I870" t="s">
        <v>17</v>
      </c>
      <c r="J870" s="3">
        <v>15024</v>
      </c>
      <c r="K870" t="b">
        <v>1</v>
      </c>
      <c r="L870" t="b">
        <v>1</v>
      </c>
      <c r="M870" t="b">
        <v>1</v>
      </c>
    </row>
    <row r="871" spans="1:13" x14ac:dyDescent="0.3">
      <c r="A871">
        <v>25</v>
      </c>
      <c r="B871" t="s">
        <v>18</v>
      </c>
      <c r="C871" s="1">
        <v>8</v>
      </c>
      <c r="D871" t="s">
        <v>19</v>
      </c>
      <c r="E871" t="s">
        <v>14</v>
      </c>
      <c r="F871" t="s">
        <v>22</v>
      </c>
      <c r="G871" t="s">
        <v>23</v>
      </c>
      <c r="H871">
        <f t="shared" si="13"/>
        <v>870</v>
      </c>
      <c r="I871" t="s">
        <v>24</v>
      </c>
      <c r="J871" s="3">
        <v>19609</v>
      </c>
      <c r="K871" t="b">
        <v>1</v>
      </c>
      <c r="L871" t="b">
        <v>1</v>
      </c>
      <c r="M871" t="b">
        <v>0</v>
      </c>
    </row>
    <row r="872" spans="1:13" x14ac:dyDescent="0.3">
      <c r="A872">
        <v>52</v>
      </c>
      <c r="B872" t="s">
        <v>12</v>
      </c>
      <c r="C872" s="1">
        <v>6</v>
      </c>
      <c r="D872" t="s">
        <v>13</v>
      </c>
      <c r="E872" t="s">
        <v>26</v>
      </c>
      <c r="F872" t="s">
        <v>15</v>
      </c>
      <c r="G872" t="s">
        <v>29</v>
      </c>
      <c r="H872">
        <f t="shared" si="13"/>
        <v>871</v>
      </c>
      <c r="I872" t="s">
        <v>21</v>
      </c>
      <c r="J872" s="3">
        <v>15917</v>
      </c>
      <c r="K872" t="b">
        <v>1</v>
      </c>
      <c r="L872" t="b">
        <v>0</v>
      </c>
      <c r="M872" t="b">
        <v>1</v>
      </c>
    </row>
    <row r="873" spans="1:13" x14ac:dyDescent="0.3">
      <c r="A873">
        <v>32</v>
      </c>
      <c r="B873" t="s">
        <v>25</v>
      </c>
      <c r="C873" s="1">
        <v>1</v>
      </c>
      <c r="D873" t="s">
        <v>28</v>
      </c>
      <c r="E873" t="s">
        <v>26</v>
      </c>
      <c r="F873" t="s">
        <v>27</v>
      </c>
      <c r="G873" t="s">
        <v>16</v>
      </c>
      <c r="H873">
        <f t="shared" si="13"/>
        <v>872</v>
      </c>
      <c r="I873" t="s">
        <v>21</v>
      </c>
      <c r="J873" s="3">
        <v>15141</v>
      </c>
      <c r="K873" t="b">
        <v>1</v>
      </c>
      <c r="L873" t="b">
        <v>0</v>
      </c>
      <c r="M873" t="b">
        <v>0</v>
      </c>
    </row>
    <row r="874" spans="1:13" x14ac:dyDescent="0.3">
      <c r="A874">
        <v>64</v>
      </c>
      <c r="B874" t="s">
        <v>18</v>
      </c>
      <c r="C874" s="1">
        <v>1</v>
      </c>
      <c r="D874" t="s">
        <v>28</v>
      </c>
      <c r="E874" t="s">
        <v>14</v>
      </c>
      <c r="F874" t="s">
        <v>27</v>
      </c>
      <c r="G874" t="s">
        <v>29</v>
      </c>
      <c r="H874">
        <f t="shared" si="13"/>
        <v>873</v>
      </c>
      <c r="I874" t="s">
        <v>17</v>
      </c>
      <c r="J874" s="3">
        <v>11794</v>
      </c>
      <c r="K874" t="b">
        <v>0</v>
      </c>
      <c r="L874" t="b">
        <v>1</v>
      </c>
      <c r="M874" t="b">
        <v>1</v>
      </c>
    </row>
    <row r="875" spans="1:13" x14ac:dyDescent="0.3">
      <c r="A875">
        <v>39</v>
      </c>
      <c r="B875" t="s">
        <v>25</v>
      </c>
      <c r="C875" s="1">
        <v>7</v>
      </c>
      <c r="D875" t="s">
        <v>13</v>
      </c>
      <c r="E875" t="s">
        <v>14</v>
      </c>
      <c r="F875" t="s">
        <v>22</v>
      </c>
      <c r="G875" t="s">
        <v>23</v>
      </c>
      <c r="H875">
        <f t="shared" si="13"/>
        <v>874</v>
      </c>
      <c r="I875" t="s">
        <v>17</v>
      </c>
      <c r="J875" s="3">
        <v>15988</v>
      </c>
      <c r="K875" t="b">
        <v>1</v>
      </c>
      <c r="L875" t="b">
        <v>0</v>
      </c>
      <c r="M875" t="b">
        <v>0</v>
      </c>
    </row>
    <row r="876" spans="1:13" x14ac:dyDescent="0.3">
      <c r="A876">
        <v>31</v>
      </c>
      <c r="B876" t="s">
        <v>12</v>
      </c>
      <c r="C876" s="1">
        <v>8</v>
      </c>
      <c r="D876" t="s">
        <v>19</v>
      </c>
      <c r="E876" t="s">
        <v>20</v>
      </c>
      <c r="F876" t="s">
        <v>22</v>
      </c>
      <c r="G876" t="s">
        <v>23</v>
      </c>
      <c r="H876">
        <f t="shared" si="13"/>
        <v>875</v>
      </c>
      <c r="I876" t="s">
        <v>24</v>
      </c>
      <c r="J876" s="3">
        <v>18296</v>
      </c>
      <c r="K876" t="b">
        <v>0</v>
      </c>
      <c r="L876" t="b">
        <v>1</v>
      </c>
      <c r="M876" t="b">
        <v>1</v>
      </c>
    </row>
    <row r="877" spans="1:13" x14ac:dyDescent="0.3">
      <c r="A877">
        <v>43</v>
      </c>
      <c r="B877" t="s">
        <v>12</v>
      </c>
      <c r="C877" s="1">
        <v>5</v>
      </c>
      <c r="D877" t="s">
        <v>19</v>
      </c>
      <c r="E877" t="s">
        <v>20</v>
      </c>
      <c r="F877" t="s">
        <v>22</v>
      </c>
      <c r="G877" t="s">
        <v>29</v>
      </c>
      <c r="H877">
        <f t="shared" si="13"/>
        <v>876</v>
      </c>
      <c r="I877" t="s">
        <v>24</v>
      </c>
      <c r="J877" s="3">
        <v>15578</v>
      </c>
      <c r="K877" t="b">
        <v>1</v>
      </c>
      <c r="L877" t="b">
        <v>0</v>
      </c>
      <c r="M877" t="b">
        <v>0</v>
      </c>
    </row>
    <row r="878" spans="1:13" x14ac:dyDescent="0.3">
      <c r="A878">
        <v>45</v>
      </c>
      <c r="B878" t="s">
        <v>12</v>
      </c>
      <c r="C878" s="1">
        <v>5</v>
      </c>
      <c r="D878" t="s">
        <v>28</v>
      </c>
      <c r="E878" t="s">
        <v>20</v>
      </c>
      <c r="F878" t="s">
        <v>15</v>
      </c>
      <c r="G878" t="s">
        <v>29</v>
      </c>
      <c r="H878">
        <f t="shared" si="13"/>
        <v>877</v>
      </c>
      <c r="I878" t="s">
        <v>17</v>
      </c>
      <c r="J878" s="3">
        <v>15551</v>
      </c>
      <c r="K878" t="b">
        <v>0</v>
      </c>
      <c r="L878" t="b">
        <v>0</v>
      </c>
      <c r="M878" t="b">
        <v>1</v>
      </c>
    </row>
    <row r="879" spans="1:13" x14ac:dyDescent="0.3">
      <c r="A879">
        <v>40</v>
      </c>
      <c r="B879" t="s">
        <v>18</v>
      </c>
      <c r="C879" s="1">
        <v>4</v>
      </c>
      <c r="D879" t="s">
        <v>13</v>
      </c>
      <c r="E879" t="s">
        <v>26</v>
      </c>
      <c r="F879" t="s">
        <v>22</v>
      </c>
      <c r="G879" t="s">
        <v>29</v>
      </c>
      <c r="H879">
        <f t="shared" si="13"/>
        <v>878</v>
      </c>
      <c r="I879" t="s">
        <v>21</v>
      </c>
      <c r="J879" s="3">
        <v>13845</v>
      </c>
      <c r="K879" t="b">
        <v>0</v>
      </c>
      <c r="L879" t="b">
        <v>0</v>
      </c>
      <c r="M879" t="b">
        <v>1</v>
      </c>
    </row>
    <row r="880" spans="1:13" x14ac:dyDescent="0.3">
      <c r="A880">
        <v>31</v>
      </c>
      <c r="B880" t="s">
        <v>25</v>
      </c>
      <c r="C880" s="1">
        <v>6</v>
      </c>
      <c r="D880" t="s">
        <v>19</v>
      </c>
      <c r="E880" t="s">
        <v>14</v>
      </c>
      <c r="F880" t="s">
        <v>22</v>
      </c>
      <c r="G880" t="s">
        <v>16</v>
      </c>
      <c r="H880">
        <f t="shared" si="13"/>
        <v>879</v>
      </c>
      <c r="I880" t="s">
        <v>24</v>
      </c>
      <c r="J880" s="3">
        <v>16906</v>
      </c>
      <c r="K880" t="b">
        <v>0</v>
      </c>
      <c r="L880" t="b">
        <v>1</v>
      </c>
      <c r="M880" t="b">
        <v>0</v>
      </c>
    </row>
    <row r="881" spans="1:13" x14ac:dyDescent="0.3">
      <c r="A881">
        <v>41</v>
      </c>
      <c r="B881" t="s">
        <v>18</v>
      </c>
      <c r="C881" s="1">
        <v>6</v>
      </c>
      <c r="D881" t="s">
        <v>19</v>
      </c>
      <c r="E881" t="s">
        <v>26</v>
      </c>
      <c r="F881" t="s">
        <v>27</v>
      </c>
      <c r="G881" t="s">
        <v>23</v>
      </c>
      <c r="H881">
        <f t="shared" si="13"/>
        <v>880</v>
      </c>
      <c r="I881" t="s">
        <v>17</v>
      </c>
      <c r="J881" s="3">
        <v>10378</v>
      </c>
      <c r="K881" t="b">
        <v>1</v>
      </c>
      <c r="L881" t="b">
        <v>1</v>
      </c>
      <c r="M881" t="b">
        <v>1</v>
      </c>
    </row>
    <row r="882" spans="1:13" x14ac:dyDescent="0.3">
      <c r="A882">
        <v>19</v>
      </c>
      <c r="B882" t="s">
        <v>18</v>
      </c>
      <c r="C882" s="1">
        <v>3</v>
      </c>
      <c r="D882" t="s">
        <v>28</v>
      </c>
      <c r="E882" t="s">
        <v>14</v>
      </c>
      <c r="F882" t="s">
        <v>27</v>
      </c>
      <c r="G882" t="s">
        <v>29</v>
      </c>
      <c r="H882">
        <f t="shared" si="13"/>
        <v>881</v>
      </c>
      <c r="I882" t="s">
        <v>17</v>
      </c>
      <c r="J882" s="3">
        <v>13293</v>
      </c>
      <c r="K882" t="b">
        <v>1</v>
      </c>
      <c r="L882" t="b">
        <v>1</v>
      </c>
      <c r="M882" t="b">
        <v>1</v>
      </c>
    </row>
    <row r="883" spans="1:13" x14ac:dyDescent="0.3">
      <c r="A883">
        <v>62</v>
      </c>
      <c r="B883" t="s">
        <v>12</v>
      </c>
      <c r="C883" s="1">
        <v>9</v>
      </c>
      <c r="D883" t="s">
        <v>19</v>
      </c>
      <c r="E883" t="s">
        <v>26</v>
      </c>
      <c r="F883" t="s">
        <v>22</v>
      </c>
      <c r="G883" t="s">
        <v>23</v>
      </c>
      <c r="H883">
        <f t="shared" si="13"/>
        <v>882</v>
      </c>
      <c r="I883" t="s">
        <v>21</v>
      </c>
      <c r="J883" s="3">
        <v>13329</v>
      </c>
      <c r="K883" t="b">
        <v>1</v>
      </c>
      <c r="L883" t="b">
        <v>0</v>
      </c>
      <c r="M883" t="b">
        <v>0</v>
      </c>
    </row>
    <row r="884" spans="1:13" x14ac:dyDescent="0.3">
      <c r="A884">
        <v>43</v>
      </c>
      <c r="B884" t="s">
        <v>18</v>
      </c>
      <c r="C884" s="1">
        <v>7</v>
      </c>
      <c r="D884" t="s">
        <v>13</v>
      </c>
      <c r="E884" t="s">
        <v>20</v>
      </c>
      <c r="F884" t="s">
        <v>22</v>
      </c>
      <c r="G884" t="s">
        <v>16</v>
      </c>
      <c r="H884">
        <f t="shared" si="13"/>
        <v>883</v>
      </c>
      <c r="I884" t="s">
        <v>17</v>
      </c>
      <c r="J884" s="3">
        <v>14808</v>
      </c>
      <c r="K884" t="b">
        <v>0</v>
      </c>
      <c r="L884" t="b">
        <v>0</v>
      </c>
      <c r="M884" t="b">
        <v>1</v>
      </c>
    </row>
    <row r="885" spans="1:13" x14ac:dyDescent="0.3">
      <c r="A885">
        <v>31</v>
      </c>
      <c r="B885" t="s">
        <v>18</v>
      </c>
      <c r="C885" s="1">
        <v>1</v>
      </c>
      <c r="D885" t="s">
        <v>28</v>
      </c>
      <c r="E885" t="s">
        <v>20</v>
      </c>
      <c r="F885" t="s">
        <v>27</v>
      </c>
      <c r="G885" t="s">
        <v>16</v>
      </c>
      <c r="H885">
        <f t="shared" si="13"/>
        <v>884</v>
      </c>
      <c r="I885" t="s">
        <v>17</v>
      </c>
      <c r="J885" s="3">
        <v>17937</v>
      </c>
      <c r="K885" t="b">
        <v>1</v>
      </c>
      <c r="L885" t="b">
        <v>0</v>
      </c>
      <c r="M885" t="b">
        <v>1</v>
      </c>
    </row>
    <row r="886" spans="1:13" x14ac:dyDescent="0.3">
      <c r="A886">
        <v>24</v>
      </c>
      <c r="B886" t="s">
        <v>12</v>
      </c>
      <c r="C886" s="1">
        <v>7</v>
      </c>
      <c r="D886" t="s">
        <v>28</v>
      </c>
      <c r="E886" t="s">
        <v>20</v>
      </c>
      <c r="F886" t="s">
        <v>22</v>
      </c>
      <c r="G886" t="s">
        <v>16</v>
      </c>
      <c r="H886">
        <f t="shared" si="13"/>
        <v>885</v>
      </c>
      <c r="I886" t="s">
        <v>24</v>
      </c>
      <c r="J886" s="3">
        <v>10224</v>
      </c>
      <c r="K886" t="b">
        <v>1</v>
      </c>
      <c r="L886" t="b">
        <v>0</v>
      </c>
      <c r="M886" t="b">
        <v>1</v>
      </c>
    </row>
    <row r="887" spans="1:13" x14ac:dyDescent="0.3">
      <c r="A887">
        <v>20</v>
      </c>
      <c r="B887" t="s">
        <v>18</v>
      </c>
      <c r="C887" s="1">
        <v>5</v>
      </c>
      <c r="D887" t="s">
        <v>13</v>
      </c>
      <c r="E887" t="s">
        <v>26</v>
      </c>
      <c r="F887" t="s">
        <v>15</v>
      </c>
      <c r="G887" t="s">
        <v>16</v>
      </c>
      <c r="H887">
        <f t="shared" si="13"/>
        <v>886</v>
      </c>
      <c r="I887" t="s">
        <v>17</v>
      </c>
      <c r="J887" s="3">
        <v>10737</v>
      </c>
      <c r="K887" t="b">
        <v>1</v>
      </c>
      <c r="L887" t="b">
        <v>1</v>
      </c>
      <c r="M887" t="b">
        <v>0</v>
      </c>
    </row>
    <row r="888" spans="1:13" x14ac:dyDescent="0.3">
      <c r="A888">
        <v>64</v>
      </c>
      <c r="B888" t="s">
        <v>12</v>
      </c>
      <c r="C888" s="1">
        <v>5</v>
      </c>
      <c r="D888" t="s">
        <v>28</v>
      </c>
      <c r="E888" t="s">
        <v>14</v>
      </c>
      <c r="F888" t="s">
        <v>15</v>
      </c>
      <c r="G888" t="s">
        <v>23</v>
      </c>
      <c r="H888">
        <f t="shared" si="13"/>
        <v>887</v>
      </c>
      <c r="I888" t="s">
        <v>17</v>
      </c>
      <c r="J888" s="3">
        <v>10235</v>
      </c>
      <c r="K888" t="b">
        <v>1</v>
      </c>
      <c r="L888" t="b">
        <v>1</v>
      </c>
      <c r="M888" t="b">
        <v>0</v>
      </c>
    </row>
    <row r="889" spans="1:13" x14ac:dyDescent="0.3">
      <c r="A889">
        <v>40</v>
      </c>
      <c r="B889" t="s">
        <v>12</v>
      </c>
      <c r="C889" s="1">
        <v>2</v>
      </c>
      <c r="D889" t="s">
        <v>19</v>
      </c>
      <c r="E889" t="s">
        <v>14</v>
      </c>
      <c r="F889" t="s">
        <v>15</v>
      </c>
      <c r="G889" t="s">
        <v>16</v>
      </c>
      <c r="H889">
        <f t="shared" si="13"/>
        <v>888</v>
      </c>
      <c r="I889" t="s">
        <v>24</v>
      </c>
      <c r="J889" s="3">
        <v>10711</v>
      </c>
      <c r="K889" t="b">
        <v>0</v>
      </c>
      <c r="L889" t="b">
        <v>1</v>
      </c>
      <c r="M889" t="b">
        <v>0</v>
      </c>
    </row>
    <row r="890" spans="1:13" x14ac:dyDescent="0.3">
      <c r="A890">
        <v>63</v>
      </c>
      <c r="B890" t="s">
        <v>12</v>
      </c>
      <c r="C890" s="1">
        <v>4</v>
      </c>
      <c r="D890" t="s">
        <v>19</v>
      </c>
      <c r="E890" t="s">
        <v>20</v>
      </c>
      <c r="F890" t="s">
        <v>22</v>
      </c>
      <c r="G890" t="s">
        <v>16</v>
      </c>
      <c r="H890">
        <f t="shared" si="13"/>
        <v>889</v>
      </c>
      <c r="I890" t="s">
        <v>21</v>
      </c>
      <c r="J890" s="3">
        <v>15988</v>
      </c>
      <c r="K890" t="b">
        <v>0</v>
      </c>
      <c r="L890" t="b">
        <v>0</v>
      </c>
      <c r="M890" t="b">
        <v>0</v>
      </c>
    </row>
    <row r="891" spans="1:13" x14ac:dyDescent="0.3">
      <c r="A891">
        <v>60</v>
      </c>
      <c r="B891" t="s">
        <v>12</v>
      </c>
      <c r="C891" s="1">
        <v>6</v>
      </c>
      <c r="D891" t="s">
        <v>13</v>
      </c>
      <c r="E891" t="s">
        <v>20</v>
      </c>
      <c r="F891" t="s">
        <v>27</v>
      </c>
      <c r="G891" t="s">
        <v>29</v>
      </c>
      <c r="H891">
        <f t="shared" si="13"/>
        <v>890</v>
      </c>
      <c r="I891" t="s">
        <v>21</v>
      </c>
      <c r="J891" s="3">
        <v>11888</v>
      </c>
      <c r="K891" t="b">
        <v>1</v>
      </c>
      <c r="L891" t="b">
        <v>0</v>
      </c>
      <c r="M891" t="b">
        <v>0</v>
      </c>
    </row>
    <row r="892" spans="1:13" x14ac:dyDescent="0.3">
      <c r="A892">
        <v>64</v>
      </c>
      <c r="B892" t="s">
        <v>18</v>
      </c>
      <c r="C892" s="1">
        <v>7</v>
      </c>
      <c r="D892" t="s">
        <v>19</v>
      </c>
      <c r="E892" t="s">
        <v>20</v>
      </c>
      <c r="F892" t="s">
        <v>22</v>
      </c>
      <c r="G892" t="s">
        <v>16</v>
      </c>
      <c r="H892">
        <f t="shared" si="13"/>
        <v>891</v>
      </c>
      <c r="I892" t="s">
        <v>24</v>
      </c>
      <c r="J892" s="3">
        <v>17173</v>
      </c>
      <c r="K892" t="b">
        <v>1</v>
      </c>
      <c r="L892" t="b">
        <v>1</v>
      </c>
      <c r="M892" t="b">
        <v>1</v>
      </c>
    </row>
    <row r="893" spans="1:13" x14ac:dyDescent="0.3">
      <c r="A893">
        <v>62</v>
      </c>
      <c r="B893" t="s">
        <v>12</v>
      </c>
      <c r="C893" s="1">
        <v>5</v>
      </c>
      <c r="D893" t="s">
        <v>13</v>
      </c>
      <c r="E893" t="s">
        <v>20</v>
      </c>
      <c r="F893" t="s">
        <v>22</v>
      </c>
      <c r="G893" t="s">
        <v>29</v>
      </c>
      <c r="H893">
        <f t="shared" si="13"/>
        <v>892</v>
      </c>
      <c r="I893" t="s">
        <v>24</v>
      </c>
      <c r="J893" s="3">
        <v>11259</v>
      </c>
      <c r="K893" t="b">
        <v>1</v>
      </c>
      <c r="L893" t="b">
        <v>0</v>
      </c>
      <c r="M893" t="b">
        <v>1</v>
      </c>
    </row>
    <row r="894" spans="1:13" x14ac:dyDescent="0.3">
      <c r="A894">
        <v>35</v>
      </c>
      <c r="B894" t="s">
        <v>12</v>
      </c>
      <c r="C894" s="1">
        <v>9</v>
      </c>
      <c r="D894" t="s">
        <v>13</v>
      </c>
      <c r="E894" t="s">
        <v>14</v>
      </c>
      <c r="F894" t="s">
        <v>27</v>
      </c>
      <c r="G894" t="s">
        <v>16</v>
      </c>
      <c r="H894">
        <f t="shared" si="13"/>
        <v>893</v>
      </c>
      <c r="I894" t="s">
        <v>21</v>
      </c>
      <c r="J894" s="3">
        <v>15246</v>
      </c>
      <c r="K894" t="b">
        <v>0</v>
      </c>
      <c r="L894" t="b">
        <v>1</v>
      </c>
      <c r="M894" t="b">
        <v>0</v>
      </c>
    </row>
    <row r="895" spans="1:13" x14ac:dyDescent="0.3">
      <c r="A895">
        <v>55</v>
      </c>
      <c r="B895" t="s">
        <v>18</v>
      </c>
      <c r="C895" s="1">
        <v>3</v>
      </c>
      <c r="D895" t="s">
        <v>19</v>
      </c>
      <c r="E895" t="s">
        <v>26</v>
      </c>
      <c r="F895" t="s">
        <v>27</v>
      </c>
      <c r="G895" t="s">
        <v>16</v>
      </c>
      <c r="H895">
        <f t="shared" si="13"/>
        <v>894</v>
      </c>
      <c r="I895" t="s">
        <v>21</v>
      </c>
      <c r="J895" s="3">
        <v>17271</v>
      </c>
      <c r="K895" t="b">
        <v>1</v>
      </c>
      <c r="L895" t="b">
        <v>0</v>
      </c>
      <c r="M895" t="b">
        <v>1</v>
      </c>
    </row>
    <row r="896" spans="1:13" x14ac:dyDescent="0.3">
      <c r="A896">
        <v>52</v>
      </c>
      <c r="B896" t="s">
        <v>18</v>
      </c>
      <c r="C896" s="1">
        <v>1</v>
      </c>
      <c r="D896" t="s">
        <v>13</v>
      </c>
      <c r="E896" t="s">
        <v>26</v>
      </c>
      <c r="F896" t="s">
        <v>27</v>
      </c>
      <c r="G896" t="s">
        <v>29</v>
      </c>
      <c r="H896">
        <f t="shared" si="13"/>
        <v>895</v>
      </c>
      <c r="I896" t="s">
        <v>21</v>
      </c>
      <c r="J896" s="3">
        <v>10748</v>
      </c>
      <c r="K896" t="b">
        <v>0</v>
      </c>
      <c r="L896" t="b">
        <v>0</v>
      </c>
      <c r="M896" t="b">
        <v>1</v>
      </c>
    </row>
    <row r="897" spans="1:13" x14ac:dyDescent="0.3">
      <c r="A897">
        <v>32</v>
      </c>
      <c r="B897" t="s">
        <v>25</v>
      </c>
      <c r="C897" s="1">
        <v>4</v>
      </c>
      <c r="D897" t="s">
        <v>19</v>
      </c>
      <c r="E897" t="s">
        <v>26</v>
      </c>
      <c r="F897" t="s">
        <v>15</v>
      </c>
      <c r="G897" t="s">
        <v>16</v>
      </c>
      <c r="H897">
        <f t="shared" si="13"/>
        <v>896</v>
      </c>
      <c r="I897" t="s">
        <v>21</v>
      </c>
      <c r="J897" s="3">
        <v>13551</v>
      </c>
      <c r="K897" t="b">
        <v>0</v>
      </c>
      <c r="L897" t="b">
        <v>1</v>
      </c>
      <c r="M897" t="b">
        <v>1</v>
      </c>
    </row>
    <row r="898" spans="1:13" x14ac:dyDescent="0.3">
      <c r="A898">
        <v>42</v>
      </c>
      <c r="B898" t="s">
        <v>18</v>
      </c>
      <c r="C898" s="1">
        <v>9</v>
      </c>
      <c r="D898" t="s">
        <v>28</v>
      </c>
      <c r="E898" t="s">
        <v>26</v>
      </c>
      <c r="F898" t="s">
        <v>22</v>
      </c>
      <c r="G898" t="s">
        <v>23</v>
      </c>
      <c r="H898">
        <f t="shared" si="13"/>
        <v>897</v>
      </c>
      <c r="I898" t="s">
        <v>21</v>
      </c>
      <c r="J898" s="3">
        <v>16400</v>
      </c>
      <c r="K898" t="b">
        <v>1</v>
      </c>
      <c r="L898" t="b">
        <v>1</v>
      </c>
      <c r="M898" t="b">
        <v>1</v>
      </c>
    </row>
    <row r="899" spans="1:13" x14ac:dyDescent="0.3">
      <c r="A899">
        <v>54</v>
      </c>
      <c r="B899" t="s">
        <v>18</v>
      </c>
      <c r="C899" s="1">
        <v>4</v>
      </c>
      <c r="D899" t="s">
        <v>28</v>
      </c>
      <c r="E899" t="s">
        <v>20</v>
      </c>
      <c r="F899" t="s">
        <v>27</v>
      </c>
      <c r="G899" t="s">
        <v>23</v>
      </c>
      <c r="H899">
        <f t="shared" si="13"/>
        <v>898</v>
      </c>
      <c r="I899" t="s">
        <v>24</v>
      </c>
      <c r="J899" s="3">
        <v>16643</v>
      </c>
      <c r="K899" t="b">
        <v>1</v>
      </c>
      <c r="L899" t="b">
        <v>0</v>
      </c>
      <c r="M899" t="b">
        <v>0</v>
      </c>
    </row>
    <row r="900" spans="1:13" x14ac:dyDescent="0.3">
      <c r="A900">
        <v>45</v>
      </c>
      <c r="B900" t="s">
        <v>25</v>
      </c>
      <c r="C900" s="1">
        <v>2</v>
      </c>
      <c r="D900" t="s">
        <v>13</v>
      </c>
      <c r="E900" t="s">
        <v>20</v>
      </c>
      <c r="F900" t="s">
        <v>22</v>
      </c>
      <c r="G900" t="s">
        <v>16</v>
      </c>
      <c r="H900">
        <f t="shared" ref="H900:I963" si="14">H899+1</f>
        <v>899</v>
      </c>
      <c r="I900" t="s">
        <v>17</v>
      </c>
      <c r="J900" s="3">
        <v>18701</v>
      </c>
      <c r="K900" t="b">
        <v>1</v>
      </c>
      <c r="L900" t="b">
        <v>1</v>
      </c>
      <c r="M900" t="b">
        <v>0</v>
      </c>
    </row>
    <row r="901" spans="1:13" x14ac:dyDescent="0.3">
      <c r="A901">
        <v>27</v>
      </c>
      <c r="B901" t="s">
        <v>18</v>
      </c>
      <c r="C901" s="1">
        <v>5</v>
      </c>
      <c r="D901" t="s">
        <v>19</v>
      </c>
      <c r="E901" t="s">
        <v>20</v>
      </c>
      <c r="F901" t="s">
        <v>15</v>
      </c>
      <c r="G901" t="s">
        <v>23</v>
      </c>
      <c r="H901">
        <f t="shared" si="14"/>
        <v>900</v>
      </c>
      <c r="I901" t="s">
        <v>21</v>
      </c>
      <c r="J901" s="3">
        <v>11823</v>
      </c>
      <c r="K901" t="b">
        <v>0</v>
      </c>
      <c r="L901" t="b">
        <v>1</v>
      </c>
      <c r="M901" t="b">
        <v>1</v>
      </c>
    </row>
    <row r="902" spans="1:13" x14ac:dyDescent="0.3">
      <c r="A902">
        <v>56</v>
      </c>
      <c r="B902" t="s">
        <v>18</v>
      </c>
      <c r="C902" s="1">
        <v>3</v>
      </c>
      <c r="D902" t="s">
        <v>19</v>
      </c>
      <c r="E902" t="s">
        <v>26</v>
      </c>
      <c r="F902" t="s">
        <v>15</v>
      </c>
      <c r="G902" t="s">
        <v>29</v>
      </c>
      <c r="H902">
        <f t="shared" si="14"/>
        <v>901</v>
      </c>
      <c r="I902" t="s">
        <v>21</v>
      </c>
      <c r="J902" s="3">
        <v>16852</v>
      </c>
      <c r="K902" t="b">
        <v>0</v>
      </c>
      <c r="L902" t="b">
        <v>0</v>
      </c>
      <c r="M902" t="b">
        <v>1</v>
      </c>
    </row>
    <row r="903" spans="1:13" x14ac:dyDescent="0.3">
      <c r="A903">
        <v>34</v>
      </c>
      <c r="B903" t="s">
        <v>18</v>
      </c>
      <c r="C903" s="1">
        <v>9</v>
      </c>
      <c r="D903" t="s">
        <v>28</v>
      </c>
      <c r="E903" t="s">
        <v>20</v>
      </c>
      <c r="F903" t="s">
        <v>27</v>
      </c>
      <c r="G903" t="s">
        <v>16</v>
      </c>
      <c r="H903">
        <f t="shared" si="14"/>
        <v>902</v>
      </c>
      <c r="I903" t="s">
        <v>17</v>
      </c>
      <c r="J903" s="3">
        <v>17777</v>
      </c>
      <c r="K903" t="b">
        <v>1</v>
      </c>
      <c r="L903" t="b">
        <v>0</v>
      </c>
      <c r="M903" t="b">
        <v>0</v>
      </c>
    </row>
    <row r="904" spans="1:13" x14ac:dyDescent="0.3">
      <c r="A904">
        <v>56</v>
      </c>
      <c r="B904" t="s">
        <v>18</v>
      </c>
      <c r="C904" s="1">
        <v>4</v>
      </c>
      <c r="D904" t="s">
        <v>28</v>
      </c>
      <c r="E904" t="s">
        <v>20</v>
      </c>
      <c r="F904" t="s">
        <v>27</v>
      </c>
      <c r="G904" t="s">
        <v>16</v>
      </c>
      <c r="H904">
        <f t="shared" si="14"/>
        <v>903</v>
      </c>
      <c r="I904" t="s">
        <v>17</v>
      </c>
      <c r="J904" s="3">
        <v>14232</v>
      </c>
      <c r="K904" t="b">
        <v>0</v>
      </c>
      <c r="L904" t="b">
        <v>0</v>
      </c>
      <c r="M904" t="b">
        <v>1</v>
      </c>
    </row>
    <row r="905" spans="1:13" x14ac:dyDescent="0.3">
      <c r="A905">
        <v>39</v>
      </c>
      <c r="B905" t="s">
        <v>25</v>
      </c>
      <c r="C905" s="1">
        <v>6</v>
      </c>
      <c r="D905" t="s">
        <v>19</v>
      </c>
      <c r="E905" t="s">
        <v>14</v>
      </c>
      <c r="F905" t="s">
        <v>22</v>
      </c>
      <c r="G905" t="s">
        <v>29</v>
      </c>
      <c r="H905">
        <f t="shared" si="14"/>
        <v>904</v>
      </c>
      <c r="I905" t="s">
        <v>17</v>
      </c>
      <c r="J905" s="3">
        <v>16519</v>
      </c>
      <c r="K905" t="b">
        <v>1</v>
      </c>
      <c r="L905" t="b">
        <v>1</v>
      </c>
      <c r="M905" t="b">
        <v>1</v>
      </c>
    </row>
    <row r="906" spans="1:13" x14ac:dyDescent="0.3">
      <c r="A906">
        <v>43</v>
      </c>
      <c r="B906" t="s">
        <v>18</v>
      </c>
      <c r="C906" s="1">
        <v>2</v>
      </c>
      <c r="D906" t="s">
        <v>13</v>
      </c>
      <c r="E906" t="s">
        <v>14</v>
      </c>
      <c r="F906" t="s">
        <v>27</v>
      </c>
      <c r="G906" t="s">
        <v>29</v>
      </c>
      <c r="H906">
        <f t="shared" si="14"/>
        <v>905</v>
      </c>
      <c r="I906" t="s">
        <v>17</v>
      </c>
      <c r="J906" s="3">
        <v>11777</v>
      </c>
      <c r="K906" t="b">
        <v>1</v>
      </c>
      <c r="L906" t="b">
        <v>0</v>
      </c>
      <c r="M906" t="b">
        <v>1</v>
      </c>
    </row>
    <row r="907" spans="1:13" x14ac:dyDescent="0.3">
      <c r="A907">
        <v>61</v>
      </c>
      <c r="B907" t="s">
        <v>18</v>
      </c>
      <c r="C907" s="1">
        <v>6</v>
      </c>
      <c r="D907" t="s">
        <v>28</v>
      </c>
      <c r="E907" t="s">
        <v>20</v>
      </c>
      <c r="F907" t="s">
        <v>22</v>
      </c>
      <c r="G907" t="s">
        <v>29</v>
      </c>
      <c r="H907">
        <f t="shared" si="14"/>
        <v>906</v>
      </c>
      <c r="I907" t="s">
        <v>17</v>
      </c>
      <c r="J907" s="3">
        <v>11222</v>
      </c>
      <c r="K907" t="b">
        <v>0</v>
      </c>
      <c r="L907" t="b">
        <v>0</v>
      </c>
      <c r="M907" t="b">
        <v>0</v>
      </c>
    </row>
    <row r="908" spans="1:13" x14ac:dyDescent="0.3">
      <c r="A908">
        <v>42</v>
      </c>
      <c r="B908" t="s">
        <v>25</v>
      </c>
      <c r="C908" s="1">
        <v>3</v>
      </c>
      <c r="D908" t="s">
        <v>13</v>
      </c>
      <c r="E908" t="s">
        <v>14</v>
      </c>
      <c r="F908" t="s">
        <v>27</v>
      </c>
      <c r="G908" t="s">
        <v>16</v>
      </c>
      <c r="H908">
        <f t="shared" si="14"/>
        <v>907</v>
      </c>
      <c r="I908" t="s">
        <v>17</v>
      </c>
      <c r="J908" s="3">
        <v>17630</v>
      </c>
      <c r="K908" t="b">
        <v>0</v>
      </c>
      <c r="L908" t="b">
        <v>0</v>
      </c>
      <c r="M908" t="b">
        <v>0</v>
      </c>
    </row>
    <row r="909" spans="1:13" x14ac:dyDescent="0.3">
      <c r="A909">
        <v>34</v>
      </c>
      <c r="B909" t="s">
        <v>12</v>
      </c>
      <c r="C909" s="1">
        <v>9</v>
      </c>
      <c r="D909" t="s">
        <v>13</v>
      </c>
      <c r="E909" t="s">
        <v>14</v>
      </c>
      <c r="F909" t="s">
        <v>22</v>
      </c>
      <c r="G909" t="s">
        <v>29</v>
      </c>
      <c r="H909">
        <f t="shared" si="14"/>
        <v>908</v>
      </c>
      <c r="I909" t="s">
        <v>24</v>
      </c>
      <c r="J909" s="3">
        <v>11777</v>
      </c>
      <c r="K909" t="b">
        <v>0</v>
      </c>
      <c r="L909" t="b">
        <v>0</v>
      </c>
      <c r="M909" t="b">
        <v>1</v>
      </c>
    </row>
    <row r="910" spans="1:13" x14ac:dyDescent="0.3">
      <c r="A910">
        <v>30</v>
      </c>
      <c r="B910" t="s">
        <v>25</v>
      </c>
      <c r="C910" s="1">
        <v>2</v>
      </c>
      <c r="D910" t="s">
        <v>28</v>
      </c>
      <c r="E910" t="s">
        <v>20</v>
      </c>
      <c r="F910" t="s">
        <v>22</v>
      </c>
      <c r="G910" t="s">
        <v>29</v>
      </c>
      <c r="H910">
        <f t="shared" si="14"/>
        <v>909</v>
      </c>
      <c r="I910" t="s">
        <v>17</v>
      </c>
      <c r="J910" s="3">
        <v>19496</v>
      </c>
      <c r="K910" t="b">
        <v>0</v>
      </c>
      <c r="L910" t="b">
        <v>0</v>
      </c>
      <c r="M910" t="b">
        <v>1</v>
      </c>
    </row>
    <row r="911" spans="1:13" x14ac:dyDescent="0.3">
      <c r="A911">
        <v>37</v>
      </c>
      <c r="B911" t="s">
        <v>12</v>
      </c>
      <c r="C911" s="1">
        <v>9</v>
      </c>
      <c r="D911" t="s">
        <v>13</v>
      </c>
      <c r="E911" t="s">
        <v>20</v>
      </c>
      <c r="F911" t="s">
        <v>22</v>
      </c>
      <c r="G911" t="s">
        <v>23</v>
      </c>
      <c r="H911">
        <f t="shared" si="14"/>
        <v>910</v>
      </c>
      <c r="I911" t="s">
        <v>17</v>
      </c>
      <c r="J911" s="3">
        <v>17490</v>
      </c>
      <c r="K911" t="b">
        <v>1</v>
      </c>
      <c r="L911" t="b">
        <v>1</v>
      </c>
      <c r="M911" t="b">
        <v>1</v>
      </c>
    </row>
    <row r="912" spans="1:13" x14ac:dyDescent="0.3">
      <c r="A912">
        <v>42</v>
      </c>
      <c r="B912" t="s">
        <v>25</v>
      </c>
      <c r="C912" s="1">
        <v>5</v>
      </c>
      <c r="D912" t="s">
        <v>13</v>
      </c>
      <c r="E912" t="s">
        <v>20</v>
      </c>
      <c r="F912" t="s">
        <v>22</v>
      </c>
      <c r="G912" t="s">
        <v>23</v>
      </c>
      <c r="H912">
        <f t="shared" si="14"/>
        <v>911</v>
      </c>
      <c r="I912" t="s">
        <v>24</v>
      </c>
      <c r="J912" s="3">
        <v>14859</v>
      </c>
      <c r="K912" t="b">
        <v>1</v>
      </c>
      <c r="L912" t="b">
        <v>0</v>
      </c>
      <c r="M912" t="b">
        <v>1</v>
      </c>
    </row>
    <row r="913" spans="1:13" x14ac:dyDescent="0.3">
      <c r="A913">
        <v>21</v>
      </c>
      <c r="B913" t="s">
        <v>25</v>
      </c>
      <c r="C913" s="1">
        <v>8</v>
      </c>
      <c r="D913" t="s">
        <v>19</v>
      </c>
      <c r="E913" t="s">
        <v>20</v>
      </c>
      <c r="F913" t="s">
        <v>15</v>
      </c>
      <c r="G913" t="s">
        <v>16</v>
      </c>
      <c r="H913">
        <f t="shared" si="14"/>
        <v>912</v>
      </c>
      <c r="I913" t="s">
        <v>17</v>
      </c>
      <c r="J913" s="3">
        <v>18893</v>
      </c>
      <c r="K913" t="b">
        <v>1</v>
      </c>
      <c r="L913" t="b">
        <v>0</v>
      </c>
      <c r="M913" t="b">
        <v>1</v>
      </c>
    </row>
    <row r="914" spans="1:13" x14ac:dyDescent="0.3">
      <c r="A914">
        <v>27</v>
      </c>
      <c r="B914" t="s">
        <v>18</v>
      </c>
      <c r="C914" s="1">
        <v>2</v>
      </c>
      <c r="D914" t="s">
        <v>13</v>
      </c>
      <c r="E914" t="s">
        <v>26</v>
      </c>
      <c r="F914" t="s">
        <v>22</v>
      </c>
      <c r="G914" t="s">
        <v>23</v>
      </c>
      <c r="H914">
        <f t="shared" si="14"/>
        <v>913</v>
      </c>
      <c r="I914" t="s">
        <v>21</v>
      </c>
      <c r="J914" s="3">
        <v>18118</v>
      </c>
      <c r="K914" t="b">
        <v>0</v>
      </c>
      <c r="L914" t="b">
        <v>1</v>
      </c>
      <c r="M914" t="b">
        <v>1</v>
      </c>
    </row>
    <row r="915" spans="1:13" x14ac:dyDescent="0.3">
      <c r="A915">
        <v>20</v>
      </c>
      <c r="B915" t="s">
        <v>12</v>
      </c>
      <c r="C915" s="1">
        <v>6</v>
      </c>
      <c r="D915" t="s">
        <v>19</v>
      </c>
      <c r="E915" t="s">
        <v>26</v>
      </c>
      <c r="F915" t="s">
        <v>27</v>
      </c>
      <c r="G915" t="s">
        <v>23</v>
      </c>
      <c r="H915">
        <f t="shared" si="14"/>
        <v>914</v>
      </c>
      <c r="I915" t="s">
        <v>21</v>
      </c>
      <c r="J915" s="3">
        <v>12989</v>
      </c>
      <c r="K915" t="b">
        <v>1</v>
      </c>
      <c r="L915" t="b">
        <v>0</v>
      </c>
      <c r="M915" t="b">
        <v>0</v>
      </c>
    </row>
    <row r="916" spans="1:13" x14ac:dyDescent="0.3">
      <c r="A916">
        <v>58</v>
      </c>
      <c r="B916" t="s">
        <v>18</v>
      </c>
      <c r="C916" s="1">
        <v>3</v>
      </c>
      <c r="D916" t="s">
        <v>28</v>
      </c>
      <c r="E916" t="s">
        <v>20</v>
      </c>
      <c r="F916" t="s">
        <v>15</v>
      </c>
      <c r="G916" t="s">
        <v>29</v>
      </c>
      <c r="H916">
        <f t="shared" si="14"/>
        <v>915</v>
      </c>
      <c r="I916" t="s">
        <v>17</v>
      </c>
      <c r="J916" s="3">
        <v>18343</v>
      </c>
      <c r="K916" t="b">
        <v>0</v>
      </c>
      <c r="L916" t="b">
        <v>0</v>
      </c>
      <c r="M916" t="b">
        <v>0</v>
      </c>
    </row>
    <row r="917" spans="1:13" x14ac:dyDescent="0.3">
      <c r="A917">
        <v>62</v>
      </c>
      <c r="B917" t="s">
        <v>12</v>
      </c>
      <c r="C917" s="1">
        <v>5</v>
      </c>
      <c r="D917" t="s">
        <v>28</v>
      </c>
      <c r="E917" t="s">
        <v>14</v>
      </c>
      <c r="F917" t="s">
        <v>15</v>
      </c>
      <c r="G917" t="s">
        <v>29</v>
      </c>
      <c r="H917">
        <f t="shared" si="14"/>
        <v>916</v>
      </c>
      <c r="I917" t="s">
        <v>24</v>
      </c>
      <c r="J917" s="3">
        <v>11325</v>
      </c>
      <c r="K917" t="b">
        <v>0</v>
      </c>
      <c r="L917" t="b">
        <v>1</v>
      </c>
      <c r="M917" t="b">
        <v>1</v>
      </c>
    </row>
    <row r="918" spans="1:13" x14ac:dyDescent="0.3">
      <c r="A918">
        <v>35</v>
      </c>
      <c r="B918" t="s">
        <v>25</v>
      </c>
      <c r="C918" s="1">
        <v>8</v>
      </c>
      <c r="D918" t="s">
        <v>19</v>
      </c>
      <c r="E918" t="s">
        <v>20</v>
      </c>
      <c r="F918" t="s">
        <v>22</v>
      </c>
      <c r="G918" t="s">
        <v>23</v>
      </c>
      <c r="H918">
        <f t="shared" si="14"/>
        <v>917</v>
      </c>
      <c r="I918" t="s">
        <v>21</v>
      </c>
      <c r="J918" s="3">
        <v>19493</v>
      </c>
      <c r="K918" t="b">
        <v>0</v>
      </c>
      <c r="L918" t="b">
        <v>0</v>
      </c>
      <c r="M918" t="b">
        <v>0</v>
      </c>
    </row>
    <row r="919" spans="1:13" x14ac:dyDescent="0.3">
      <c r="A919">
        <v>64</v>
      </c>
      <c r="B919" t="s">
        <v>25</v>
      </c>
      <c r="C919" s="1">
        <v>1</v>
      </c>
      <c r="D919" t="s">
        <v>28</v>
      </c>
      <c r="E919" t="s">
        <v>20</v>
      </c>
      <c r="F919" t="s">
        <v>15</v>
      </c>
      <c r="G919" t="s">
        <v>23</v>
      </c>
      <c r="H919">
        <f t="shared" si="14"/>
        <v>918</v>
      </c>
      <c r="I919" t="s">
        <v>24</v>
      </c>
      <c r="J919" s="3">
        <v>19903</v>
      </c>
      <c r="K919" t="b">
        <v>1</v>
      </c>
      <c r="L919" t="b">
        <v>1</v>
      </c>
      <c r="M919" t="b">
        <v>1</v>
      </c>
    </row>
    <row r="920" spans="1:13" x14ac:dyDescent="0.3">
      <c r="A920">
        <v>53</v>
      </c>
      <c r="B920" t="s">
        <v>12</v>
      </c>
      <c r="C920" s="1">
        <v>5</v>
      </c>
      <c r="D920" t="s">
        <v>13</v>
      </c>
      <c r="E920" t="s">
        <v>14</v>
      </c>
      <c r="F920" t="s">
        <v>22</v>
      </c>
      <c r="G920" t="s">
        <v>23</v>
      </c>
      <c r="H920">
        <f t="shared" si="14"/>
        <v>919</v>
      </c>
      <c r="I920" t="s">
        <v>21</v>
      </c>
      <c r="J920" s="3">
        <v>15127</v>
      </c>
      <c r="K920" t="b">
        <v>0</v>
      </c>
      <c r="L920" t="b">
        <v>0</v>
      </c>
      <c r="M920" t="b">
        <v>1</v>
      </c>
    </row>
    <row r="921" spans="1:13" x14ac:dyDescent="0.3">
      <c r="A921">
        <v>64</v>
      </c>
      <c r="B921" t="s">
        <v>18</v>
      </c>
      <c r="C921" s="1">
        <v>3</v>
      </c>
      <c r="D921" t="s">
        <v>13</v>
      </c>
      <c r="E921" t="s">
        <v>26</v>
      </c>
      <c r="F921" t="s">
        <v>27</v>
      </c>
      <c r="G921" t="s">
        <v>16</v>
      </c>
      <c r="H921">
        <f t="shared" si="14"/>
        <v>920</v>
      </c>
      <c r="I921" t="s">
        <v>17</v>
      </c>
      <c r="J921" s="3">
        <v>18998</v>
      </c>
      <c r="K921" t="b">
        <v>0</v>
      </c>
      <c r="L921" t="b">
        <v>1</v>
      </c>
      <c r="M921" t="b">
        <v>0</v>
      </c>
    </row>
    <row r="922" spans="1:13" x14ac:dyDescent="0.3">
      <c r="A922">
        <v>39</v>
      </c>
      <c r="B922" t="s">
        <v>18</v>
      </c>
      <c r="C922" s="1">
        <v>4</v>
      </c>
      <c r="D922" t="s">
        <v>13</v>
      </c>
      <c r="E922" t="s">
        <v>20</v>
      </c>
      <c r="F922" t="s">
        <v>22</v>
      </c>
      <c r="G922" t="s">
        <v>16</v>
      </c>
      <c r="H922">
        <f t="shared" si="14"/>
        <v>921</v>
      </c>
      <c r="I922" t="s">
        <v>24</v>
      </c>
      <c r="J922" s="3">
        <v>12722</v>
      </c>
      <c r="K922" t="b">
        <v>0</v>
      </c>
      <c r="L922" t="b">
        <v>1</v>
      </c>
      <c r="M922" t="b">
        <v>0</v>
      </c>
    </row>
    <row r="923" spans="1:13" x14ac:dyDescent="0.3">
      <c r="A923">
        <v>51</v>
      </c>
      <c r="B923" t="s">
        <v>18</v>
      </c>
      <c r="C923" s="1">
        <v>2</v>
      </c>
      <c r="D923" t="s">
        <v>28</v>
      </c>
      <c r="E923" t="s">
        <v>20</v>
      </c>
      <c r="F923" t="s">
        <v>15</v>
      </c>
      <c r="G923" t="s">
        <v>16</v>
      </c>
      <c r="H923">
        <f t="shared" si="14"/>
        <v>922</v>
      </c>
      <c r="I923" t="s">
        <v>24</v>
      </c>
      <c r="J923" s="3">
        <v>14656</v>
      </c>
      <c r="K923" t="b">
        <v>0</v>
      </c>
      <c r="L923" t="b">
        <v>0</v>
      </c>
      <c r="M923" t="b">
        <v>1</v>
      </c>
    </row>
    <row r="924" spans="1:13" x14ac:dyDescent="0.3">
      <c r="A924">
        <v>64</v>
      </c>
      <c r="B924" t="s">
        <v>18</v>
      </c>
      <c r="C924" s="1">
        <v>9</v>
      </c>
      <c r="D924" t="s">
        <v>13</v>
      </c>
      <c r="E924" t="s">
        <v>26</v>
      </c>
      <c r="F924" t="s">
        <v>27</v>
      </c>
      <c r="G924" t="s">
        <v>23</v>
      </c>
      <c r="H924">
        <f t="shared" si="14"/>
        <v>923</v>
      </c>
      <c r="I924" t="s">
        <v>24</v>
      </c>
      <c r="J924" s="3">
        <v>11325</v>
      </c>
      <c r="K924" t="b">
        <v>0</v>
      </c>
      <c r="L924" t="b">
        <v>1</v>
      </c>
      <c r="M924" t="b">
        <v>1</v>
      </c>
    </row>
    <row r="925" spans="1:13" x14ac:dyDescent="0.3">
      <c r="A925">
        <v>25</v>
      </c>
      <c r="B925" t="s">
        <v>25</v>
      </c>
      <c r="C925" s="1">
        <v>3</v>
      </c>
      <c r="D925" t="s">
        <v>28</v>
      </c>
      <c r="E925" t="s">
        <v>26</v>
      </c>
      <c r="F925" t="s">
        <v>22</v>
      </c>
      <c r="G925" t="s">
        <v>23</v>
      </c>
      <c r="H925">
        <f t="shared" si="14"/>
        <v>924</v>
      </c>
      <c r="I925" t="s">
        <v>21</v>
      </c>
      <c r="J925" s="3">
        <v>14133</v>
      </c>
      <c r="K925" t="b">
        <v>0</v>
      </c>
      <c r="L925" t="b">
        <v>1</v>
      </c>
      <c r="M925" t="b">
        <v>0</v>
      </c>
    </row>
    <row r="926" spans="1:13" x14ac:dyDescent="0.3">
      <c r="A926">
        <v>57</v>
      </c>
      <c r="B926" t="s">
        <v>25</v>
      </c>
      <c r="C926" s="1">
        <v>2</v>
      </c>
      <c r="D926" t="s">
        <v>13</v>
      </c>
      <c r="E926" t="s">
        <v>14</v>
      </c>
      <c r="F926" t="s">
        <v>27</v>
      </c>
      <c r="G926" t="s">
        <v>16</v>
      </c>
      <c r="H926">
        <f t="shared" si="14"/>
        <v>925</v>
      </c>
      <c r="I926" t="s">
        <v>21</v>
      </c>
      <c r="J926" s="3">
        <v>19351</v>
      </c>
      <c r="K926" t="b">
        <v>0</v>
      </c>
      <c r="L926" t="b">
        <v>0</v>
      </c>
      <c r="M926" t="b">
        <v>0</v>
      </c>
    </row>
    <row r="927" spans="1:13" x14ac:dyDescent="0.3">
      <c r="A927">
        <v>61</v>
      </c>
      <c r="B927" t="s">
        <v>25</v>
      </c>
      <c r="C927" s="1">
        <v>9</v>
      </c>
      <c r="D927" t="s">
        <v>19</v>
      </c>
      <c r="E927" t="s">
        <v>26</v>
      </c>
      <c r="F927" t="s">
        <v>27</v>
      </c>
      <c r="G927" t="s">
        <v>16</v>
      </c>
      <c r="H927">
        <f t="shared" si="14"/>
        <v>926</v>
      </c>
      <c r="I927" t="s">
        <v>21</v>
      </c>
      <c r="J927" s="3">
        <v>12869</v>
      </c>
      <c r="K927" t="b">
        <v>0</v>
      </c>
      <c r="L927" t="b">
        <v>0</v>
      </c>
      <c r="M927" t="b">
        <v>1</v>
      </c>
    </row>
    <row r="928" spans="1:13" x14ac:dyDescent="0.3">
      <c r="A928">
        <v>36</v>
      </c>
      <c r="B928" t="s">
        <v>25</v>
      </c>
      <c r="C928" s="1">
        <v>7</v>
      </c>
      <c r="D928" t="s">
        <v>28</v>
      </c>
      <c r="E928" t="s">
        <v>26</v>
      </c>
      <c r="F928" t="s">
        <v>15</v>
      </c>
      <c r="G928" t="s">
        <v>23</v>
      </c>
      <c r="H928">
        <f t="shared" si="14"/>
        <v>927</v>
      </c>
      <c r="I928" t="s">
        <v>17</v>
      </c>
      <c r="J928" s="3">
        <v>11242</v>
      </c>
      <c r="K928" t="b">
        <v>0</v>
      </c>
      <c r="L928" t="b">
        <v>1</v>
      </c>
      <c r="M928" t="b">
        <v>1</v>
      </c>
    </row>
    <row r="929" spans="1:13" x14ac:dyDescent="0.3">
      <c r="A929">
        <v>59</v>
      </c>
      <c r="B929" t="s">
        <v>25</v>
      </c>
      <c r="C929" s="1">
        <v>6</v>
      </c>
      <c r="D929" t="s">
        <v>28</v>
      </c>
      <c r="E929" t="s">
        <v>26</v>
      </c>
      <c r="F929" t="s">
        <v>27</v>
      </c>
      <c r="G929" t="s">
        <v>29</v>
      </c>
      <c r="H929">
        <f t="shared" si="14"/>
        <v>928</v>
      </c>
      <c r="I929" t="s">
        <v>21</v>
      </c>
      <c r="J929" s="3">
        <v>18539</v>
      </c>
      <c r="K929" t="b">
        <v>0</v>
      </c>
      <c r="L929" t="b">
        <v>0</v>
      </c>
      <c r="M929" t="b">
        <v>1</v>
      </c>
    </row>
    <row r="930" spans="1:13" x14ac:dyDescent="0.3">
      <c r="A930">
        <v>58</v>
      </c>
      <c r="B930" t="s">
        <v>18</v>
      </c>
      <c r="C930" s="1">
        <v>1</v>
      </c>
      <c r="D930" t="s">
        <v>13</v>
      </c>
      <c r="E930" t="s">
        <v>14</v>
      </c>
      <c r="F930" t="s">
        <v>15</v>
      </c>
      <c r="G930" t="s">
        <v>16</v>
      </c>
      <c r="H930">
        <f t="shared" si="14"/>
        <v>929</v>
      </c>
      <c r="I930" t="s">
        <v>17</v>
      </c>
      <c r="J930" s="3">
        <v>11831</v>
      </c>
      <c r="K930" t="b">
        <v>0</v>
      </c>
      <c r="L930" t="b">
        <v>1</v>
      </c>
      <c r="M930" t="b">
        <v>0</v>
      </c>
    </row>
    <row r="931" spans="1:13" x14ac:dyDescent="0.3">
      <c r="A931">
        <v>54</v>
      </c>
      <c r="B931" t="s">
        <v>18</v>
      </c>
      <c r="C931" s="1">
        <v>5</v>
      </c>
      <c r="D931" t="s">
        <v>28</v>
      </c>
      <c r="E931" t="s">
        <v>26</v>
      </c>
      <c r="F931" t="s">
        <v>27</v>
      </c>
      <c r="G931" t="s">
        <v>23</v>
      </c>
      <c r="H931">
        <f t="shared" si="14"/>
        <v>930</v>
      </c>
      <c r="I931" t="s">
        <v>24</v>
      </c>
      <c r="J931" s="3">
        <v>11569</v>
      </c>
      <c r="K931" t="b">
        <v>0</v>
      </c>
      <c r="L931" t="b">
        <v>1</v>
      </c>
      <c r="M931" t="b">
        <v>1</v>
      </c>
    </row>
    <row r="932" spans="1:13" x14ac:dyDescent="0.3">
      <c r="A932">
        <v>23</v>
      </c>
      <c r="B932" t="s">
        <v>18</v>
      </c>
      <c r="C932" s="1">
        <v>3</v>
      </c>
      <c r="D932" t="s">
        <v>28</v>
      </c>
      <c r="E932" t="s">
        <v>26</v>
      </c>
      <c r="F932" t="s">
        <v>22</v>
      </c>
      <c r="G932" t="s">
        <v>23</v>
      </c>
      <c r="H932">
        <f t="shared" si="14"/>
        <v>931</v>
      </c>
      <c r="I932" t="s">
        <v>24</v>
      </c>
      <c r="J932" s="3">
        <v>17246</v>
      </c>
      <c r="K932" t="b">
        <v>1</v>
      </c>
      <c r="L932" t="b">
        <v>0</v>
      </c>
      <c r="M932" t="b">
        <v>0</v>
      </c>
    </row>
    <row r="933" spans="1:13" x14ac:dyDescent="0.3">
      <c r="A933">
        <v>43</v>
      </c>
      <c r="B933" t="s">
        <v>18</v>
      </c>
      <c r="C933" s="1">
        <v>1</v>
      </c>
      <c r="D933" t="s">
        <v>19</v>
      </c>
      <c r="E933" t="s">
        <v>14</v>
      </c>
      <c r="F933" t="s">
        <v>27</v>
      </c>
      <c r="G933" t="s">
        <v>29</v>
      </c>
      <c r="H933">
        <f t="shared" si="14"/>
        <v>932</v>
      </c>
      <c r="I933" t="s">
        <v>17</v>
      </c>
      <c r="J933" s="3">
        <v>11918</v>
      </c>
      <c r="K933" t="b">
        <v>1</v>
      </c>
      <c r="L933" t="b">
        <v>0</v>
      </c>
      <c r="M933" t="b">
        <v>1</v>
      </c>
    </row>
    <row r="934" spans="1:13" x14ac:dyDescent="0.3">
      <c r="A934">
        <v>51</v>
      </c>
      <c r="B934" t="s">
        <v>25</v>
      </c>
      <c r="C934" s="1">
        <v>4</v>
      </c>
      <c r="D934" t="s">
        <v>19</v>
      </c>
      <c r="E934" t="s">
        <v>26</v>
      </c>
      <c r="F934" t="s">
        <v>22</v>
      </c>
      <c r="G934" t="s">
        <v>23</v>
      </c>
      <c r="H934">
        <f t="shared" si="14"/>
        <v>933</v>
      </c>
      <c r="I934" t="s">
        <v>21</v>
      </c>
      <c r="J934" s="3">
        <v>16416</v>
      </c>
      <c r="K934" t="b">
        <v>0</v>
      </c>
      <c r="L934" t="b">
        <v>1</v>
      </c>
      <c r="M934" t="b">
        <v>0</v>
      </c>
    </row>
    <row r="935" spans="1:13" x14ac:dyDescent="0.3">
      <c r="A935">
        <v>62</v>
      </c>
      <c r="B935" t="s">
        <v>25</v>
      </c>
      <c r="C935" s="1">
        <v>2</v>
      </c>
      <c r="D935" t="s">
        <v>13</v>
      </c>
      <c r="E935" t="s">
        <v>26</v>
      </c>
      <c r="F935" t="s">
        <v>22</v>
      </c>
      <c r="G935" t="s">
        <v>23</v>
      </c>
      <c r="H935">
        <f t="shared" si="14"/>
        <v>934</v>
      </c>
      <c r="I935" t="s">
        <v>17</v>
      </c>
      <c r="J935" s="3">
        <v>13232</v>
      </c>
      <c r="K935" t="b">
        <v>0</v>
      </c>
      <c r="L935" t="b">
        <v>0</v>
      </c>
      <c r="M935" t="b">
        <v>0</v>
      </c>
    </row>
    <row r="936" spans="1:13" x14ac:dyDescent="0.3">
      <c r="A936">
        <v>23</v>
      </c>
      <c r="B936" t="s">
        <v>25</v>
      </c>
      <c r="C936" s="1">
        <v>2</v>
      </c>
      <c r="D936" t="s">
        <v>19</v>
      </c>
      <c r="E936" t="s">
        <v>14</v>
      </c>
      <c r="F936" t="s">
        <v>27</v>
      </c>
      <c r="G936" t="s">
        <v>16</v>
      </c>
      <c r="H936">
        <f t="shared" si="14"/>
        <v>935</v>
      </c>
      <c r="I936" t="s">
        <v>24</v>
      </c>
      <c r="J936" s="3">
        <v>13758</v>
      </c>
      <c r="K936" t="b">
        <v>0</v>
      </c>
      <c r="L936" t="b">
        <v>0</v>
      </c>
      <c r="M936" t="b">
        <v>0</v>
      </c>
    </row>
    <row r="937" spans="1:13" x14ac:dyDescent="0.3">
      <c r="A937">
        <v>54</v>
      </c>
      <c r="B937" t="s">
        <v>12</v>
      </c>
      <c r="C937" s="1">
        <v>3</v>
      </c>
      <c r="D937" t="s">
        <v>13</v>
      </c>
      <c r="E937" t="s">
        <v>20</v>
      </c>
      <c r="F937" t="s">
        <v>22</v>
      </c>
      <c r="G937" t="s">
        <v>16</v>
      </c>
      <c r="H937">
        <f t="shared" si="14"/>
        <v>936</v>
      </c>
      <c r="I937" t="s">
        <v>24</v>
      </c>
      <c r="J937" s="3">
        <v>15997</v>
      </c>
      <c r="K937" t="b">
        <v>1</v>
      </c>
      <c r="L937" t="b">
        <v>1</v>
      </c>
      <c r="M937" t="b">
        <v>0</v>
      </c>
    </row>
    <row r="938" spans="1:13" x14ac:dyDescent="0.3">
      <c r="A938">
        <v>50</v>
      </c>
      <c r="B938" t="s">
        <v>18</v>
      </c>
      <c r="C938" s="1">
        <v>8</v>
      </c>
      <c r="D938" t="s">
        <v>13</v>
      </c>
      <c r="E938" t="s">
        <v>14</v>
      </c>
      <c r="F938" t="s">
        <v>27</v>
      </c>
      <c r="G938" t="s">
        <v>29</v>
      </c>
      <c r="H938">
        <f t="shared" si="14"/>
        <v>937</v>
      </c>
      <c r="I938" t="s">
        <v>17</v>
      </c>
      <c r="J938" s="3">
        <v>12355</v>
      </c>
      <c r="K938" t="b">
        <v>1</v>
      </c>
      <c r="L938" t="b">
        <v>1</v>
      </c>
      <c r="M938" t="b">
        <v>1</v>
      </c>
    </row>
    <row r="939" spans="1:13" x14ac:dyDescent="0.3">
      <c r="A939">
        <v>39</v>
      </c>
      <c r="B939" t="s">
        <v>18</v>
      </c>
      <c r="C939" s="1">
        <v>8</v>
      </c>
      <c r="D939" t="s">
        <v>13</v>
      </c>
      <c r="E939" t="s">
        <v>26</v>
      </c>
      <c r="F939" t="s">
        <v>27</v>
      </c>
      <c r="G939" t="s">
        <v>29</v>
      </c>
      <c r="H939">
        <f t="shared" si="14"/>
        <v>938</v>
      </c>
      <c r="I939" t="s">
        <v>21</v>
      </c>
      <c r="J939" s="3">
        <v>19589</v>
      </c>
      <c r="K939" t="b">
        <v>1</v>
      </c>
      <c r="L939" t="b">
        <v>1</v>
      </c>
      <c r="M939" t="b">
        <v>0</v>
      </c>
    </row>
    <row r="940" spans="1:13" x14ac:dyDescent="0.3">
      <c r="A940">
        <v>38</v>
      </c>
      <c r="B940" t="s">
        <v>25</v>
      </c>
      <c r="C940" s="1">
        <v>7</v>
      </c>
      <c r="D940" t="s">
        <v>28</v>
      </c>
      <c r="E940" t="s">
        <v>26</v>
      </c>
      <c r="F940" t="s">
        <v>22</v>
      </c>
      <c r="G940" t="s">
        <v>23</v>
      </c>
      <c r="H940">
        <f t="shared" si="14"/>
        <v>939</v>
      </c>
      <c r="I940" t="s">
        <v>21</v>
      </c>
      <c r="J940" s="3">
        <v>11824</v>
      </c>
      <c r="K940" t="b">
        <v>0</v>
      </c>
      <c r="L940" t="b">
        <v>1</v>
      </c>
      <c r="M940" t="b">
        <v>0</v>
      </c>
    </row>
    <row r="941" spans="1:13" x14ac:dyDescent="0.3">
      <c r="A941">
        <v>23</v>
      </c>
      <c r="B941" t="s">
        <v>18</v>
      </c>
      <c r="C941" s="1">
        <v>6</v>
      </c>
      <c r="D941" t="s">
        <v>19</v>
      </c>
      <c r="E941" t="s">
        <v>26</v>
      </c>
      <c r="F941" t="s">
        <v>22</v>
      </c>
      <c r="G941" t="s">
        <v>16</v>
      </c>
      <c r="H941">
        <f t="shared" si="14"/>
        <v>940</v>
      </c>
      <c r="I941" t="s">
        <v>17</v>
      </c>
      <c r="J941" s="3">
        <v>17280</v>
      </c>
      <c r="K941" t="b">
        <v>0</v>
      </c>
      <c r="L941" t="b">
        <v>1</v>
      </c>
      <c r="M941" t="b">
        <v>0</v>
      </c>
    </row>
    <row r="942" spans="1:13" x14ac:dyDescent="0.3">
      <c r="A942">
        <v>23</v>
      </c>
      <c r="B942" t="s">
        <v>18</v>
      </c>
      <c r="C942" s="1">
        <v>9</v>
      </c>
      <c r="D942" t="s">
        <v>13</v>
      </c>
      <c r="E942" t="s">
        <v>14</v>
      </c>
      <c r="F942" t="s">
        <v>15</v>
      </c>
      <c r="G942" t="s">
        <v>29</v>
      </c>
      <c r="H942">
        <f t="shared" si="14"/>
        <v>941</v>
      </c>
      <c r="I942" t="s">
        <v>17</v>
      </c>
      <c r="J942" s="3">
        <v>14060</v>
      </c>
      <c r="K942" t="b">
        <v>0</v>
      </c>
      <c r="L942" t="b">
        <v>1</v>
      </c>
      <c r="M942" t="b">
        <v>1</v>
      </c>
    </row>
    <row r="943" spans="1:13" x14ac:dyDescent="0.3">
      <c r="A943">
        <v>21</v>
      </c>
      <c r="B943" t="s">
        <v>25</v>
      </c>
      <c r="C943" s="1">
        <v>4</v>
      </c>
      <c r="D943" t="s">
        <v>19</v>
      </c>
      <c r="E943" t="s">
        <v>26</v>
      </c>
      <c r="F943" t="s">
        <v>22</v>
      </c>
      <c r="G943" t="s">
        <v>29</v>
      </c>
      <c r="H943">
        <f t="shared" si="14"/>
        <v>942</v>
      </c>
      <c r="I943" t="s">
        <v>21</v>
      </c>
      <c r="J943" s="3">
        <v>15324</v>
      </c>
      <c r="K943" t="b">
        <v>0</v>
      </c>
      <c r="L943" t="b">
        <v>0</v>
      </c>
      <c r="M943" t="b">
        <v>1</v>
      </c>
    </row>
    <row r="944" spans="1:13" x14ac:dyDescent="0.3">
      <c r="A944">
        <v>47</v>
      </c>
      <c r="B944" t="s">
        <v>12</v>
      </c>
      <c r="C944" s="1">
        <v>1</v>
      </c>
      <c r="D944" t="s">
        <v>13</v>
      </c>
      <c r="E944" t="s">
        <v>26</v>
      </c>
      <c r="F944" t="s">
        <v>15</v>
      </c>
      <c r="G944" t="s">
        <v>29</v>
      </c>
      <c r="H944">
        <f t="shared" si="14"/>
        <v>943</v>
      </c>
      <c r="I944" t="s">
        <v>24</v>
      </c>
      <c r="J944" s="3">
        <v>10404</v>
      </c>
      <c r="K944" t="b">
        <v>1</v>
      </c>
      <c r="L944" t="b">
        <v>1</v>
      </c>
      <c r="M944" t="b">
        <v>1</v>
      </c>
    </row>
    <row r="945" spans="1:13" x14ac:dyDescent="0.3">
      <c r="A945">
        <v>28</v>
      </c>
      <c r="B945" t="s">
        <v>12</v>
      </c>
      <c r="C945" s="1">
        <v>8</v>
      </c>
      <c r="D945" t="s">
        <v>19</v>
      </c>
      <c r="E945" t="s">
        <v>14</v>
      </c>
      <c r="F945" t="s">
        <v>22</v>
      </c>
      <c r="G945" t="s">
        <v>23</v>
      </c>
      <c r="H945">
        <f t="shared" si="14"/>
        <v>944</v>
      </c>
      <c r="I945" t="s">
        <v>17</v>
      </c>
      <c r="J945" s="3">
        <v>11721</v>
      </c>
      <c r="K945" t="b">
        <v>0</v>
      </c>
      <c r="L945" t="b">
        <v>0</v>
      </c>
      <c r="M945" t="b">
        <v>1</v>
      </c>
    </row>
    <row r="946" spans="1:13" x14ac:dyDescent="0.3">
      <c r="A946">
        <v>47</v>
      </c>
      <c r="B946" t="s">
        <v>12</v>
      </c>
      <c r="C946" s="1">
        <v>7</v>
      </c>
      <c r="D946" t="s">
        <v>19</v>
      </c>
      <c r="E946" t="s">
        <v>20</v>
      </c>
      <c r="F946" t="s">
        <v>27</v>
      </c>
      <c r="G946" t="s">
        <v>16</v>
      </c>
      <c r="H946">
        <f t="shared" si="14"/>
        <v>945</v>
      </c>
      <c r="I946" t="s">
        <v>21</v>
      </c>
      <c r="J946" s="3">
        <v>15316</v>
      </c>
      <c r="K946" t="b">
        <v>1</v>
      </c>
      <c r="L946" t="b">
        <v>0</v>
      </c>
      <c r="M946" t="b">
        <v>1</v>
      </c>
    </row>
    <row r="947" spans="1:13" x14ac:dyDescent="0.3">
      <c r="A947">
        <v>48</v>
      </c>
      <c r="B947" t="s">
        <v>25</v>
      </c>
      <c r="C947" s="1">
        <v>7</v>
      </c>
      <c r="D947" t="s">
        <v>13</v>
      </c>
      <c r="E947" t="s">
        <v>20</v>
      </c>
      <c r="F947" t="s">
        <v>22</v>
      </c>
      <c r="G947" t="s">
        <v>29</v>
      </c>
      <c r="H947">
        <f t="shared" si="14"/>
        <v>946</v>
      </c>
      <c r="I947" t="s">
        <v>21</v>
      </c>
      <c r="J947" s="3">
        <v>13845</v>
      </c>
      <c r="K947" t="b">
        <v>1</v>
      </c>
      <c r="L947" t="b">
        <v>1</v>
      </c>
      <c r="M947" t="b">
        <v>1</v>
      </c>
    </row>
    <row r="948" spans="1:13" x14ac:dyDescent="0.3">
      <c r="A948">
        <v>41</v>
      </c>
      <c r="B948" t="s">
        <v>18</v>
      </c>
      <c r="C948" s="1">
        <v>3</v>
      </c>
      <c r="D948" t="s">
        <v>28</v>
      </c>
      <c r="E948" t="s">
        <v>26</v>
      </c>
      <c r="F948" t="s">
        <v>27</v>
      </c>
      <c r="G948" t="s">
        <v>16</v>
      </c>
      <c r="H948">
        <f t="shared" si="14"/>
        <v>947</v>
      </c>
      <c r="I948" t="s">
        <v>24</v>
      </c>
      <c r="J948" s="3">
        <v>14210</v>
      </c>
      <c r="K948" t="b">
        <v>0</v>
      </c>
      <c r="L948" t="b">
        <v>0</v>
      </c>
      <c r="M948" t="b">
        <v>0</v>
      </c>
    </row>
    <row r="949" spans="1:13" x14ac:dyDescent="0.3">
      <c r="A949">
        <v>26</v>
      </c>
      <c r="B949" t="s">
        <v>25</v>
      </c>
      <c r="C949" s="1">
        <v>4</v>
      </c>
      <c r="D949" t="s">
        <v>19</v>
      </c>
      <c r="E949" t="s">
        <v>14</v>
      </c>
      <c r="F949" t="s">
        <v>27</v>
      </c>
      <c r="G949" t="s">
        <v>29</v>
      </c>
      <c r="H949">
        <f t="shared" si="14"/>
        <v>948</v>
      </c>
      <c r="I949" t="s">
        <v>24</v>
      </c>
      <c r="J949" s="3">
        <v>10064</v>
      </c>
      <c r="K949" t="b">
        <v>1</v>
      </c>
      <c r="L949" t="b">
        <v>1</v>
      </c>
      <c r="M949" t="b">
        <v>0</v>
      </c>
    </row>
    <row r="950" spans="1:13" x14ac:dyDescent="0.3">
      <c r="A950">
        <v>20</v>
      </c>
      <c r="B950" t="s">
        <v>25</v>
      </c>
      <c r="C950" s="1">
        <v>9</v>
      </c>
      <c r="D950" t="s">
        <v>28</v>
      </c>
      <c r="E950" t="s">
        <v>26</v>
      </c>
      <c r="F950" t="s">
        <v>27</v>
      </c>
      <c r="G950" t="s">
        <v>29</v>
      </c>
      <c r="H950">
        <f t="shared" si="14"/>
        <v>949</v>
      </c>
      <c r="I950" t="s">
        <v>24</v>
      </c>
      <c r="J950" s="3">
        <v>19491</v>
      </c>
      <c r="K950" t="b">
        <v>1</v>
      </c>
      <c r="L950" t="b">
        <v>0</v>
      </c>
      <c r="M950" t="b">
        <v>0</v>
      </c>
    </row>
    <row r="951" spans="1:13" x14ac:dyDescent="0.3">
      <c r="A951">
        <v>48</v>
      </c>
      <c r="B951" t="s">
        <v>18</v>
      </c>
      <c r="C951" s="1">
        <v>6</v>
      </c>
      <c r="D951" t="s">
        <v>28</v>
      </c>
      <c r="E951" t="s">
        <v>14</v>
      </c>
      <c r="F951" t="s">
        <v>15</v>
      </c>
      <c r="G951" t="s">
        <v>16</v>
      </c>
      <c r="H951">
        <f t="shared" si="14"/>
        <v>950</v>
      </c>
      <c r="I951" t="s">
        <v>24</v>
      </c>
      <c r="J951" s="3">
        <v>16382</v>
      </c>
      <c r="K951" t="b">
        <v>1</v>
      </c>
      <c r="L951" t="b">
        <v>1</v>
      </c>
      <c r="M951" t="b">
        <v>1</v>
      </c>
    </row>
    <row r="952" spans="1:13" x14ac:dyDescent="0.3">
      <c r="A952">
        <v>57</v>
      </c>
      <c r="B952" t="s">
        <v>12</v>
      </c>
      <c r="C952" s="1">
        <v>5</v>
      </c>
      <c r="D952" t="s">
        <v>13</v>
      </c>
      <c r="E952" t="s">
        <v>14</v>
      </c>
      <c r="F952" t="s">
        <v>22</v>
      </c>
      <c r="G952" t="s">
        <v>16</v>
      </c>
      <c r="H952">
        <f t="shared" si="14"/>
        <v>951</v>
      </c>
      <c r="I952" t="s">
        <v>24</v>
      </c>
      <c r="J952" s="3">
        <v>19607</v>
      </c>
      <c r="K952" t="b">
        <v>1</v>
      </c>
      <c r="L952" t="b">
        <v>1</v>
      </c>
      <c r="M952" t="b">
        <v>0</v>
      </c>
    </row>
    <row r="953" spans="1:13" x14ac:dyDescent="0.3">
      <c r="A953">
        <v>54</v>
      </c>
      <c r="B953" t="s">
        <v>12</v>
      </c>
      <c r="C953" s="1">
        <v>3</v>
      </c>
      <c r="D953" t="s">
        <v>13</v>
      </c>
      <c r="E953" t="s">
        <v>20</v>
      </c>
      <c r="F953" t="s">
        <v>27</v>
      </c>
      <c r="G953" t="s">
        <v>16</v>
      </c>
      <c r="H953">
        <f t="shared" si="14"/>
        <v>952</v>
      </c>
      <c r="I953" t="s">
        <v>17</v>
      </c>
      <c r="J953" s="3">
        <v>10968</v>
      </c>
      <c r="K953" t="b">
        <v>0</v>
      </c>
      <c r="L953" t="b">
        <v>1</v>
      </c>
      <c r="M953" t="b">
        <v>0</v>
      </c>
    </row>
    <row r="954" spans="1:13" x14ac:dyDescent="0.3">
      <c r="A954">
        <v>53</v>
      </c>
      <c r="B954" t="s">
        <v>25</v>
      </c>
      <c r="C954" s="1">
        <v>9</v>
      </c>
      <c r="D954" t="s">
        <v>13</v>
      </c>
      <c r="E954" t="s">
        <v>20</v>
      </c>
      <c r="F954" t="s">
        <v>27</v>
      </c>
      <c r="G954" t="s">
        <v>23</v>
      </c>
      <c r="H954">
        <f t="shared" si="14"/>
        <v>953</v>
      </c>
      <c r="I954" t="s">
        <v>21</v>
      </c>
      <c r="J954" s="3">
        <v>10368</v>
      </c>
      <c r="K954" t="b">
        <v>0</v>
      </c>
      <c r="L954" t="b">
        <v>1</v>
      </c>
      <c r="M954" t="b">
        <v>1</v>
      </c>
    </row>
    <row r="955" spans="1:13" x14ac:dyDescent="0.3">
      <c r="A955">
        <v>41</v>
      </c>
      <c r="B955" t="s">
        <v>12</v>
      </c>
      <c r="C955" s="1">
        <v>5</v>
      </c>
      <c r="D955" t="s">
        <v>19</v>
      </c>
      <c r="E955" t="s">
        <v>14</v>
      </c>
      <c r="F955" t="s">
        <v>15</v>
      </c>
      <c r="G955" t="s">
        <v>29</v>
      </c>
      <c r="H955">
        <f t="shared" si="14"/>
        <v>954</v>
      </c>
      <c r="I955" t="s">
        <v>17</v>
      </c>
      <c r="J955" s="3">
        <v>18424</v>
      </c>
      <c r="K955" t="b">
        <v>1</v>
      </c>
      <c r="L955" t="b">
        <v>0</v>
      </c>
      <c r="M955" t="b">
        <v>0</v>
      </c>
    </row>
    <row r="956" spans="1:13" x14ac:dyDescent="0.3">
      <c r="A956">
        <v>48</v>
      </c>
      <c r="B956" t="s">
        <v>25</v>
      </c>
      <c r="C956" s="1">
        <v>5</v>
      </c>
      <c r="D956" t="s">
        <v>13</v>
      </c>
      <c r="E956" t="s">
        <v>26</v>
      </c>
      <c r="F956" t="s">
        <v>22</v>
      </c>
      <c r="G956" t="s">
        <v>23</v>
      </c>
      <c r="H956">
        <f t="shared" si="14"/>
        <v>955</v>
      </c>
      <c r="I956" t="s">
        <v>17</v>
      </c>
      <c r="J956" s="3">
        <v>12242</v>
      </c>
      <c r="K956" t="b">
        <v>0</v>
      </c>
      <c r="L956" t="b">
        <v>0</v>
      </c>
      <c r="M956" t="b">
        <v>1</v>
      </c>
    </row>
    <row r="957" spans="1:13" x14ac:dyDescent="0.3">
      <c r="A957">
        <v>23</v>
      </c>
      <c r="B957" t="s">
        <v>25</v>
      </c>
      <c r="C957" s="1">
        <v>4</v>
      </c>
      <c r="D957" t="s">
        <v>13</v>
      </c>
      <c r="E957" t="s">
        <v>20</v>
      </c>
      <c r="F957" t="s">
        <v>22</v>
      </c>
      <c r="G957" t="s">
        <v>16</v>
      </c>
      <c r="H957">
        <f t="shared" si="14"/>
        <v>956</v>
      </c>
      <c r="I957" t="s">
        <v>17</v>
      </c>
      <c r="J957" s="3">
        <v>15002</v>
      </c>
      <c r="K957" t="b">
        <v>1</v>
      </c>
      <c r="L957" t="b">
        <v>0</v>
      </c>
      <c r="M957" t="b">
        <v>0</v>
      </c>
    </row>
    <row r="958" spans="1:13" x14ac:dyDescent="0.3">
      <c r="A958">
        <v>19</v>
      </c>
      <c r="B958" t="s">
        <v>18</v>
      </c>
      <c r="C958" s="1">
        <v>4</v>
      </c>
      <c r="D958" t="s">
        <v>19</v>
      </c>
      <c r="E958" t="s">
        <v>26</v>
      </c>
      <c r="F958" t="s">
        <v>15</v>
      </c>
      <c r="G958" t="s">
        <v>29</v>
      </c>
      <c r="H958">
        <f t="shared" si="14"/>
        <v>957</v>
      </c>
      <c r="I958" t="s">
        <v>17</v>
      </c>
      <c r="J958" s="3">
        <v>13083</v>
      </c>
      <c r="K958" t="b">
        <v>0</v>
      </c>
      <c r="L958" t="b">
        <v>0</v>
      </c>
      <c r="M958" t="b">
        <v>1</v>
      </c>
    </row>
    <row r="959" spans="1:13" x14ac:dyDescent="0.3">
      <c r="A959">
        <v>37</v>
      </c>
      <c r="B959" t="s">
        <v>18</v>
      </c>
      <c r="C959" s="1">
        <v>1</v>
      </c>
      <c r="D959" t="s">
        <v>19</v>
      </c>
      <c r="E959" t="s">
        <v>20</v>
      </c>
      <c r="F959" t="s">
        <v>15</v>
      </c>
      <c r="G959" t="s">
        <v>23</v>
      </c>
      <c r="H959">
        <f t="shared" si="14"/>
        <v>958</v>
      </c>
      <c r="I959" t="s">
        <v>17</v>
      </c>
      <c r="J959" s="3">
        <v>18073</v>
      </c>
      <c r="K959" t="b">
        <v>0</v>
      </c>
      <c r="L959" t="b">
        <v>0</v>
      </c>
      <c r="M959" t="b">
        <v>1</v>
      </c>
    </row>
    <row r="960" spans="1:13" x14ac:dyDescent="0.3">
      <c r="A960">
        <v>45</v>
      </c>
      <c r="B960" t="s">
        <v>18</v>
      </c>
      <c r="C960" s="1">
        <v>7</v>
      </c>
      <c r="D960" t="s">
        <v>13</v>
      </c>
      <c r="E960" t="s">
        <v>20</v>
      </c>
      <c r="F960" t="s">
        <v>22</v>
      </c>
      <c r="G960" t="s">
        <v>29</v>
      </c>
      <c r="H960">
        <f t="shared" si="14"/>
        <v>959</v>
      </c>
      <c r="I960" t="s">
        <v>24</v>
      </c>
      <c r="J960" s="3">
        <v>19112</v>
      </c>
      <c r="K960" t="b">
        <v>0</v>
      </c>
      <c r="L960" t="b">
        <v>1</v>
      </c>
      <c r="M960" t="b">
        <v>1</v>
      </c>
    </row>
    <row r="961" spans="1:13" x14ac:dyDescent="0.3">
      <c r="A961">
        <v>28</v>
      </c>
      <c r="B961" t="s">
        <v>25</v>
      </c>
      <c r="C961" s="1">
        <v>9</v>
      </c>
      <c r="D961" t="s">
        <v>13</v>
      </c>
      <c r="E961" t="s">
        <v>26</v>
      </c>
      <c r="F961" t="s">
        <v>15</v>
      </c>
      <c r="G961" t="s">
        <v>23</v>
      </c>
      <c r="H961">
        <f t="shared" si="14"/>
        <v>960</v>
      </c>
      <c r="I961" t="s">
        <v>24</v>
      </c>
      <c r="J961" s="3">
        <v>18880</v>
      </c>
      <c r="K961" t="b">
        <v>0</v>
      </c>
      <c r="L961" t="b">
        <v>1</v>
      </c>
      <c r="M961" t="b">
        <v>0</v>
      </c>
    </row>
    <row r="962" spans="1:13" x14ac:dyDescent="0.3">
      <c r="A962">
        <v>21</v>
      </c>
      <c r="B962" t="s">
        <v>18</v>
      </c>
      <c r="C962" s="1">
        <v>3</v>
      </c>
      <c r="D962" t="s">
        <v>13</v>
      </c>
      <c r="E962" t="s">
        <v>20</v>
      </c>
      <c r="F962" t="s">
        <v>22</v>
      </c>
      <c r="G962" t="s">
        <v>16</v>
      </c>
      <c r="H962">
        <f t="shared" si="14"/>
        <v>961</v>
      </c>
      <c r="I962" t="s">
        <v>21</v>
      </c>
      <c r="J962" s="3">
        <v>11469</v>
      </c>
      <c r="K962" t="b">
        <v>0</v>
      </c>
      <c r="L962" t="b">
        <v>1</v>
      </c>
      <c r="M962" t="b">
        <v>0</v>
      </c>
    </row>
    <row r="963" spans="1:13" x14ac:dyDescent="0.3">
      <c r="A963">
        <v>32</v>
      </c>
      <c r="B963" t="s">
        <v>12</v>
      </c>
      <c r="C963" s="1">
        <v>2</v>
      </c>
      <c r="D963" t="s">
        <v>13</v>
      </c>
      <c r="E963" t="s">
        <v>20</v>
      </c>
      <c r="F963" t="s">
        <v>22</v>
      </c>
      <c r="G963" t="s">
        <v>23</v>
      </c>
      <c r="H963">
        <f t="shared" si="14"/>
        <v>962</v>
      </c>
      <c r="I963" t="s">
        <v>17</v>
      </c>
      <c r="J963" s="3">
        <v>14725</v>
      </c>
      <c r="K963" t="b">
        <v>1</v>
      </c>
      <c r="L963" t="b">
        <v>1</v>
      </c>
      <c r="M963" t="b">
        <v>1</v>
      </c>
    </row>
    <row r="964" spans="1:13" x14ac:dyDescent="0.3">
      <c r="A964">
        <v>23</v>
      </c>
      <c r="B964" t="s">
        <v>12</v>
      </c>
      <c r="C964" s="1">
        <v>3</v>
      </c>
      <c r="D964" t="s">
        <v>28</v>
      </c>
      <c r="E964" t="s">
        <v>26</v>
      </c>
      <c r="F964" t="s">
        <v>27</v>
      </c>
      <c r="G964" t="s">
        <v>29</v>
      </c>
      <c r="H964">
        <f t="shared" ref="H964:I1001" si="15">H963+1</f>
        <v>963</v>
      </c>
      <c r="I964" t="s">
        <v>21</v>
      </c>
      <c r="J964" s="3">
        <v>14259</v>
      </c>
      <c r="K964" t="b">
        <v>0</v>
      </c>
      <c r="L964" t="b">
        <v>1</v>
      </c>
      <c r="M964" t="b">
        <v>1</v>
      </c>
    </row>
    <row r="965" spans="1:13" x14ac:dyDescent="0.3">
      <c r="A965">
        <v>47</v>
      </c>
      <c r="B965" t="s">
        <v>25</v>
      </c>
      <c r="C965" s="1">
        <v>1</v>
      </c>
      <c r="D965" t="s">
        <v>28</v>
      </c>
      <c r="E965" t="s">
        <v>20</v>
      </c>
      <c r="F965" t="s">
        <v>27</v>
      </c>
      <c r="G965" t="s">
        <v>29</v>
      </c>
      <c r="H965">
        <f t="shared" si="15"/>
        <v>964</v>
      </c>
      <c r="I965" t="s">
        <v>24</v>
      </c>
      <c r="J965" s="3">
        <v>13622</v>
      </c>
      <c r="K965" t="b">
        <v>1</v>
      </c>
      <c r="L965" t="b">
        <v>0</v>
      </c>
      <c r="M965" t="b">
        <v>0</v>
      </c>
    </row>
    <row r="966" spans="1:13" x14ac:dyDescent="0.3">
      <c r="A966">
        <v>55</v>
      </c>
      <c r="B966" t="s">
        <v>25</v>
      </c>
      <c r="C966" s="1">
        <v>6</v>
      </c>
      <c r="D966" t="s">
        <v>13</v>
      </c>
      <c r="E966" t="s">
        <v>20</v>
      </c>
      <c r="F966" t="s">
        <v>22</v>
      </c>
      <c r="G966" t="s">
        <v>29</v>
      </c>
      <c r="H966">
        <f t="shared" si="15"/>
        <v>965</v>
      </c>
      <c r="I966" t="s">
        <v>24</v>
      </c>
      <c r="J966" s="3">
        <v>10823</v>
      </c>
      <c r="K966" t="b">
        <v>1</v>
      </c>
      <c r="L966" t="b">
        <v>1</v>
      </c>
      <c r="M966" t="b">
        <v>0</v>
      </c>
    </row>
    <row r="967" spans="1:13" x14ac:dyDescent="0.3">
      <c r="A967">
        <v>19</v>
      </c>
      <c r="B967" t="s">
        <v>18</v>
      </c>
      <c r="C967" s="1">
        <v>7</v>
      </c>
      <c r="D967" t="s">
        <v>28</v>
      </c>
      <c r="E967" t="s">
        <v>20</v>
      </c>
      <c r="F967" t="s">
        <v>22</v>
      </c>
      <c r="G967" t="s">
        <v>29</v>
      </c>
      <c r="H967">
        <f t="shared" si="15"/>
        <v>966</v>
      </c>
      <c r="I967" t="s">
        <v>24</v>
      </c>
      <c r="J967" s="3">
        <v>13431</v>
      </c>
      <c r="K967" t="b">
        <v>0</v>
      </c>
      <c r="L967" t="b">
        <v>1</v>
      </c>
      <c r="M967" t="b">
        <v>1</v>
      </c>
    </row>
    <row r="968" spans="1:13" x14ac:dyDescent="0.3">
      <c r="A968">
        <v>32</v>
      </c>
      <c r="B968" t="s">
        <v>25</v>
      </c>
      <c r="C968" s="1">
        <v>2</v>
      </c>
      <c r="D968" t="s">
        <v>19</v>
      </c>
      <c r="E968" t="s">
        <v>26</v>
      </c>
      <c r="F968" t="s">
        <v>22</v>
      </c>
      <c r="G968" t="s">
        <v>16</v>
      </c>
      <c r="H968">
        <f t="shared" si="15"/>
        <v>967</v>
      </c>
      <c r="I968" t="s">
        <v>17</v>
      </c>
      <c r="J968" s="3">
        <v>16528</v>
      </c>
      <c r="K968" t="b">
        <v>1</v>
      </c>
      <c r="L968" t="b">
        <v>0</v>
      </c>
      <c r="M968" t="b">
        <v>0</v>
      </c>
    </row>
    <row r="969" spans="1:13" x14ac:dyDescent="0.3">
      <c r="A969">
        <v>28</v>
      </c>
      <c r="B969" t="s">
        <v>25</v>
      </c>
      <c r="C969" s="1">
        <v>8</v>
      </c>
      <c r="D969" t="s">
        <v>28</v>
      </c>
      <c r="E969" t="s">
        <v>14</v>
      </c>
      <c r="F969" t="s">
        <v>22</v>
      </c>
      <c r="G969" t="s">
        <v>23</v>
      </c>
      <c r="H969">
        <f t="shared" si="15"/>
        <v>968</v>
      </c>
      <c r="I969" t="s">
        <v>17</v>
      </c>
      <c r="J969" s="3">
        <v>14151</v>
      </c>
      <c r="K969" t="b">
        <v>0</v>
      </c>
      <c r="L969" t="b">
        <v>0</v>
      </c>
      <c r="M969" t="b">
        <v>0</v>
      </c>
    </row>
    <row r="970" spans="1:13" x14ac:dyDescent="0.3">
      <c r="A970">
        <v>25</v>
      </c>
      <c r="B970" t="s">
        <v>12</v>
      </c>
      <c r="C970" s="1">
        <v>6</v>
      </c>
      <c r="D970" t="s">
        <v>28</v>
      </c>
      <c r="E970" t="s">
        <v>26</v>
      </c>
      <c r="F970" t="s">
        <v>22</v>
      </c>
      <c r="G970" t="s">
        <v>16</v>
      </c>
      <c r="H970">
        <f t="shared" si="15"/>
        <v>969</v>
      </c>
      <c r="I970" t="s">
        <v>24</v>
      </c>
      <c r="J970" s="3">
        <v>14213</v>
      </c>
      <c r="K970" t="b">
        <v>1</v>
      </c>
      <c r="L970" t="b">
        <v>1</v>
      </c>
      <c r="M970" t="b">
        <v>0</v>
      </c>
    </row>
    <row r="971" spans="1:13" x14ac:dyDescent="0.3">
      <c r="A971">
        <v>43</v>
      </c>
      <c r="B971" t="s">
        <v>12</v>
      </c>
      <c r="C971" s="1">
        <v>4</v>
      </c>
      <c r="D971" t="s">
        <v>13</v>
      </c>
      <c r="E971" t="s">
        <v>14</v>
      </c>
      <c r="F971" t="s">
        <v>22</v>
      </c>
      <c r="G971" t="s">
        <v>16</v>
      </c>
      <c r="H971">
        <f t="shared" si="15"/>
        <v>970</v>
      </c>
      <c r="I971" t="s">
        <v>21</v>
      </c>
      <c r="J971" s="3">
        <v>17420</v>
      </c>
      <c r="K971" t="b">
        <v>1</v>
      </c>
      <c r="L971" t="b">
        <v>1</v>
      </c>
      <c r="M971" t="b">
        <v>1</v>
      </c>
    </row>
    <row r="972" spans="1:13" x14ac:dyDescent="0.3">
      <c r="A972">
        <v>62</v>
      </c>
      <c r="B972" t="s">
        <v>18</v>
      </c>
      <c r="C972" s="1">
        <v>5</v>
      </c>
      <c r="D972" t="s">
        <v>28</v>
      </c>
      <c r="E972" t="s">
        <v>20</v>
      </c>
      <c r="F972" t="s">
        <v>15</v>
      </c>
      <c r="G972" t="s">
        <v>16</v>
      </c>
      <c r="H972">
        <f t="shared" si="15"/>
        <v>971</v>
      </c>
      <c r="I972" t="s">
        <v>21</v>
      </c>
      <c r="J972" s="3">
        <v>18989</v>
      </c>
      <c r="K972" t="b">
        <v>0</v>
      </c>
      <c r="L972" t="b">
        <v>0</v>
      </c>
      <c r="M972" t="b">
        <v>1</v>
      </c>
    </row>
    <row r="973" spans="1:13" x14ac:dyDescent="0.3">
      <c r="A973">
        <v>61</v>
      </c>
      <c r="B973" t="s">
        <v>25</v>
      </c>
      <c r="C973" s="1">
        <v>8</v>
      </c>
      <c r="D973" t="s">
        <v>28</v>
      </c>
      <c r="E973" t="s">
        <v>14</v>
      </c>
      <c r="F973" t="s">
        <v>22</v>
      </c>
      <c r="G973" t="s">
        <v>29</v>
      </c>
      <c r="H973">
        <f t="shared" si="15"/>
        <v>972</v>
      </c>
      <c r="I973" t="s">
        <v>24</v>
      </c>
      <c r="J973" s="3">
        <v>10779</v>
      </c>
      <c r="K973" t="b">
        <v>0</v>
      </c>
      <c r="L973" t="b">
        <v>1</v>
      </c>
      <c r="M973" t="b">
        <v>0</v>
      </c>
    </row>
    <row r="974" spans="1:13" x14ac:dyDescent="0.3">
      <c r="A974">
        <v>22</v>
      </c>
      <c r="B974" t="s">
        <v>25</v>
      </c>
      <c r="C974" s="1">
        <v>3</v>
      </c>
      <c r="D974" t="s">
        <v>28</v>
      </c>
      <c r="E974" t="s">
        <v>26</v>
      </c>
      <c r="F974" t="s">
        <v>15</v>
      </c>
      <c r="G974" t="s">
        <v>29</v>
      </c>
      <c r="H974">
        <f t="shared" si="15"/>
        <v>973</v>
      </c>
      <c r="I974" t="s">
        <v>21</v>
      </c>
      <c r="J974" s="3">
        <v>12892</v>
      </c>
      <c r="K974" t="b">
        <v>0</v>
      </c>
      <c r="L974" t="b">
        <v>1</v>
      </c>
      <c r="M974" t="b">
        <v>1</v>
      </c>
    </row>
    <row r="975" spans="1:13" x14ac:dyDescent="0.3">
      <c r="A975">
        <v>23</v>
      </c>
      <c r="B975" t="s">
        <v>12</v>
      </c>
      <c r="C975" s="1">
        <v>3</v>
      </c>
      <c r="D975" t="s">
        <v>28</v>
      </c>
      <c r="E975" t="s">
        <v>26</v>
      </c>
      <c r="F975" t="s">
        <v>15</v>
      </c>
      <c r="G975" t="s">
        <v>29</v>
      </c>
      <c r="H975">
        <f t="shared" si="15"/>
        <v>974</v>
      </c>
      <c r="I975" t="s">
        <v>24</v>
      </c>
      <c r="J975" s="3">
        <v>15534</v>
      </c>
      <c r="K975" t="b">
        <v>0</v>
      </c>
      <c r="L975" t="b">
        <v>1</v>
      </c>
      <c r="M975" t="b">
        <v>0</v>
      </c>
    </row>
    <row r="976" spans="1:13" x14ac:dyDescent="0.3">
      <c r="A976">
        <v>43</v>
      </c>
      <c r="B976" t="s">
        <v>25</v>
      </c>
      <c r="C976" s="1">
        <v>4</v>
      </c>
      <c r="D976" t="s">
        <v>19</v>
      </c>
      <c r="E976" t="s">
        <v>20</v>
      </c>
      <c r="F976" t="s">
        <v>22</v>
      </c>
      <c r="G976" t="s">
        <v>23</v>
      </c>
      <c r="H976">
        <f t="shared" si="15"/>
        <v>975</v>
      </c>
      <c r="I976" t="s">
        <v>21</v>
      </c>
      <c r="J976" s="3">
        <v>13306</v>
      </c>
      <c r="K976" t="b">
        <v>1</v>
      </c>
      <c r="L976" t="b">
        <v>0</v>
      </c>
      <c r="M976" t="b">
        <v>0</v>
      </c>
    </row>
    <row r="977" spans="1:13" x14ac:dyDescent="0.3">
      <c r="A977">
        <v>21</v>
      </c>
      <c r="B977" t="s">
        <v>12</v>
      </c>
      <c r="C977" s="1">
        <v>1</v>
      </c>
      <c r="D977" t="s">
        <v>13</v>
      </c>
      <c r="E977" t="s">
        <v>14</v>
      </c>
      <c r="F977" t="s">
        <v>22</v>
      </c>
      <c r="G977" t="s">
        <v>29</v>
      </c>
      <c r="H977">
        <f t="shared" si="15"/>
        <v>976</v>
      </c>
      <c r="I977" t="s">
        <v>24</v>
      </c>
      <c r="J977" s="3">
        <v>12902</v>
      </c>
      <c r="K977" t="b">
        <v>0</v>
      </c>
      <c r="L977" t="b">
        <v>1</v>
      </c>
      <c r="M977" t="b">
        <v>1</v>
      </c>
    </row>
    <row r="978" spans="1:13" x14ac:dyDescent="0.3">
      <c r="A978">
        <v>36</v>
      </c>
      <c r="B978" t="s">
        <v>18</v>
      </c>
      <c r="C978" s="1">
        <v>9</v>
      </c>
      <c r="D978" t="s">
        <v>13</v>
      </c>
      <c r="E978" t="s">
        <v>20</v>
      </c>
      <c r="F978" t="s">
        <v>15</v>
      </c>
      <c r="G978" t="s">
        <v>23</v>
      </c>
      <c r="H978">
        <f t="shared" si="15"/>
        <v>977</v>
      </c>
      <c r="I978" t="s">
        <v>21</v>
      </c>
      <c r="J978" s="3">
        <v>13718</v>
      </c>
      <c r="K978" t="b">
        <v>1</v>
      </c>
      <c r="L978" t="b">
        <v>1</v>
      </c>
      <c r="M978" t="b">
        <v>1</v>
      </c>
    </row>
    <row r="979" spans="1:13" x14ac:dyDescent="0.3">
      <c r="A979">
        <v>37</v>
      </c>
      <c r="B979" t="s">
        <v>12</v>
      </c>
      <c r="C979" s="1">
        <v>8</v>
      </c>
      <c r="D979" t="s">
        <v>19</v>
      </c>
      <c r="E979" t="s">
        <v>20</v>
      </c>
      <c r="F979" t="s">
        <v>15</v>
      </c>
      <c r="G979" t="s">
        <v>29</v>
      </c>
      <c r="H979">
        <f t="shared" si="15"/>
        <v>978</v>
      </c>
      <c r="I979" t="s">
        <v>17</v>
      </c>
      <c r="J979" s="3">
        <v>10021</v>
      </c>
      <c r="K979" t="b">
        <v>1</v>
      </c>
      <c r="L979" t="b">
        <v>0</v>
      </c>
      <c r="M979" t="b">
        <v>1</v>
      </c>
    </row>
    <row r="980" spans="1:13" x14ac:dyDescent="0.3">
      <c r="A980">
        <v>50</v>
      </c>
      <c r="B980" t="s">
        <v>25</v>
      </c>
      <c r="C980" s="1">
        <v>8</v>
      </c>
      <c r="D980" t="s">
        <v>28</v>
      </c>
      <c r="E980" t="s">
        <v>26</v>
      </c>
      <c r="F980" t="s">
        <v>22</v>
      </c>
      <c r="G980" t="s">
        <v>29</v>
      </c>
      <c r="H980">
        <f t="shared" si="15"/>
        <v>979</v>
      </c>
      <c r="I980" t="s">
        <v>24</v>
      </c>
      <c r="J980" s="3">
        <v>11500</v>
      </c>
      <c r="K980" t="b">
        <v>1</v>
      </c>
      <c r="L980" t="b">
        <v>0</v>
      </c>
      <c r="M980" t="b">
        <v>0</v>
      </c>
    </row>
    <row r="981" spans="1:13" x14ac:dyDescent="0.3">
      <c r="A981">
        <v>37</v>
      </c>
      <c r="B981" t="s">
        <v>18</v>
      </c>
      <c r="C981" s="1">
        <v>6</v>
      </c>
      <c r="D981" t="s">
        <v>19</v>
      </c>
      <c r="E981" t="s">
        <v>14</v>
      </c>
      <c r="F981" t="s">
        <v>22</v>
      </c>
      <c r="G981" t="s">
        <v>16</v>
      </c>
      <c r="H981">
        <f t="shared" si="15"/>
        <v>980</v>
      </c>
      <c r="I981" t="s">
        <v>24</v>
      </c>
      <c r="J981" s="3">
        <v>19034</v>
      </c>
      <c r="K981" t="b">
        <v>1</v>
      </c>
      <c r="L981" t="b">
        <v>0</v>
      </c>
      <c r="M981" t="b">
        <v>0</v>
      </c>
    </row>
    <row r="982" spans="1:13" x14ac:dyDescent="0.3">
      <c r="A982">
        <v>29</v>
      </c>
      <c r="B982" t="s">
        <v>12</v>
      </c>
      <c r="C982" s="1">
        <v>7</v>
      </c>
      <c r="D982" t="s">
        <v>28</v>
      </c>
      <c r="E982" t="s">
        <v>14</v>
      </c>
      <c r="F982" t="s">
        <v>15</v>
      </c>
      <c r="G982" t="s">
        <v>16</v>
      </c>
      <c r="H982">
        <f t="shared" si="15"/>
        <v>981</v>
      </c>
      <c r="I982" t="s">
        <v>21</v>
      </c>
      <c r="J982" s="3">
        <v>19952</v>
      </c>
      <c r="K982" t="b">
        <v>1</v>
      </c>
      <c r="L982" t="b">
        <v>1</v>
      </c>
      <c r="M982" t="b">
        <v>1</v>
      </c>
    </row>
    <row r="983" spans="1:13" x14ac:dyDescent="0.3">
      <c r="A983">
        <v>64</v>
      </c>
      <c r="B983" t="s">
        <v>12</v>
      </c>
      <c r="C983" s="1">
        <v>6</v>
      </c>
      <c r="D983" t="s">
        <v>19</v>
      </c>
      <c r="E983" t="s">
        <v>14</v>
      </c>
      <c r="F983" t="s">
        <v>15</v>
      </c>
      <c r="G983" t="s">
        <v>16</v>
      </c>
      <c r="H983">
        <f t="shared" si="15"/>
        <v>982</v>
      </c>
      <c r="I983" t="s">
        <v>24</v>
      </c>
      <c r="J983" s="3">
        <v>13641</v>
      </c>
      <c r="K983" t="b">
        <v>1</v>
      </c>
      <c r="L983" t="b">
        <v>0</v>
      </c>
      <c r="M983" t="b">
        <v>1</v>
      </c>
    </row>
    <row r="984" spans="1:13" x14ac:dyDescent="0.3">
      <c r="A984">
        <v>18</v>
      </c>
      <c r="B984" t="s">
        <v>18</v>
      </c>
      <c r="C984" s="1">
        <v>9</v>
      </c>
      <c r="D984" t="s">
        <v>13</v>
      </c>
      <c r="E984" t="s">
        <v>14</v>
      </c>
      <c r="F984" t="s">
        <v>15</v>
      </c>
      <c r="G984" t="s">
        <v>23</v>
      </c>
      <c r="H984">
        <f t="shared" si="15"/>
        <v>983</v>
      </c>
      <c r="I984" t="s">
        <v>24</v>
      </c>
      <c r="J984" s="3">
        <v>15212</v>
      </c>
      <c r="K984" t="b">
        <v>0</v>
      </c>
      <c r="L984" t="b">
        <v>1</v>
      </c>
      <c r="M984" t="b">
        <v>1</v>
      </c>
    </row>
    <row r="985" spans="1:13" x14ac:dyDescent="0.3">
      <c r="A985">
        <v>43</v>
      </c>
      <c r="B985" t="s">
        <v>18</v>
      </c>
      <c r="C985" s="1">
        <v>3</v>
      </c>
      <c r="D985" t="s">
        <v>13</v>
      </c>
      <c r="E985" t="s">
        <v>20</v>
      </c>
      <c r="F985" t="s">
        <v>27</v>
      </c>
      <c r="G985" t="s">
        <v>23</v>
      </c>
      <c r="H985">
        <f t="shared" si="15"/>
        <v>984</v>
      </c>
      <c r="I985" t="s">
        <v>24</v>
      </c>
      <c r="J985" s="3">
        <v>10191</v>
      </c>
      <c r="K985" t="b">
        <v>1</v>
      </c>
      <c r="L985" t="b">
        <v>0</v>
      </c>
      <c r="M985" t="b">
        <v>0</v>
      </c>
    </row>
    <row r="986" spans="1:13" x14ac:dyDescent="0.3">
      <c r="A986">
        <v>31</v>
      </c>
      <c r="B986" t="s">
        <v>12</v>
      </c>
      <c r="C986" s="1">
        <v>3</v>
      </c>
      <c r="D986" t="s">
        <v>13</v>
      </c>
      <c r="E986" t="s">
        <v>20</v>
      </c>
      <c r="F986" t="s">
        <v>15</v>
      </c>
      <c r="G986" t="s">
        <v>29</v>
      </c>
      <c r="H986">
        <f t="shared" si="15"/>
        <v>985</v>
      </c>
      <c r="I986" t="s">
        <v>17</v>
      </c>
      <c r="J986" s="3">
        <v>18587</v>
      </c>
      <c r="K986" t="b">
        <v>1</v>
      </c>
      <c r="L986" t="b">
        <v>1</v>
      </c>
      <c r="M986" t="b">
        <v>0</v>
      </c>
    </row>
    <row r="987" spans="1:13" x14ac:dyDescent="0.3">
      <c r="A987">
        <v>55</v>
      </c>
      <c r="B987" t="s">
        <v>25</v>
      </c>
      <c r="C987" s="1">
        <v>3</v>
      </c>
      <c r="D987" t="s">
        <v>28</v>
      </c>
      <c r="E987" t="s">
        <v>26</v>
      </c>
      <c r="F987" t="s">
        <v>27</v>
      </c>
      <c r="G987" t="s">
        <v>23</v>
      </c>
      <c r="H987">
        <f t="shared" si="15"/>
        <v>986</v>
      </c>
      <c r="I987" t="s">
        <v>17</v>
      </c>
      <c r="J987" s="3">
        <v>17174</v>
      </c>
      <c r="K987" t="b">
        <v>1</v>
      </c>
      <c r="L987" t="b">
        <v>0</v>
      </c>
      <c r="M987" t="b">
        <v>0</v>
      </c>
    </row>
    <row r="988" spans="1:13" x14ac:dyDescent="0.3">
      <c r="A988">
        <v>54</v>
      </c>
      <c r="B988" t="s">
        <v>12</v>
      </c>
      <c r="C988" s="1">
        <v>3</v>
      </c>
      <c r="D988" t="s">
        <v>28</v>
      </c>
      <c r="E988" t="s">
        <v>20</v>
      </c>
      <c r="F988" t="s">
        <v>22</v>
      </c>
      <c r="G988" t="s">
        <v>29</v>
      </c>
      <c r="H988">
        <f t="shared" si="15"/>
        <v>987</v>
      </c>
      <c r="I988" t="s">
        <v>21</v>
      </c>
      <c r="J988" s="3">
        <v>15114</v>
      </c>
      <c r="K988" t="b">
        <v>0</v>
      </c>
      <c r="L988" t="b">
        <v>1</v>
      </c>
      <c r="M988" t="b">
        <v>1</v>
      </c>
    </row>
    <row r="989" spans="1:13" x14ac:dyDescent="0.3">
      <c r="A989">
        <v>28</v>
      </c>
      <c r="B989" t="s">
        <v>18</v>
      </c>
      <c r="C989" s="1">
        <v>9</v>
      </c>
      <c r="D989" t="s">
        <v>19</v>
      </c>
      <c r="E989" t="s">
        <v>20</v>
      </c>
      <c r="F989" t="s">
        <v>22</v>
      </c>
      <c r="G989" t="s">
        <v>23</v>
      </c>
      <c r="H989">
        <f t="shared" si="15"/>
        <v>988</v>
      </c>
      <c r="I989" t="s">
        <v>17</v>
      </c>
      <c r="J989" s="3">
        <v>14662</v>
      </c>
      <c r="K989" t="b">
        <v>0</v>
      </c>
      <c r="L989" t="b">
        <v>1</v>
      </c>
      <c r="M989" t="b">
        <v>1</v>
      </c>
    </row>
    <row r="990" spans="1:13" x14ac:dyDescent="0.3">
      <c r="A990">
        <v>53</v>
      </c>
      <c r="B990" t="s">
        <v>12</v>
      </c>
      <c r="C990" s="1">
        <v>4</v>
      </c>
      <c r="D990" t="s">
        <v>19</v>
      </c>
      <c r="E990" t="s">
        <v>26</v>
      </c>
      <c r="F990" t="s">
        <v>15</v>
      </c>
      <c r="G990" t="s">
        <v>23</v>
      </c>
      <c r="H990">
        <f t="shared" si="15"/>
        <v>989</v>
      </c>
      <c r="I990" t="s">
        <v>21</v>
      </c>
      <c r="J990" s="3">
        <v>14326</v>
      </c>
      <c r="K990" t="b">
        <v>1</v>
      </c>
      <c r="L990" t="b">
        <v>0</v>
      </c>
      <c r="M990" t="b">
        <v>0</v>
      </c>
    </row>
    <row r="991" spans="1:13" x14ac:dyDescent="0.3">
      <c r="A991">
        <v>30</v>
      </c>
      <c r="B991" t="s">
        <v>18</v>
      </c>
      <c r="C991" s="1">
        <v>7</v>
      </c>
      <c r="D991" t="s">
        <v>13</v>
      </c>
      <c r="E991" t="s">
        <v>26</v>
      </c>
      <c r="F991" t="s">
        <v>22</v>
      </c>
      <c r="G991" t="s">
        <v>23</v>
      </c>
      <c r="H991">
        <f t="shared" si="15"/>
        <v>990</v>
      </c>
      <c r="I991" t="s">
        <v>17</v>
      </c>
      <c r="J991" s="3">
        <v>19065</v>
      </c>
      <c r="K991" t="b">
        <v>0</v>
      </c>
      <c r="L991" t="b">
        <v>0</v>
      </c>
      <c r="M991" t="b">
        <v>1</v>
      </c>
    </row>
    <row r="992" spans="1:13" x14ac:dyDescent="0.3">
      <c r="A992">
        <v>60</v>
      </c>
      <c r="B992" t="s">
        <v>18</v>
      </c>
      <c r="C992" s="1">
        <v>9</v>
      </c>
      <c r="D992" t="s">
        <v>28</v>
      </c>
      <c r="E992" t="s">
        <v>26</v>
      </c>
      <c r="F992" t="s">
        <v>22</v>
      </c>
      <c r="G992" t="s">
        <v>16</v>
      </c>
      <c r="H992">
        <f t="shared" si="15"/>
        <v>991</v>
      </c>
      <c r="I992" t="s">
        <v>21</v>
      </c>
      <c r="J992" s="3">
        <v>14335</v>
      </c>
      <c r="K992" t="b">
        <v>1</v>
      </c>
      <c r="L992" t="b">
        <v>1</v>
      </c>
      <c r="M992" t="b">
        <v>1</v>
      </c>
    </row>
    <row r="993" spans="1:13" x14ac:dyDescent="0.3">
      <c r="A993">
        <v>20</v>
      </c>
      <c r="B993" t="s">
        <v>25</v>
      </c>
      <c r="C993" s="1">
        <v>7</v>
      </c>
      <c r="D993" t="s">
        <v>19</v>
      </c>
      <c r="E993" t="s">
        <v>20</v>
      </c>
      <c r="F993" t="s">
        <v>22</v>
      </c>
      <c r="G993" t="s">
        <v>23</v>
      </c>
      <c r="H993">
        <f t="shared" si="15"/>
        <v>992</v>
      </c>
      <c r="I993" t="s">
        <v>17</v>
      </c>
      <c r="J993" s="3">
        <v>18281</v>
      </c>
      <c r="K993" t="b">
        <v>0</v>
      </c>
      <c r="L993" t="b">
        <v>0</v>
      </c>
      <c r="M993" t="b">
        <v>1</v>
      </c>
    </row>
    <row r="994" spans="1:13" x14ac:dyDescent="0.3">
      <c r="A994">
        <v>50</v>
      </c>
      <c r="B994" t="s">
        <v>18</v>
      </c>
      <c r="C994" s="1">
        <v>9</v>
      </c>
      <c r="D994" t="s">
        <v>28</v>
      </c>
      <c r="E994" t="s">
        <v>20</v>
      </c>
      <c r="F994" t="s">
        <v>22</v>
      </c>
      <c r="G994" t="s">
        <v>16</v>
      </c>
      <c r="H994">
        <f t="shared" si="15"/>
        <v>993</v>
      </c>
      <c r="I994" t="s">
        <v>17</v>
      </c>
      <c r="J994" s="3">
        <v>18648</v>
      </c>
      <c r="K994" t="b">
        <v>1</v>
      </c>
      <c r="L994" t="b">
        <v>1</v>
      </c>
      <c r="M994" t="b">
        <v>1</v>
      </c>
    </row>
    <row r="995" spans="1:13" x14ac:dyDescent="0.3">
      <c r="A995">
        <v>23</v>
      </c>
      <c r="B995" t="s">
        <v>18</v>
      </c>
      <c r="C995" s="1">
        <v>3</v>
      </c>
      <c r="D995" t="s">
        <v>28</v>
      </c>
      <c r="E995" t="s">
        <v>26</v>
      </c>
      <c r="F995" t="s">
        <v>27</v>
      </c>
      <c r="G995" t="s">
        <v>16</v>
      </c>
      <c r="H995">
        <f t="shared" si="15"/>
        <v>994</v>
      </c>
      <c r="I995" t="s">
        <v>21</v>
      </c>
      <c r="J995" s="3">
        <v>19196</v>
      </c>
      <c r="K995" t="b">
        <v>0</v>
      </c>
      <c r="L995" t="b">
        <v>0</v>
      </c>
      <c r="M995" t="b">
        <v>0</v>
      </c>
    </row>
    <row r="996" spans="1:13" x14ac:dyDescent="0.3">
      <c r="A996">
        <v>27</v>
      </c>
      <c r="B996" t="s">
        <v>25</v>
      </c>
      <c r="C996" s="1">
        <v>4</v>
      </c>
      <c r="D996" t="s">
        <v>13</v>
      </c>
      <c r="E996" t="s">
        <v>26</v>
      </c>
      <c r="F996" t="s">
        <v>27</v>
      </c>
      <c r="G996" t="s">
        <v>23</v>
      </c>
      <c r="H996">
        <f t="shared" si="15"/>
        <v>995</v>
      </c>
      <c r="I996" t="s">
        <v>24</v>
      </c>
      <c r="J996" s="3">
        <v>15494</v>
      </c>
      <c r="K996" t="b">
        <v>0</v>
      </c>
      <c r="L996" t="b">
        <v>0</v>
      </c>
      <c r="M996" t="b">
        <v>1</v>
      </c>
    </row>
    <row r="997" spans="1:13" x14ac:dyDescent="0.3">
      <c r="A997">
        <v>22</v>
      </c>
      <c r="B997" t="s">
        <v>18</v>
      </c>
      <c r="C997" s="1">
        <v>8</v>
      </c>
      <c r="D997" t="s">
        <v>13</v>
      </c>
      <c r="E997" t="s">
        <v>26</v>
      </c>
      <c r="F997" t="s">
        <v>15</v>
      </c>
      <c r="G997" t="s">
        <v>29</v>
      </c>
      <c r="H997">
        <f t="shared" si="15"/>
        <v>996</v>
      </c>
      <c r="I997" t="s">
        <v>24</v>
      </c>
      <c r="J997" s="3">
        <v>18536</v>
      </c>
      <c r="K997" t="b">
        <v>0</v>
      </c>
      <c r="L997" t="b">
        <v>1</v>
      </c>
      <c r="M997" t="b">
        <v>0</v>
      </c>
    </row>
    <row r="998" spans="1:13" x14ac:dyDescent="0.3">
      <c r="A998">
        <v>40</v>
      </c>
      <c r="B998" t="s">
        <v>25</v>
      </c>
      <c r="C998" s="1">
        <v>6</v>
      </c>
      <c r="D998" t="s">
        <v>28</v>
      </c>
      <c r="E998" t="s">
        <v>20</v>
      </c>
      <c r="F998" t="s">
        <v>15</v>
      </c>
      <c r="G998" t="s">
        <v>29</v>
      </c>
      <c r="H998">
        <f t="shared" si="15"/>
        <v>997</v>
      </c>
      <c r="I998" t="s">
        <v>17</v>
      </c>
      <c r="J998" s="3">
        <v>12711</v>
      </c>
      <c r="K998" t="b">
        <v>1</v>
      </c>
      <c r="L998" t="b">
        <v>0</v>
      </c>
      <c r="M998" t="b">
        <v>0</v>
      </c>
    </row>
    <row r="999" spans="1:13" x14ac:dyDescent="0.3">
      <c r="A999">
        <v>27</v>
      </c>
      <c r="B999" t="s">
        <v>25</v>
      </c>
      <c r="C999" s="1">
        <v>5</v>
      </c>
      <c r="D999" t="s">
        <v>28</v>
      </c>
      <c r="E999" t="s">
        <v>20</v>
      </c>
      <c r="F999" t="s">
        <v>15</v>
      </c>
      <c r="G999" t="s">
        <v>29</v>
      </c>
      <c r="H999">
        <f t="shared" si="15"/>
        <v>998</v>
      </c>
      <c r="I999" t="s">
        <v>21</v>
      </c>
      <c r="J999" s="3">
        <v>17595</v>
      </c>
      <c r="K999" t="b">
        <v>1</v>
      </c>
      <c r="L999" t="b">
        <v>0</v>
      </c>
      <c r="M999" t="b">
        <v>1</v>
      </c>
    </row>
    <row r="1000" spans="1:13" x14ac:dyDescent="0.3">
      <c r="A1000">
        <v>61</v>
      </c>
      <c r="B1000" t="s">
        <v>18</v>
      </c>
      <c r="C1000" s="1">
        <v>4</v>
      </c>
      <c r="D1000" t="s">
        <v>28</v>
      </c>
      <c r="E1000" t="s">
        <v>14</v>
      </c>
      <c r="F1000" t="s">
        <v>22</v>
      </c>
      <c r="G1000" t="s">
        <v>23</v>
      </c>
      <c r="H1000">
        <f t="shared" si="15"/>
        <v>999</v>
      </c>
      <c r="I1000" t="s">
        <v>24</v>
      </c>
      <c r="J1000" s="3">
        <v>16273</v>
      </c>
      <c r="K1000" t="b">
        <v>1</v>
      </c>
      <c r="L1000" t="b">
        <v>1</v>
      </c>
      <c r="M1000" t="b">
        <v>0</v>
      </c>
    </row>
    <row r="1001" spans="1:13" x14ac:dyDescent="0.3">
      <c r="A1001">
        <v>19</v>
      </c>
      <c r="B1001" t="s">
        <v>18</v>
      </c>
      <c r="C1001" s="1">
        <v>8</v>
      </c>
      <c r="D1001" t="s">
        <v>28</v>
      </c>
      <c r="E1001" t="s">
        <v>20</v>
      </c>
      <c r="F1001" t="s">
        <v>22</v>
      </c>
      <c r="G1001" t="s">
        <v>29</v>
      </c>
      <c r="H1001">
        <f t="shared" si="15"/>
        <v>1000</v>
      </c>
      <c r="I1001" t="s">
        <v>21</v>
      </c>
      <c r="J1001" s="3">
        <v>16284</v>
      </c>
      <c r="K1001" t="b">
        <v>0</v>
      </c>
      <c r="L1001" t="b">
        <v>1</v>
      </c>
      <c r="M1001" t="b">
        <v>0</v>
      </c>
    </row>
  </sheetData>
  <conditionalFormatting sqref="E1:E1048576">
    <cfRule type="colorScale" priority="1">
      <colorScale>
        <cfvo type="min"/>
        <cfvo type="percentile" val="50"/>
        <cfvo type="max"/>
        <color rgb="FF63BE7B"/>
        <color rgb="FFFFEB84"/>
        <color rgb="FFF8696B"/>
      </colorScale>
    </cfRule>
  </conditionalFormatting>
  <dataValidations count="1">
    <dataValidation type="list" allowBlank="1" showInputMessage="1" showErrorMessage="1" sqref="Q20" xr:uid="{0B2D61D6-6AFE-400D-82D9-D67BEA847287}">
      <formula1>$I$2:$I$4</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B127F-6B9F-4A96-9881-FE150A2D806A}">
  <dimension ref="A1:L1001"/>
  <sheetViews>
    <sheetView topLeftCell="A974" workbookViewId="0">
      <selection activeCell="I974" sqref="I1:I1048576"/>
    </sheetView>
  </sheetViews>
  <sheetFormatPr defaultRowHeight="14.4" x14ac:dyDescent="0.3"/>
  <sheetData>
    <row r="1" spans="1:12" x14ac:dyDescent="0.3">
      <c r="A1" t="s">
        <v>0</v>
      </c>
      <c r="B1" t="s">
        <v>1</v>
      </c>
      <c r="C1" s="1" t="s">
        <v>2</v>
      </c>
      <c r="D1" t="s">
        <v>3</v>
      </c>
      <c r="E1" t="s">
        <v>4</v>
      </c>
      <c r="F1" t="s">
        <v>5</v>
      </c>
      <c r="G1" t="s">
        <v>6</v>
      </c>
      <c r="H1" t="s">
        <v>7</v>
      </c>
      <c r="I1" s="3" t="s">
        <v>8</v>
      </c>
      <c r="J1" t="s">
        <v>9</v>
      </c>
      <c r="K1" t="s">
        <v>10</v>
      </c>
      <c r="L1" t="s">
        <v>11</v>
      </c>
    </row>
    <row r="2" spans="1:12" x14ac:dyDescent="0.3">
      <c r="A2">
        <v>56</v>
      </c>
      <c r="B2" t="s">
        <v>12</v>
      </c>
      <c r="C2" s="1">
        <v>3</v>
      </c>
      <c r="D2" t="s">
        <v>13</v>
      </c>
      <c r="E2" t="s">
        <v>14</v>
      </c>
      <c r="F2" t="s">
        <v>15</v>
      </c>
      <c r="G2" t="s">
        <v>16</v>
      </c>
      <c r="H2" t="s">
        <v>17</v>
      </c>
      <c r="I2" s="3">
        <v>19774</v>
      </c>
      <c r="J2" t="b">
        <v>1</v>
      </c>
      <c r="K2" t="b">
        <v>0</v>
      </c>
      <c r="L2" t="b">
        <v>0</v>
      </c>
    </row>
    <row r="3" spans="1:12" x14ac:dyDescent="0.3">
      <c r="A3">
        <v>46</v>
      </c>
      <c r="B3" t="s">
        <v>18</v>
      </c>
      <c r="C3" s="1">
        <v>2</v>
      </c>
      <c r="D3" t="s">
        <v>19</v>
      </c>
      <c r="E3" t="s">
        <v>20</v>
      </c>
      <c r="F3" t="s">
        <v>15</v>
      </c>
      <c r="G3" t="s">
        <v>16</v>
      </c>
      <c r="H3" t="s">
        <v>21</v>
      </c>
      <c r="I3" s="3">
        <v>10564</v>
      </c>
      <c r="J3" t="b">
        <v>1</v>
      </c>
      <c r="K3" t="b">
        <v>1</v>
      </c>
      <c r="L3" t="b">
        <v>1</v>
      </c>
    </row>
    <row r="4" spans="1:12" x14ac:dyDescent="0.3">
      <c r="A4">
        <v>32</v>
      </c>
      <c r="B4" t="s">
        <v>12</v>
      </c>
      <c r="C4" s="1">
        <v>8</v>
      </c>
      <c r="D4" t="s">
        <v>13</v>
      </c>
      <c r="E4" t="s">
        <v>14</v>
      </c>
      <c r="F4" t="s">
        <v>22</v>
      </c>
      <c r="G4" t="s">
        <v>23</v>
      </c>
      <c r="H4" t="s">
        <v>24</v>
      </c>
      <c r="I4" s="3">
        <v>13258</v>
      </c>
      <c r="J4" t="b">
        <v>0</v>
      </c>
      <c r="K4" t="b">
        <v>0</v>
      </c>
      <c r="L4" t="b">
        <v>0</v>
      </c>
    </row>
    <row r="5" spans="1:12" x14ac:dyDescent="0.3">
      <c r="A5">
        <v>60</v>
      </c>
      <c r="B5" t="s">
        <v>25</v>
      </c>
      <c r="C5" s="1">
        <v>5</v>
      </c>
      <c r="D5" t="s">
        <v>13</v>
      </c>
      <c r="E5" t="s">
        <v>20</v>
      </c>
      <c r="F5" t="s">
        <v>15</v>
      </c>
      <c r="G5" t="s">
        <v>16</v>
      </c>
      <c r="H5" t="s">
        <v>21</v>
      </c>
      <c r="I5" s="3">
        <v>12500</v>
      </c>
      <c r="J5" t="b">
        <v>0</v>
      </c>
      <c r="K5" t="b">
        <v>1</v>
      </c>
      <c r="L5" t="b">
        <v>0</v>
      </c>
    </row>
    <row r="6" spans="1:12" x14ac:dyDescent="0.3">
      <c r="A6">
        <v>25</v>
      </c>
      <c r="B6" t="s">
        <v>12</v>
      </c>
      <c r="C6" s="1">
        <v>1</v>
      </c>
      <c r="D6" t="s">
        <v>13</v>
      </c>
      <c r="E6" t="s">
        <v>26</v>
      </c>
      <c r="F6" t="s">
        <v>22</v>
      </c>
      <c r="G6" t="s">
        <v>16</v>
      </c>
      <c r="H6" t="s">
        <v>17</v>
      </c>
      <c r="I6" s="3">
        <v>14566</v>
      </c>
      <c r="J6" t="b">
        <v>0</v>
      </c>
      <c r="K6" t="b">
        <v>1</v>
      </c>
      <c r="L6" t="b">
        <v>1</v>
      </c>
    </row>
    <row r="7" spans="1:12" x14ac:dyDescent="0.3">
      <c r="A7">
        <v>38</v>
      </c>
      <c r="B7" t="s">
        <v>12</v>
      </c>
      <c r="C7" s="1">
        <v>3</v>
      </c>
      <c r="D7" t="s">
        <v>19</v>
      </c>
      <c r="E7" t="s">
        <v>20</v>
      </c>
      <c r="F7" t="s">
        <v>27</v>
      </c>
      <c r="G7" t="s">
        <v>16</v>
      </c>
      <c r="H7" t="s">
        <v>24</v>
      </c>
      <c r="I7" s="3">
        <v>19179</v>
      </c>
      <c r="J7" t="b">
        <v>1</v>
      </c>
      <c r="K7" t="b">
        <v>1</v>
      </c>
      <c r="L7" t="b">
        <v>1</v>
      </c>
    </row>
    <row r="8" spans="1:12" x14ac:dyDescent="0.3">
      <c r="A8">
        <v>56</v>
      </c>
      <c r="B8" t="s">
        <v>12</v>
      </c>
      <c r="C8" s="1">
        <v>8</v>
      </c>
      <c r="D8" t="s">
        <v>28</v>
      </c>
      <c r="E8" t="s">
        <v>14</v>
      </c>
      <c r="F8" t="s">
        <v>27</v>
      </c>
      <c r="G8" t="s">
        <v>16</v>
      </c>
      <c r="H8" t="s">
        <v>21</v>
      </c>
      <c r="I8" s="3">
        <v>16881</v>
      </c>
      <c r="J8" t="b">
        <v>1</v>
      </c>
      <c r="K8" t="b">
        <v>1</v>
      </c>
      <c r="L8" t="b">
        <v>1</v>
      </c>
    </row>
    <row r="9" spans="1:12" x14ac:dyDescent="0.3">
      <c r="A9">
        <v>36</v>
      </c>
      <c r="B9" t="s">
        <v>12</v>
      </c>
      <c r="C9" s="1">
        <v>4</v>
      </c>
      <c r="D9" t="s">
        <v>13</v>
      </c>
      <c r="E9" t="s">
        <v>14</v>
      </c>
      <c r="F9" t="s">
        <v>22</v>
      </c>
      <c r="G9" t="s">
        <v>16</v>
      </c>
      <c r="H9" t="s">
        <v>24</v>
      </c>
      <c r="I9" s="3">
        <v>13636</v>
      </c>
      <c r="J9" t="b">
        <v>1</v>
      </c>
      <c r="K9" t="b">
        <v>0</v>
      </c>
      <c r="L9" t="b">
        <v>1</v>
      </c>
    </row>
    <row r="10" spans="1:12" x14ac:dyDescent="0.3">
      <c r="A10">
        <v>40</v>
      </c>
      <c r="B10" t="s">
        <v>25</v>
      </c>
      <c r="C10" s="1">
        <v>7</v>
      </c>
      <c r="D10" t="s">
        <v>28</v>
      </c>
      <c r="E10" t="s">
        <v>26</v>
      </c>
      <c r="F10" t="s">
        <v>22</v>
      </c>
      <c r="G10" t="s">
        <v>23</v>
      </c>
      <c r="H10" t="s">
        <v>24</v>
      </c>
      <c r="I10" s="3">
        <v>16030</v>
      </c>
      <c r="J10" t="b">
        <v>0</v>
      </c>
      <c r="K10" t="b">
        <v>0</v>
      </c>
      <c r="L10" t="b">
        <v>1</v>
      </c>
    </row>
    <row r="11" spans="1:12" x14ac:dyDescent="0.3">
      <c r="A11">
        <v>28</v>
      </c>
      <c r="B11" t="s">
        <v>25</v>
      </c>
      <c r="C11" s="1">
        <v>2</v>
      </c>
      <c r="D11" t="s">
        <v>13</v>
      </c>
      <c r="E11" t="s">
        <v>14</v>
      </c>
      <c r="F11" t="s">
        <v>22</v>
      </c>
      <c r="G11" t="s">
        <v>23</v>
      </c>
      <c r="H11" t="s">
        <v>24</v>
      </c>
      <c r="I11" s="3">
        <v>10223</v>
      </c>
      <c r="J11" t="b">
        <v>1</v>
      </c>
      <c r="K11" t="b">
        <v>0</v>
      </c>
      <c r="L11" t="b">
        <v>1</v>
      </c>
    </row>
    <row r="12" spans="1:12" x14ac:dyDescent="0.3">
      <c r="A12">
        <v>28</v>
      </c>
      <c r="B12" t="s">
        <v>18</v>
      </c>
      <c r="C12" s="1">
        <v>7</v>
      </c>
      <c r="D12" t="s">
        <v>28</v>
      </c>
      <c r="E12" t="s">
        <v>26</v>
      </c>
      <c r="F12" t="s">
        <v>15</v>
      </c>
      <c r="G12" t="s">
        <v>16</v>
      </c>
      <c r="H12" t="s">
        <v>21</v>
      </c>
      <c r="I12" s="3">
        <v>16297</v>
      </c>
      <c r="J12" t="b">
        <v>1</v>
      </c>
      <c r="K12" t="b">
        <v>1</v>
      </c>
      <c r="L12" t="b">
        <v>0</v>
      </c>
    </row>
    <row r="13" spans="1:12" x14ac:dyDescent="0.3">
      <c r="A13">
        <v>41</v>
      </c>
      <c r="B13" t="s">
        <v>25</v>
      </c>
      <c r="C13" s="1">
        <v>5</v>
      </c>
      <c r="D13" t="s">
        <v>19</v>
      </c>
      <c r="E13" t="s">
        <v>14</v>
      </c>
      <c r="F13" t="s">
        <v>27</v>
      </c>
      <c r="G13" t="s">
        <v>23</v>
      </c>
      <c r="H13" t="s">
        <v>24</v>
      </c>
      <c r="I13" s="3">
        <v>10350</v>
      </c>
      <c r="J13" t="b">
        <v>0</v>
      </c>
      <c r="K13" t="b">
        <v>0</v>
      </c>
      <c r="L13" t="b">
        <v>0</v>
      </c>
    </row>
    <row r="14" spans="1:12" x14ac:dyDescent="0.3">
      <c r="A14">
        <v>53</v>
      </c>
      <c r="B14" t="s">
        <v>25</v>
      </c>
      <c r="C14" s="1">
        <v>5</v>
      </c>
      <c r="D14" t="s">
        <v>19</v>
      </c>
      <c r="E14" t="s">
        <v>14</v>
      </c>
      <c r="F14" t="s">
        <v>22</v>
      </c>
      <c r="G14" t="s">
        <v>29</v>
      </c>
      <c r="H14" t="s">
        <v>21</v>
      </c>
      <c r="I14" s="3">
        <v>17314</v>
      </c>
      <c r="J14" t="b">
        <v>0</v>
      </c>
      <c r="K14" t="b">
        <v>1</v>
      </c>
      <c r="L14" t="b">
        <v>1</v>
      </c>
    </row>
    <row r="15" spans="1:12" x14ac:dyDescent="0.3">
      <c r="A15">
        <v>57</v>
      </c>
      <c r="B15" t="s">
        <v>18</v>
      </c>
      <c r="C15" s="1">
        <v>6</v>
      </c>
      <c r="D15" t="s">
        <v>13</v>
      </c>
      <c r="E15" t="s">
        <v>26</v>
      </c>
      <c r="F15" t="s">
        <v>15</v>
      </c>
      <c r="G15" t="s">
        <v>16</v>
      </c>
      <c r="H15" t="s">
        <v>17</v>
      </c>
      <c r="I15" s="3">
        <v>11928</v>
      </c>
      <c r="J15" t="b">
        <v>0</v>
      </c>
      <c r="K15" t="b">
        <v>1</v>
      </c>
      <c r="L15" t="b">
        <v>0</v>
      </c>
    </row>
    <row r="16" spans="1:12" x14ac:dyDescent="0.3">
      <c r="A16">
        <v>41</v>
      </c>
      <c r="B16" t="s">
        <v>25</v>
      </c>
      <c r="C16" s="1">
        <v>9</v>
      </c>
      <c r="D16" t="s">
        <v>28</v>
      </c>
      <c r="E16" t="s">
        <v>20</v>
      </c>
      <c r="F16" t="s">
        <v>27</v>
      </c>
      <c r="G16" t="s">
        <v>29</v>
      </c>
      <c r="H16" t="s">
        <v>21</v>
      </c>
      <c r="I16" s="3">
        <v>17743</v>
      </c>
      <c r="J16" t="b">
        <v>1</v>
      </c>
      <c r="K16" t="b">
        <v>1</v>
      </c>
      <c r="L16" t="b">
        <v>0</v>
      </c>
    </row>
    <row r="17" spans="1:12" x14ac:dyDescent="0.3">
      <c r="A17">
        <v>20</v>
      </c>
      <c r="B17" t="s">
        <v>12</v>
      </c>
      <c r="C17" s="1">
        <v>6</v>
      </c>
      <c r="D17" t="s">
        <v>19</v>
      </c>
      <c r="E17" t="s">
        <v>14</v>
      </c>
      <c r="F17" t="s">
        <v>15</v>
      </c>
      <c r="G17" t="s">
        <v>23</v>
      </c>
      <c r="H17" t="s">
        <v>17</v>
      </c>
      <c r="I17" s="3">
        <v>18540</v>
      </c>
      <c r="J17" t="b">
        <v>1</v>
      </c>
      <c r="K17" t="b">
        <v>1</v>
      </c>
      <c r="L17" t="b">
        <v>0</v>
      </c>
    </row>
    <row r="18" spans="1:12" x14ac:dyDescent="0.3">
      <c r="A18">
        <v>39</v>
      </c>
      <c r="B18" t="s">
        <v>12</v>
      </c>
      <c r="C18" s="1">
        <v>8</v>
      </c>
      <c r="D18" t="s">
        <v>13</v>
      </c>
      <c r="E18" t="s">
        <v>20</v>
      </c>
      <c r="F18" t="s">
        <v>27</v>
      </c>
      <c r="G18" t="s">
        <v>23</v>
      </c>
      <c r="H18" t="s">
        <v>21</v>
      </c>
      <c r="I18" s="3">
        <v>14732</v>
      </c>
      <c r="J18" t="b">
        <v>1</v>
      </c>
      <c r="K18" t="b">
        <v>1</v>
      </c>
      <c r="L18" t="b">
        <v>0</v>
      </c>
    </row>
    <row r="19" spans="1:12" x14ac:dyDescent="0.3">
      <c r="A19">
        <v>19</v>
      </c>
      <c r="B19" t="s">
        <v>18</v>
      </c>
      <c r="C19" s="1">
        <v>7</v>
      </c>
      <c r="D19" t="s">
        <v>13</v>
      </c>
      <c r="E19" t="s">
        <v>14</v>
      </c>
      <c r="F19" t="s">
        <v>15</v>
      </c>
      <c r="G19" t="s">
        <v>29</v>
      </c>
      <c r="H19" t="s">
        <v>24</v>
      </c>
      <c r="I19" s="3">
        <v>11017</v>
      </c>
      <c r="J19" t="b">
        <v>0</v>
      </c>
      <c r="K19" t="b">
        <v>1</v>
      </c>
      <c r="L19" t="b">
        <v>1</v>
      </c>
    </row>
    <row r="20" spans="1:12" x14ac:dyDescent="0.3">
      <c r="A20">
        <v>41</v>
      </c>
      <c r="B20" t="s">
        <v>18</v>
      </c>
      <c r="C20" s="1">
        <v>9</v>
      </c>
      <c r="D20" t="s">
        <v>19</v>
      </c>
      <c r="E20" t="s">
        <v>14</v>
      </c>
      <c r="F20" t="s">
        <v>27</v>
      </c>
      <c r="G20" t="s">
        <v>23</v>
      </c>
      <c r="H20" t="s">
        <v>21</v>
      </c>
      <c r="I20" s="3">
        <v>12226</v>
      </c>
      <c r="J20" t="b">
        <v>0</v>
      </c>
      <c r="K20" t="b">
        <v>0</v>
      </c>
      <c r="L20" t="b">
        <v>0</v>
      </c>
    </row>
    <row r="21" spans="1:12" x14ac:dyDescent="0.3">
      <c r="A21">
        <v>61</v>
      </c>
      <c r="B21" t="s">
        <v>18</v>
      </c>
      <c r="C21" s="1">
        <v>4</v>
      </c>
      <c r="D21" t="s">
        <v>19</v>
      </c>
      <c r="E21" t="s">
        <v>14</v>
      </c>
      <c r="F21" t="s">
        <v>27</v>
      </c>
      <c r="G21" t="s">
        <v>16</v>
      </c>
      <c r="H21" t="s">
        <v>24</v>
      </c>
      <c r="I21" s="3">
        <v>17206</v>
      </c>
      <c r="J21" t="b">
        <v>0</v>
      </c>
      <c r="K21" t="b">
        <v>0</v>
      </c>
      <c r="L21" t="b">
        <v>0</v>
      </c>
    </row>
    <row r="22" spans="1:12" x14ac:dyDescent="0.3">
      <c r="A22">
        <v>47</v>
      </c>
      <c r="B22" t="s">
        <v>12</v>
      </c>
      <c r="C22" s="1">
        <v>2</v>
      </c>
      <c r="D22" t="s">
        <v>13</v>
      </c>
      <c r="E22" t="s">
        <v>14</v>
      </c>
      <c r="F22" t="s">
        <v>15</v>
      </c>
      <c r="G22" t="s">
        <v>29</v>
      </c>
      <c r="H22" t="s">
        <v>17</v>
      </c>
      <c r="I22" s="3">
        <v>17170</v>
      </c>
      <c r="J22" t="b">
        <v>0</v>
      </c>
      <c r="K22" t="b">
        <v>0</v>
      </c>
      <c r="L22" t="b">
        <v>1</v>
      </c>
    </row>
    <row r="23" spans="1:12" x14ac:dyDescent="0.3">
      <c r="A23">
        <v>55</v>
      </c>
      <c r="B23" t="s">
        <v>25</v>
      </c>
      <c r="C23" s="1">
        <v>7</v>
      </c>
      <c r="D23" t="s">
        <v>28</v>
      </c>
      <c r="E23" t="s">
        <v>20</v>
      </c>
      <c r="F23" t="s">
        <v>22</v>
      </c>
      <c r="G23" t="s">
        <v>16</v>
      </c>
      <c r="H23" t="s">
        <v>21</v>
      </c>
      <c r="I23" s="3">
        <v>16207</v>
      </c>
      <c r="J23" t="b">
        <v>1</v>
      </c>
      <c r="K23" t="b">
        <v>0</v>
      </c>
      <c r="L23" t="b">
        <v>1</v>
      </c>
    </row>
    <row r="24" spans="1:12" x14ac:dyDescent="0.3">
      <c r="A24">
        <v>19</v>
      </c>
      <c r="B24" t="s">
        <v>12</v>
      </c>
      <c r="C24" s="1">
        <v>6</v>
      </c>
      <c r="D24" t="s">
        <v>28</v>
      </c>
      <c r="E24" t="s">
        <v>20</v>
      </c>
      <c r="F24" t="s">
        <v>27</v>
      </c>
      <c r="G24" t="s">
        <v>29</v>
      </c>
      <c r="H24" t="s">
        <v>24</v>
      </c>
      <c r="I24" s="3">
        <v>12419</v>
      </c>
      <c r="J24" t="b">
        <v>1</v>
      </c>
      <c r="K24" t="b">
        <v>1</v>
      </c>
      <c r="L24" t="b">
        <v>1</v>
      </c>
    </row>
    <row r="25" spans="1:12" x14ac:dyDescent="0.3">
      <c r="A25">
        <v>38</v>
      </c>
      <c r="B25" t="s">
        <v>18</v>
      </c>
      <c r="C25" s="1">
        <v>1</v>
      </c>
      <c r="D25" t="s">
        <v>28</v>
      </c>
      <c r="E25" t="s">
        <v>14</v>
      </c>
      <c r="F25" t="s">
        <v>22</v>
      </c>
      <c r="G25" t="s">
        <v>23</v>
      </c>
      <c r="H25" t="s">
        <v>17</v>
      </c>
      <c r="I25" s="3">
        <v>16240</v>
      </c>
      <c r="J25" t="b">
        <v>1</v>
      </c>
      <c r="K25" t="b">
        <v>1</v>
      </c>
      <c r="L25" t="b">
        <v>1</v>
      </c>
    </row>
    <row r="26" spans="1:12" x14ac:dyDescent="0.3">
      <c r="A26">
        <v>50</v>
      </c>
      <c r="B26" t="s">
        <v>25</v>
      </c>
      <c r="C26" s="1">
        <v>9</v>
      </c>
      <c r="D26" t="s">
        <v>13</v>
      </c>
      <c r="E26" t="s">
        <v>14</v>
      </c>
      <c r="F26" t="s">
        <v>15</v>
      </c>
      <c r="G26" t="s">
        <v>29</v>
      </c>
      <c r="H26" t="s">
        <v>17</v>
      </c>
      <c r="I26" s="3">
        <v>11893</v>
      </c>
      <c r="J26" t="b">
        <v>1</v>
      </c>
      <c r="K26" t="b">
        <v>0</v>
      </c>
      <c r="L26" t="b">
        <v>0</v>
      </c>
    </row>
    <row r="27" spans="1:12" x14ac:dyDescent="0.3">
      <c r="A27">
        <v>29</v>
      </c>
      <c r="B27" t="s">
        <v>25</v>
      </c>
      <c r="C27" s="1">
        <v>9</v>
      </c>
      <c r="D27" t="s">
        <v>19</v>
      </c>
      <c r="E27" t="s">
        <v>20</v>
      </c>
      <c r="F27" t="s">
        <v>22</v>
      </c>
      <c r="G27" t="s">
        <v>29</v>
      </c>
      <c r="H27" t="s">
        <v>21</v>
      </c>
      <c r="I27" s="3">
        <v>15322</v>
      </c>
      <c r="J27" t="b">
        <v>1</v>
      </c>
      <c r="K27" t="b">
        <v>0</v>
      </c>
      <c r="L27" t="b">
        <v>1</v>
      </c>
    </row>
    <row r="28" spans="1:12" x14ac:dyDescent="0.3">
      <c r="A28">
        <v>39</v>
      </c>
      <c r="B28" t="s">
        <v>12</v>
      </c>
      <c r="C28" s="1">
        <v>2</v>
      </c>
      <c r="D28" t="s">
        <v>13</v>
      </c>
      <c r="E28" t="s">
        <v>26</v>
      </c>
      <c r="F28" t="s">
        <v>22</v>
      </c>
      <c r="G28" t="s">
        <v>16</v>
      </c>
      <c r="H28" t="s">
        <v>17</v>
      </c>
      <c r="I28" s="3">
        <v>17718</v>
      </c>
      <c r="J28" t="b">
        <v>1</v>
      </c>
      <c r="K28" t="b">
        <v>0</v>
      </c>
      <c r="L28" t="b">
        <v>0</v>
      </c>
    </row>
    <row r="29" spans="1:12" x14ac:dyDescent="0.3">
      <c r="A29">
        <v>61</v>
      </c>
      <c r="B29" t="s">
        <v>18</v>
      </c>
      <c r="C29" s="1">
        <v>3</v>
      </c>
      <c r="D29" t="s">
        <v>19</v>
      </c>
      <c r="E29" t="s">
        <v>26</v>
      </c>
      <c r="F29" t="s">
        <v>22</v>
      </c>
      <c r="G29" t="s">
        <v>23</v>
      </c>
      <c r="H29" t="s">
        <v>24</v>
      </c>
      <c r="I29" s="3">
        <v>16878</v>
      </c>
      <c r="J29" t="b">
        <v>1</v>
      </c>
      <c r="K29" t="b">
        <v>0</v>
      </c>
      <c r="L29" t="b">
        <v>0</v>
      </c>
    </row>
    <row r="30" spans="1:12" x14ac:dyDescent="0.3">
      <c r="A30">
        <v>42</v>
      </c>
      <c r="B30" t="s">
        <v>12</v>
      </c>
      <c r="C30" s="1">
        <v>5</v>
      </c>
      <c r="D30" t="s">
        <v>28</v>
      </c>
      <c r="E30" t="s">
        <v>20</v>
      </c>
      <c r="F30" t="s">
        <v>22</v>
      </c>
      <c r="G30" t="s">
        <v>16</v>
      </c>
      <c r="H30" t="s">
        <v>17</v>
      </c>
      <c r="I30" s="3">
        <v>11125</v>
      </c>
      <c r="J30" t="b">
        <v>1</v>
      </c>
      <c r="K30" t="b">
        <v>0</v>
      </c>
      <c r="L30" t="b">
        <v>1</v>
      </c>
    </row>
    <row r="31" spans="1:12" x14ac:dyDescent="0.3">
      <c r="A31">
        <v>44</v>
      </c>
      <c r="B31" t="s">
        <v>25</v>
      </c>
      <c r="C31" s="1">
        <v>5</v>
      </c>
      <c r="D31" t="s">
        <v>28</v>
      </c>
      <c r="E31" t="s">
        <v>14</v>
      </c>
      <c r="F31" t="s">
        <v>22</v>
      </c>
      <c r="G31" t="s">
        <v>23</v>
      </c>
      <c r="H31" t="s">
        <v>17</v>
      </c>
      <c r="I31" s="3">
        <v>13117</v>
      </c>
      <c r="J31" t="b">
        <v>0</v>
      </c>
      <c r="K31" t="b">
        <v>0</v>
      </c>
      <c r="L31" t="b">
        <v>1</v>
      </c>
    </row>
    <row r="32" spans="1:12" x14ac:dyDescent="0.3">
      <c r="A32">
        <v>59</v>
      </c>
      <c r="B32" t="s">
        <v>12</v>
      </c>
      <c r="C32" s="1">
        <v>1</v>
      </c>
      <c r="D32" t="s">
        <v>19</v>
      </c>
      <c r="E32" t="s">
        <v>14</v>
      </c>
      <c r="F32" t="s">
        <v>27</v>
      </c>
      <c r="G32" t="s">
        <v>16</v>
      </c>
      <c r="H32" t="s">
        <v>24</v>
      </c>
      <c r="I32" s="3">
        <v>14161</v>
      </c>
      <c r="J32" t="b">
        <v>0</v>
      </c>
      <c r="K32" t="b">
        <v>0</v>
      </c>
      <c r="L32" t="b">
        <v>1</v>
      </c>
    </row>
    <row r="33" spans="1:12" x14ac:dyDescent="0.3">
      <c r="A33">
        <v>45</v>
      </c>
      <c r="B33" t="s">
        <v>12</v>
      </c>
      <c r="C33" s="1">
        <v>8</v>
      </c>
      <c r="D33" t="s">
        <v>19</v>
      </c>
      <c r="E33" t="s">
        <v>26</v>
      </c>
      <c r="F33" t="s">
        <v>27</v>
      </c>
      <c r="G33" t="s">
        <v>29</v>
      </c>
      <c r="H33" t="s">
        <v>17</v>
      </c>
      <c r="I33" s="3">
        <v>14042</v>
      </c>
      <c r="J33" t="b">
        <v>1</v>
      </c>
      <c r="K33" t="b">
        <v>0</v>
      </c>
      <c r="L33" t="b">
        <v>1</v>
      </c>
    </row>
    <row r="34" spans="1:12" x14ac:dyDescent="0.3">
      <c r="A34">
        <v>33</v>
      </c>
      <c r="B34" t="s">
        <v>18</v>
      </c>
      <c r="C34" s="1">
        <v>8</v>
      </c>
      <c r="D34" t="s">
        <v>13</v>
      </c>
      <c r="E34" t="s">
        <v>26</v>
      </c>
      <c r="F34" t="s">
        <v>27</v>
      </c>
      <c r="G34" t="s">
        <v>16</v>
      </c>
      <c r="H34" t="s">
        <v>17</v>
      </c>
      <c r="I34" s="3">
        <v>14433</v>
      </c>
      <c r="J34" t="b">
        <v>0</v>
      </c>
      <c r="K34" t="b">
        <v>1</v>
      </c>
      <c r="L34" t="b">
        <v>1</v>
      </c>
    </row>
    <row r="35" spans="1:12" x14ac:dyDescent="0.3">
      <c r="A35">
        <v>32</v>
      </c>
      <c r="B35" t="s">
        <v>18</v>
      </c>
      <c r="C35" s="1">
        <v>4</v>
      </c>
      <c r="D35" t="s">
        <v>28</v>
      </c>
      <c r="E35" t="s">
        <v>20</v>
      </c>
      <c r="F35" t="s">
        <v>15</v>
      </c>
      <c r="G35" t="s">
        <v>23</v>
      </c>
      <c r="H35" t="s">
        <v>17</v>
      </c>
      <c r="I35" s="3">
        <v>18638</v>
      </c>
      <c r="J35" t="b">
        <v>1</v>
      </c>
      <c r="K35" t="b">
        <v>1</v>
      </c>
      <c r="L35" t="b">
        <v>1</v>
      </c>
    </row>
    <row r="36" spans="1:12" x14ac:dyDescent="0.3">
      <c r="A36">
        <v>64</v>
      </c>
      <c r="B36" t="s">
        <v>25</v>
      </c>
      <c r="C36" s="1">
        <v>7</v>
      </c>
      <c r="D36" t="s">
        <v>13</v>
      </c>
      <c r="E36" t="s">
        <v>26</v>
      </c>
      <c r="F36" t="s">
        <v>22</v>
      </c>
      <c r="G36" t="s">
        <v>23</v>
      </c>
      <c r="H36" t="s">
        <v>17</v>
      </c>
      <c r="I36" s="3">
        <v>12658</v>
      </c>
      <c r="J36" t="b">
        <v>1</v>
      </c>
      <c r="K36" t="b">
        <v>1</v>
      </c>
      <c r="L36" t="b">
        <v>0</v>
      </c>
    </row>
    <row r="37" spans="1:12" x14ac:dyDescent="0.3">
      <c r="A37">
        <v>61</v>
      </c>
      <c r="B37" t="s">
        <v>12</v>
      </c>
      <c r="C37" s="1">
        <v>3</v>
      </c>
      <c r="D37" t="s">
        <v>13</v>
      </c>
      <c r="E37" t="s">
        <v>20</v>
      </c>
      <c r="F37" t="s">
        <v>27</v>
      </c>
      <c r="G37" t="s">
        <v>29</v>
      </c>
      <c r="H37" t="s">
        <v>24</v>
      </c>
      <c r="I37" s="3">
        <v>13483</v>
      </c>
      <c r="J37" t="b">
        <v>0</v>
      </c>
      <c r="K37" t="b">
        <v>1</v>
      </c>
      <c r="L37" t="b">
        <v>0</v>
      </c>
    </row>
    <row r="38" spans="1:12" x14ac:dyDescent="0.3">
      <c r="A38">
        <v>20</v>
      </c>
      <c r="B38" t="s">
        <v>12</v>
      </c>
      <c r="C38" s="1">
        <v>6</v>
      </c>
      <c r="D38" t="s">
        <v>13</v>
      </c>
      <c r="E38" t="s">
        <v>26</v>
      </c>
      <c r="F38" t="s">
        <v>15</v>
      </c>
      <c r="G38" t="s">
        <v>23</v>
      </c>
      <c r="H38" t="s">
        <v>17</v>
      </c>
      <c r="I38" s="3">
        <v>12944</v>
      </c>
      <c r="J38" t="b">
        <v>1</v>
      </c>
      <c r="K38" t="b">
        <v>0</v>
      </c>
      <c r="L38" t="b">
        <v>0</v>
      </c>
    </row>
    <row r="39" spans="1:12" x14ac:dyDescent="0.3">
      <c r="A39">
        <v>54</v>
      </c>
      <c r="B39" t="s">
        <v>12</v>
      </c>
      <c r="C39" s="1">
        <v>9</v>
      </c>
      <c r="D39" t="s">
        <v>28</v>
      </c>
      <c r="E39" t="s">
        <v>26</v>
      </c>
      <c r="F39" t="s">
        <v>27</v>
      </c>
      <c r="G39" t="s">
        <v>16</v>
      </c>
      <c r="H39" t="s">
        <v>24</v>
      </c>
      <c r="I39" s="3">
        <v>17210</v>
      </c>
      <c r="J39" t="b">
        <v>1</v>
      </c>
      <c r="K39" t="b">
        <v>1</v>
      </c>
      <c r="L39" t="b">
        <v>0</v>
      </c>
    </row>
    <row r="40" spans="1:12" x14ac:dyDescent="0.3">
      <c r="A40">
        <v>24</v>
      </c>
      <c r="B40" t="s">
        <v>25</v>
      </c>
      <c r="C40" s="1">
        <v>1</v>
      </c>
      <c r="D40" t="s">
        <v>13</v>
      </c>
      <c r="E40" t="s">
        <v>26</v>
      </c>
      <c r="F40" t="s">
        <v>27</v>
      </c>
      <c r="G40" t="s">
        <v>29</v>
      </c>
      <c r="H40" t="s">
        <v>17</v>
      </c>
      <c r="I40" s="3">
        <v>17653</v>
      </c>
      <c r="J40" t="b">
        <v>1</v>
      </c>
      <c r="K40" t="b">
        <v>0</v>
      </c>
      <c r="L40" t="b">
        <v>1</v>
      </c>
    </row>
    <row r="41" spans="1:12" x14ac:dyDescent="0.3">
      <c r="A41">
        <v>38</v>
      </c>
      <c r="B41" t="s">
        <v>25</v>
      </c>
      <c r="C41" s="1">
        <v>5</v>
      </c>
      <c r="D41" t="s">
        <v>13</v>
      </c>
      <c r="E41" t="s">
        <v>14</v>
      </c>
      <c r="F41" t="s">
        <v>22</v>
      </c>
      <c r="G41" t="s">
        <v>23</v>
      </c>
      <c r="H41" t="s">
        <v>17</v>
      </c>
      <c r="I41" s="3">
        <v>18787</v>
      </c>
      <c r="J41" t="b">
        <v>1</v>
      </c>
      <c r="K41" t="b">
        <v>1</v>
      </c>
      <c r="L41" t="b">
        <v>1</v>
      </c>
    </row>
    <row r="42" spans="1:12" x14ac:dyDescent="0.3">
      <c r="A42">
        <v>26</v>
      </c>
      <c r="B42" t="s">
        <v>18</v>
      </c>
      <c r="C42" s="1">
        <v>4</v>
      </c>
      <c r="D42" t="s">
        <v>13</v>
      </c>
      <c r="E42" t="s">
        <v>14</v>
      </c>
      <c r="F42" t="s">
        <v>15</v>
      </c>
      <c r="G42" t="s">
        <v>23</v>
      </c>
      <c r="H42" t="s">
        <v>17</v>
      </c>
      <c r="I42" s="3">
        <v>11986</v>
      </c>
      <c r="J42" t="b">
        <v>1</v>
      </c>
      <c r="K42" t="b">
        <v>0</v>
      </c>
      <c r="L42" t="b">
        <v>0</v>
      </c>
    </row>
    <row r="43" spans="1:12" x14ac:dyDescent="0.3">
      <c r="A43">
        <v>56</v>
      </c>
      <c r="B43" t="s">
        <v>18</v>
      </c>
      <c r="C43" s="1">
        <v>8</v>
      </c>
      <c r="D43" t="s">
        <v>13</v>
      </c>
      <c r="E43" t="s">
        <v>14</v>
      </c>
      <c r="F43" t="s">
        <v>22</v>
      </c>
      <c r="G43" t="s">
        <v>16</v>
      </c>
      <c r="H43" t="s">
        <v>17</v>
      </c>
      <c r="I43" s="3">
        <v>11074</v>
      </c>
      <c r="J43" t="b">
        <v>1</v>
      </c>
      <c r="K43" t="b">
        <v>0</v>
      </c>
      <c r="L43" t="b">
        <v>0</v>
      </c>
    </row>
    <row r="44" spans="1:12" x14ac:dyDescent="0.3">
      <c r="A44">
        <v>35</v>
      </c>
      <c r="B44" t="s">
        <v>18</v>
      </c>
      <c r="C44" s="1">
        <v>1</v>
      </c>
      <c r="D44" t="s">
        <v>13</v>
      </c>
      <c r="E44" t="s">
        <v>26</v>
      </c>
      <c r="F44" t="s">
        <v>22</v>
      </c>
      <c r="G44" t="s">
        <v>16</v>
      </c>
      <c r="H44" t="s">
        <v>24</v>
      </c>
      <c r="I44" s="3">
        <v>14305</v>
      </c>
      <c r="J44" t="b">
        <v>1</v>
      </c>
      <c r="K44" t="b">
        <v>1</v>
      </c>
      <c r="L44" t="b">
        <v>0</v>
      </c>
    </row>
    <row r="45" spans="1:12" x14ac:dyDescent="0.3">
      <c r="A45">
        <v>21</v>
      </c>
      <c r="B45" t="s">
        <v>12</v>
      </c>
      <c r="C45" s="1">
        <v>9</v>
      </c>
      <c r="D45" t="s">
        <v>13</v>
      </c>
      <c r="E45" t="s">
        <v>20</v>
      </c>
      <c r="F45" t="s">
        <v>27</v>
      </c>
      <c r="G45" t="s">
        <v>29</v>
      </c>
      <c r="H45" t="s">
        <v>24</v>
      </c>
      <c r="I45" s="3">
        <v>13007</v>
      </c>
      <c r="J45" t="b">
        <v>0</v>
      </c>
      <c r="K45" t="b">
        <v>1</v>
      </c>
      <c r="L45" t="b">
        <v>1</v>
      </c>
    </row>
    <row r="46" spans="1:12" x14ac:dyDescent="0.3">
      <c r="A46">
        <v>42</v>
      </c>
      <c r="B46" t="s">
        <v>12</v>
      </c>
      <c r="C46" s="1">
        <v>6</v>
      </c>
      <c r="D46" t="s">
        <v>28</v>
      </c>
      <c r="E46" t="s">
        <v>20</v>
      </c>
      <c r="F46" t="s">
        <v>22</v>
      </c>
      <c r="G46" t="s">
        <v>23</v>
      </c>
      <c r="H46" t="s">
        <v>24</v>
      </c>
      <c r="I46" s="3">
        <v>10969</v>
      </c>
      <c r="J46" t="b">
        <v>0</v>
      </c>
      <c r="K46" t="b">
        <v>0</v>
      </c>
      <c r="L46" t="b">
        <v>1</v>
      </c>
    </row>
    <row r="47" spans="1:12" x14ac:dyDescent="0.3">
      <c r="A47">
        <v>31</v>
      </c>
      <c r="B47" t="s">
        <v>18</v>
      </c>
      <c r="C47" s="1">
        <v>4</v>
      </c>
      <c r="D47" t="s">
        <v>13</v>
      </c>
      <c r="E47" t="s">
        <v>20</v>
      </c>
      <c r="F47" t="s">
        <v>15</v>
      </c>
      <c r="G47" t="s">
        <v>16</v>
      </c>
      <c r="H47" t="s">
        <v>21</v>
      </c>
      <c r="I47" s="3">
        <v>18772</v>
      </c>
      <c r="J47" t="b">
        <v>1</v>
      </c>
      <c r="K47" t="b">
        <v>0</v>
      </c>
      <c r="L47" t="b">
        <v>1</v>
      </c>
    </row>
    <row r="48" spans="1:12" x14ac:dyDescent="0.3">
      <c r="A48">
        <v>26</v>
      </c>
      <c r="B48" t="s">
        <v>12</v>
      </c>
      <c r="C48" s="1">
        <v>9</v>
      </c>
      <c r="D48" t="s">
        <v>19</v>
      </c>
      <c r="E48" t="s">
        <v>20</v>
      </c>
      <c r="F48" t="s">
        <v>22</v>
      </c>
      <c r="G48" t="s">
        <v>29</v>
      </c>
      <c r="H48" t="s">
        <v>17</v>
      </c>
      <c r="I48" s="3">
        <v>12824</v>
      </c>
      <c r="J48" t="b">
        <v>0</v>
      </c>
      <c r="K48" t="b">
        <v>0</v>
      </c>
      <c r="L48" t="b">
        <v>0</v>
      </c>
    </row>
    <row r="49" spans="1:12" x14ac:dyDescent="0.3">
      <c r="A49">
        <v>43</v>
      </c>
      <c r="B49" t="s">
        <v>18</v>
      </c>
      <c r="C49" s="1">
        <v>5</v>
      </c>
      <c r="D49" t="s">
        <v>13</v>
      </c>
      <c r="E49" t="s">
        <v>14</v>
      </c>
      <c r="F49" t="s">
        <v>22</v>
      </c>
      <c r="G49" t="s">
        <v>23</v>
      </c>
      <c r="H49" t="s">
        <v>17</v>
      </c>
      <c r="I49" s="3">
        <v>11211</v>
      </c>
      <c r="J49" t="b">
        <v>1</v>
      </c>
      <c r="K49" t="b">
        <v>1</v>
      </c>
      <c r="L49" t="b">
        <v>0</v>
      </c>
    </row>
    <row r="50" spans="1:12" x14ac:dyDescent="0.3">
      <c r="A50">
        <v>19</v>
      </c>
      <c r="B50" t="s">
        <v>25</v>
      </c>
      <c r="C50" s="1">
        <v>5</v>
      </c>
      <c r="D50" t="s">
        <v>13</v>
      </c>
      <c r="E50" t="s">
        <v>14</v>
      </c>
      <c r="F50" t="s">
        <v>22</v>
      </c>
      <c r="G50" t="s">
        <v>23</v>
      </c>
      <c r="H50" t="s">
        <v>24</v>
      </c>
      <c r="I50" s="3">
        <v>10229</v>
      </c>
      <c r="J50" t="b">
        <v>1</v>
      </c>
      <c r="K50" t="b">
        <v>1</v>
      </c>
      <c r="L50" t="b">
        <v>1</v>
      </c>
    </row>
    <row r="51" spans="1:12" x14ac:dyDescent="0.3">
      <c r="A51">
        <v>37</v>
      </c>
      <c r="B51" t="s">
        <v>18</v>
      </c>
      <c r="C51" s="1">
        <v>5</v>
      </c>
      <c r="D51" t="s">
        <v>28</v>
      </c>
      <c r="E51" t="s">
        <v>26</v>
      </c>
      <c r="F51" t="s">
        <v>27</v>
      </c>
      <c r="G51" t="s">
        <v>29</v>
      </c>
      <c r="H51" t="s">
        <v>21</v>
      </c>
      <c r="I51" s="3">
        <v>14284</v>
      </c>
      <c r="J51" t="b">
        <v>1</v>
      </c>
      <c r="K51" t="b">
        <v>0</v>
      </c>
      <c r="L51" t="b">
        <v>1</v>
      </c>
    </row>
    <row r="52" spans="1:12" x14ac:dyDescent="0.3">
      <c r="A52">
        <v>45</v>
      </c>
      <c r="B52" t="s">
        <v>25</v>
      </c>
      <c r="C52" s="1">
        <v>1</v>
      </c>
      <c r="D52" t="s">
        <v>28</v>
      </c>
      <c r="E52" t="s">
        <v>26</v>
      </c>
      <c r="F52" t="s">
        <v>15</v>
      </c>
      <c r="G52" t="s">
        <v>29</v>
      </c>
      <c r="H52" t="s">
        <v>17</v>
      </c>
      <c r="I52" s="3">
        <v>13185</v>
      </c>
      <c r="J52" t="b">
        <v>1</v>
      </c>
      <c r="K52" t="b">
        <v>1</v>
      </c>
      <c r="L52" t="b">
        <v>0</v>
      </c>
    </row>
    <row r="53" spans="1:12" x14ac:dyDescent="0.3">
      <c r="A53">
        <v>64</v>
      </c>
      <c r="B53" t="s">
        <v>12</v>
      </c>
      <c r="C53" s="1">
        <v>1</v>
      </c>
      <c r="D53" t="s">
        <v>19</v>
      </c>
      <c r="E53" t="s">
        <v>20</v>
      </c>
      <c r="F53" t="s">
        <v>27</v>
      </c>
      <c r="G53" t="s">
        <v>16</v>
      </c>
      <c r="H53" t="s">
        <v>24</v>
      </c>
      <c r="I53" s="3">
        <v>10501</v>
      </c>
      <c r="J53" t="b">
        <v>0</v>
      </c>
      <c r="K53" t="b">
        <v>0</v>
      </c>
      <c r="L53" t="b">
        <v>0</v>
      </c>
    </row>
    <row r="54" spans="1:12" x14ac:dyDescent="0.3">
      <c r="A54">
        <v>24</v>
      </c>
      <c r="B54" t="s">
        <v>18</v>
      </c>
      <c r="C54" s="1">
        <v>8</v>
      </c>
      <c r="D54" t="s">
        <v>19</v>
      </c>
      <c r="E54" t="s">
        <v>14</v>
      </c>
      <c r="F54" t="s">
        <v>27</v>
      </c>
      <c r="G54" t="s">
        <v>23</v>
      </c>
      <c r="H54" t="s">
        <v>17</v>
      </c>
      <c r="I54" s="3">
        <v>10048</v>
      </c>
      <c r="J54" t="b">
        <v>0</v>
      </c>
      <c r="K54" t="b">
        <v>1</v>
      </c>
      <c r="L54" t="b">
        <v>1</v>
      </c>
    </row>
    <row r="55" spans="1:12" x14ac:dyDescent="0.3">
      <c r="A55">
        <v>61</v>
      </c>
      <c r="B55" t="s">
        <v>12</v>
      </c>
      <c r="C55" s="1">
        <v>8</v>
      </c>
      <c r="D55" t="s">
        <v>28</v>
      </c>
      <c r="E55" t="s">
        <v>20</v>
      </c>
      <c r="F55" t="s">
        <v>27</v>
      </c>
      <c r="G55" t="s">
        <v>23</v>
      </c>
      <c r="H55" t="s">
        <v>17</v>
      </c>
      <c r="I55" s="3">
        <v>13566</v>
      </c>
      <c r="J55" t="b">
        <v>0</v>
      </c>
      <c r="K55" t="b">
        <v>1</v>
      </c>
      <c r="L55" t="b">
        <v>0</v>
      </c>
    </row>
    <row r="56" spans="1:12" x14ac:dyDescent="0.3">
      <c r="A56">
        <v>25</v>
      </c>
      <c r="B56" t="s">
        <v>25</v>
      </c>
      <c r="C56" s="1">
        <v>6</v>
      </c>
      <c r="D56" t="s">
        <v>28</v>
      </c>
      <c r="E56" t="s">
        <v>26</v>
      </c>
      <c r="F56" t="s">
        <v>27</v>
      </c>
      <c r="G56" t="s">
        <v>23</v>
      </c>
      <c r="H56" t="s">
        <v>24</v>
      </c>
      <c r="I56" s="3">
        <v>13055</v>
      </c>
      <c r="J56" t="b">
        <v>0</v>
      </c>
      <c r="K56" t="b">
        <v>1</v>
      </c>
      <c r="L56" t="b">
        <v>1</v>
      </c>
    </row>
    <row r="57" spans="1:12" x14ac:dyDescent="0.3">
      <c r="A57">
        <v>64</v>
      </c>
      <c r="B57" t="s">
        <v>25</v>
      </c>
      <c r="C57" s="1">
        <v>4</v>
      </c>
      <c r="D57" t="s">
        <v>13</v>
      </c>
      <c r="E57" t="s">
        <v>26</v>
      </c>
      <c r="F57" t="s">
        <v>27</v>
      </c>
      <c r="G57" t="s">
        <v>29</v>
      </c>
      <c r="H57" t="s">
        <v>24</v>
      </c>
      <c r="I57" s="3">
        <v>18880</v>
      </c>
      <c r="J57" t="b">
        <v>1</v>
      </c>
      <c r="K57" t="b">
        <v>1</v>
      </c>
      <c r="L57" t="b">
        <v>1</v>
      </c>
    </row>
    <row r="58" spans="1:12" x14ac:dyDescent="0.3">
      <c r="A58">
        <v>52</v>
      </c>
      <c r="B58" t="s">
        <v>25</v>
      </c>
      <c r="C58" s="1">
        <v>2</v>
      </c>
      <c r="D58" t="s">
        <v>28</v>
      </c>
      <c r="E58" t="s">
        <v>20</v>
      </c>
      <c r="F58" t="s">
        <v>15</v>
      </c>
      <c r="G58" t="s">
        <v>16</v>
      </c>
      <c r="H58" t="s">
        <v>17</v>
      </c>
      <c r="I58" s="3">
        <v>10386</v>
      </c>
      <c r="J58" t="b">
        <v>0</v>
      </c>
      <c r="K58" t="b">
        <v>1</v>
      </c>
      <c r="L58" t="b">
        <v>0</v>
      </c>
    </row>
    <row r="59" spans="1:12" x14ac:dyDescent="0.3">
      <c r="A59">
        <v>31</v>
      </c>
      <c r="B59" t="s">
        <v>12</v>
      </c>
      <c r="C59" s="1">
        <v>2</v>
      </c>
      <c r="D59" t="s">
        <v>19</v>
      </c>
      <c r="E59" t="s">
        <v>26</v>
      </c>
      <c r="F59" t="s">
        <v>22</v>
      </c>
      <c r="G59" t="s">
        <v>23</v>
      </c>
      <c r="H59" t="s">
        <v>17</v>
      </c>
      <c r="I59" s="3">
        <v>10969</v>
      </c>
      <c r="J59" t="b">
        <v>1</v>
      </c>
      <c r="K59" t="b">
        <v>0</v>
      </c>
      <c r="L59" t="b">
        <v>0</v>
      </c>
    </row>
    <row r="60" spans="1:12" x14ac:dyDescent="0.3">
      <c r="A60">
        <v>34</v>
      </c>
      <c r="B60" t="s">
        <v>12</v>
      </c>
      <c r="C60" s="1">
        <v>9</v>
      </c>
      <c r="D60" t="s">
        <v>13</v>
      </c>
      <c r="E60" t="s">
        <v>20</v>
      </c>
      <c r="F60" t="s">
        <v>27</v>
      </c>
      <c r="G60" t="s">
        <v>29</v>
      </c>
      <c r="H60" t="s">
        <v>24</v>
      </c>
      <c r="I60" s="3">
        <v>19197</v>
      </c>
      <c r="J60" t="b">
        <v>1</v>
      </c>
      <c r="K60" t="b">
        <v>0</v>
      </c>
      <c r="L60" t="b">
        <v>0</v>
      </c>
    </row>
    <row r="61" spans="1:12" x14ac:dyDescent="0.3">
      <c r="A61">
        <v>53</v>
      </c>
      <c r="B61" t="s">
        <v>12</v>
      </c>
      <c r="C61" s="1">
        <v>5</v>
      </c>
      <c r="D61" t="s">
        <v>19</v>
      </c>
      <c r="E61" t="s">
        <v>14</v>
      </c>
      <c r="F61" t="s">
        <v>27</v>
      </c>
      <c r="G61" t="s">
        <v>23</v>
      </c>
      <c r="H61" t="s">
        <v>17</v>
      </c>
      <c r="I61" s="3">
        <v>15820</v>
      </c>
      <c r="J61" t="b">
        <v>0</v>
      </c>
      <c r="K61" t="b">
        <v>1</v>
      </c>
      <c r="L61" t="b">
        <v>1</v>
      </c>
    </row>
    <row r="62" spans="1:12" x14ac:dyDescent="0.3">
      <c r="A62">
        <v>57</v>
      </c>
      <c r="B62" t="s">
        <v>12</v>
      </c>
      <c r="C62" s="1">
        <v>4</v>
      </c>
      <c r="D62" t="s">
        <v>13</v>
      </c>
      <c r="E62" t="s">
        <v>20</v>
      </c>
      <c r="F62" t="s">
        <v>15</v>
      </c>
      <c r="G62" t="s">
        <v>16</v>
      </c>
      <c r="H62" t="s">
        <v>17</v>
      </c>
      <c r="I62" s="3">
        <v>13052</v>
      </c>
      <c r="J62" t="b">
        <v>1</v>
      </c>
      <c r="K62" t="b">
        <v>0</v>
      </c>
      <c r="L62" t="b">
        <v>0</v>
      </c>
    </row>
    <row r="63" spans="1:12" x14ac:dyDescent="0.3">
      <c r="A63">
        <v>21</v>
      </c>
      <c r="B63" t="s">
        <v>25</v>
      </c>
      <c r="C63" s="1">
        <v>1</v>
      </c>
      <c r="D63" t="s">
        <v>28</v>
      </c>
      <c r="E63" t="s">
        <v>14</v>
      </c>
      <c r="F63" t="s">
        <v>15</v>
      </c>
      <c r="G63" t="s">
        <v>23</v>
      </c>
      <c r="H63" t="s">
        <v>24</v>
      </c>
      <c r="I63" s="3">
        <v>17397</v>
      </c>
      <c r="J63" t="b">
        <v>0</v>
      </c>
      <c r="K63" t="b">
        <v>0</v>
      </c>
      <c r="L63" t="b">
        <v>0</v>
      </c>
    </row>
    <row r="64" spans="1:12" x14ac:dyDescent="0.3">
      <c r="A64">
        <v>19</v>
      </c>
      <c r="B64" t="s">
        <v>25</v>
      </c>
      <c r="C64" s="1">
        <v>7</v>
      </c>
      <c r="D64" t="s">
        <v>19</v>
      </c>
      <c r="E64" t="s">
        <v>14</v>
      </c>
      <c r="F64" t="s">
        <v>22</v>
      </c>
      <c r="G64" t="s">
        <v>16</v>
      </c>
      <c r="H64" t="s">
        <v>17</v>
      </c>
      <c r="I64" s="3">
        <v>12302</v>
      </c>
      <c r="J64" t="b">
        <v>0</v>
      </c>
      <c r="K64" t="b">
        <v>1</v>
      </c>
      <c r="L64" t="b">
        <v>1</v>
      </c>
    </row>
    <row r="65" spans="1:12" x14ac:dyDescent="0.3">
      <c r="A65">
        <v>23</v>
      </c>
      <c r="B65" t="s">
        <v>18</v>
      </c>
      <c r="C65" s="1">
        <v>3</v>
      </c>
      <c r="D65" t="s">
        <v>13</v>
      </c>
      <c r="E65" t="s">
        <v>26</v>
      </c>
      <c r="F65" t="s">
        <v>15</v>
      </c>
      <c r="G65" t="s">
        <v>16</v>
      </c>
      <c r="H65" t="s">
        <v>17</v>
      </c>
      <c r="I65" s="3">
        <v>12283</v>
      </c>
      <c r="J65" t="b">
        <v>0</v>
      </c>
      <c r="K65" t="b">
        <v>0</v>
      </c>
      <c r="L65" t="b">
        <v>1</v>
      </c>
    </row>
    <row r="66" spans="1:12" x14ac:dyDescent="0.3">
      <c r="A66">
        <v>59</v>
      </c>
      <c r="B66" t="s">
        <v>18</v>
      </c>
      <c r="C66" s="1">
        <v>6</v>
      </c>
      <c r="D66" t="s">
        <v>13</v>
      </c>
      <c r="E66" t="s">
        <v>26</v>
      </c>
      <c r="F66" t="s">
        <v>22</v>
      </c>
      <c r="G66" t="s">
        <v>23</v>
      </c>
      <c r="H66" t="s">
        <v>21</v>
      </c>
      <c r="I66" s="3">
        <v>19799</v>
      </c>
      <c r="J66" t="b">
        <v>0</v>
      </c>
      <c r="K66" t="b">
        <v>1</v>
      </c>
      <c r="L66" t="b">
        <v>0</v>
      </c>
    </row>
    <row r="67" spans="1:12" x14ac:dyDescent="0.3">
      <c r="A67">
        <v>21</v>
      </c>
      <c r="B67" t="s">
        <v>12</v>
      </c>
      <c r="C67" s="1">
        <v>5</v>
      </c>
      <c r="D67" t="s">
        <v>28</v>
      </c>
      <c r="E67" t="s">
        <v>26</v>
      </c>
      <c r="F67" t="s">
        <v>27</v>
      </c>
      <c r="G67" t="s">
        <v>23</v>
      </c>
      <c r="H67" t="s">
        <v>24</v>
      </c>
      <c r="I67" s="3">
        <v>14366</v>
      </c>
      <c r="J67" t="b">
        <v>0</v>
      </c>
      <c r="K67" t="b">
        <v>0</v>
      </c>
      <c r="L67" t="b">
        <v>1</v>
      </c>
    </row>
    <row r="68" spans="1:12" x14ac:dyDescent="0.3">
      <c r="A68">
        <v>46</v>
      </c>
      <c r="B68" t="s">
        <v>25</v>
      </c>
      <c r="C68" s="1">
        <v>5</v>
      </c>
      <c r="D68" t="s">
        <v>28</v>
      </c>
      <c r="E68" t="s">
        <v>20</v>
      </c>
      <c r="F68" t="s">
        <v>27</v>
      </c>
      <c r="G68" t="s">
        <v>16</v>
      </c>
      <c r="H68" t="s">
        <v>21</v>
      </c>
      <c r="I68" s="3">
        <v>10122</v>
      </c>
      <c r="J68" t="b">
        <v>1</v>
      </c>
      <c r="K68" t="b">
        <v>0</v>
      </c>
      <c r="L68" t="b">
        <v>1</v>
      </c>
    </row>
    <row r="69" spans="1:12" x14ac:dyDescent="0.3">
      <c r="A69">
        <v>35</v>
      </c>
      <c r="B69" t="s">
        <v>25</v>
      </c>
      <c r="C69" s="1">
        <v>5</v>
      </c>
      <c r="D69" t="s">
        <v>28</v>
      </c>
      <c r="E69" t="s">
        <v>20</v>
      </c>
      <c r="F69" t="s">
        <v>22</v>
      </c>
      <c r="G69" t="s">
        <v>29</v>
      </c>
      <c r="H69" t="s">
        <v>21</v>
      </c>
      <c r="I69" s="3">
        <v>16799</v>
      </c>
      <c r="J69" t="b">
        <v>0</v>
      </c>
      <c r="K69" t="b">
        <v>0</v>
      </c>
      <c r="L69" t="b">
        <v>1</v>
      </c>
    </row>
    <row r="70" spans="1:12" x14ac:dyDescent="0.3">
      <c r="A70">
        <v>43</v>
      </c>
      <c r="B70" t="s">
        <v>25</v>
      </c>
      <c r="C70" s="1">
        <v>1</v>
      </c>
      <c r="D70" t="s">
        <v>19</v>
      </c>
      <c r="E70" t="s">
        <v>26</v>
      </c>
      <c r="F70" t="s">
        <v>15</v>
      </c>
      <c r="G70" t="s">
        <v>16</v>
      </c>
      <c r="H70" t="s">
        <v>21</v>
      </c>
      <c r="I70" s="3">
        <v>19472</v>
      </c>
      <c r="J70" t="b">
        <v>0</v>
      </c>
      <c r="K70" t="b">
        <v>0</v>
      </c>
      <c r="L70" t="b">
        <v>0</v>
      </c>
    </row>
    <row r="71" spans="1:12" x14ac:dyDescent="0.3">
      <c r="A71">
        <v>61</v>
      </c>
      <c r="B71" t="s">
        <v>18</v>
      </c>
      <c r="C71" s="1">
        <v>1</v>
      </c>
      <c r="D71" t="s">
        <v>13</v>
      </c>
      <c r="E71" t="s">
        <v>20</v>
      </c>
      <c r="F71" t="s">
        <v>22</v>
      </c>
      <c r="G71" t="s">
        <v>23</v>
      </c>
      <c r="H71" t="s">
        <v>17</v>
      </c>
      <c r="I71" s="3">
        <v>13727</v>
      </c>
      <c r="J71" t="b">
        <v>1</v>
      </c>
      <c r="K71" t="b">
        <v>0</v>
      </c>
      <c r="L71" t="b">
        <v>0</v>
      </c>
    </row>
    <row r="72" spans="1:12" x14ac:dyDescent="0.3">
      <c r="A72">
        <v>51</v>
      </c>
      <c r="B72" t="s">
        <v>18</v>
      </c>
      <c r="C72" s="1">
        <v>3</v>
      </c>
      <c r="D72" t="s">
        <v>28</v>
      </c>
      <c r="E72" t="s">
        <v>26</v>
      </c>
      <c r="F72" t="s">
        <v>15</v>
      </c>
      <c r="G72" t="s">
        <v>23</v>
      </c>
      <c r="H72" t="s">
        <v>17</v>
      </c>
      <c r="I72" s="3">
        <v>18450</v>
      </c>
      <c r="J72" t="b">
        <v>0</v>
      </c>
      <c r="K72" t="b">
        <v>0</v>
      </c>
      <c r="L72" t="b">
        <v>1</v>
      </c>
    </row>
    <row r="73" spans="1:12" x14ac:dyDescent="0.3">
      <c r="A73">
        <v>27</v>
      </c>
      <c r="B73" t="s">
        <v>25</v>
      </c>
      <c r="C73" s="1">
        <v>4</v>
      </c>
      <c r="D73" t="s">
        <v>19</v>
      </c>
      <c r="E73" t="s">
        <v>20</v>
      </c>
      <c r="F73" t="s">
        <v>27</v>
      </c>
      <c r="G73" t="s">
        <v>29</v>
      </c>
      <c r="H73" t="s">
        <v>21</v>
      </c>
      <c r="I73" s="3">
        <v>19139</v>
      </c>
      <c r="J73" t="b">
        <v>0</v>
      </c>
      <c r="K73" t="b">
        <v>0</v>
      </c>
      <c r="L73" t="b">
        <v>1</v>
      </c>
    </row>
    <row r="74" spans="1:12" x14ac:dyDescent="0.3">
      <c r="A74">
        <v>53</v>
      </c>
      <c r="B74" t="s">
        <v>25</v>
      </c>
      <c r="C74" s="1">
        <v>5</v>
      </c>
      <c r="D74" t="s">
        <v>19</v>
      </c>
      <c r="E74" t="s">
        <v>14</v>
      </c>
      <c r="F74" t="s">
        <v>15</v>
      </c>
      <c r="G74" t="s">
        <v>16</v>
      </c>
      <c r="H74" t="s">
        <v>21</v>
      </c>
      <c r="I74" s="3">
        <v>14958</v>
      </c>
      <c r="J74" t="b">
        <v>1</v>
      </c>
      <c r="K74" t="b">
        <v>1</v>
      </c>
      <c r="L74" t="b">
        <v>1</v>
      </c>
    </row>
    <row r="75" spans="1:12" x14ac:dyDescent="0.3">
      <c r="A75">
        <v>31</v>
      </c>
      <c r="B75" t="s">
        <v>25</v>
      </c>
      <c r="C75" s="1">
        <v>2</v>
      </c>
      <c r="D75" t="s">
        <v>19</v>
      </c>
      <c r="E75" t="s">
        <v>14</v>
      </c>
      <c r="F75" t="s">
        <v>22</v>
      </c>
      <c r="G75" t="s">
        <v>16</v>
      </c>
      <c r="H75" t="s">
        <v>21</v>
      </c>
      <c r="I75" s="3">
        <v>10524</v>
      </c>
      <c r="J75" t="b">
        <v>1</v>
      </c>
      <c r="K75" t="b">
        <v>1</v>
      </c>
      <c r="L75" t="b">
        <v>0</v>
      </c>
    </row>
    <row r="76" spans="1:12" x14ac:dyDescent="0.3">
      <c r="A76">
        <v>48</v>
      </c>
      <c r="B76" t="s">
        <v>18</v>
      </c>
      <c r="C76" s="1">
        <v>8</v>
      </c>
      <c r="D76" t="s">
        <v>28</v>
      </c>
      <c r="E76" t="s">
        <v>26</v>
      </c>
      <c r="F76" t="s">
        <v>22</v>
      </c>
      <c r="G76" t="s">
        <v>16</v>
      </c>
      <c r="H76" t="s">
        <v>17</v>
      </c>
      <c r="I76" s="3">
        <v>19079</v>
      </c>
      <c r="J76" t="b">
        <v>0</v>
      </c>
      <c r="K76" t="b">
        <v>1</v>
      </c>
      <c r="L76" t="b">
        <v>1</v>
      </c>
    </row>
    <row r="77" spans="1:12" x14ac:dyDescent="0.3">
      <c r="A77">
        <v>32</v>
      </c>
      <c r="B77" t="s">
        <v>25</v>
      </c>
      <c r="C77" s="1">
        <v>2</v>
      </c>
      <c r="D77" t="s">
        <v>28</v>
      </c>
      <c r="E77" t="s">
        <v>20</v>
      </c>
      <c r="F77" t="s">
        <v>27</v>
      </c>
      <c r="G77" t="s">
        <v>23</v>
      </c>
      <c r="H77" t="s">
        <v>21</v>
      </c>
      <c r="I77" s="3">
        <v>18399</v>
      </c>
      <c r="J77" t="b">
        <v>1</v>
      </c>
      <c r="K77" t="b">
        <v>1</v>
      </c>
      <c r="L77" t="b">
        <v>1</v>
      </c>
    </row>
    <row r="78" spans="1:12" x14ac:dyDescent="0.3">
      <c r="A78">
        <v>25</v>
      </c>
      <c r="B78" t="s">
        <v>25</v>
      </c>
      <c r="C78" s="1">
        <v>9</v>
      </c>
      <c r="D78" t="s">
        <v>13</v>
      </c>
      <c r="E78" t="s">
        <v>20</v>
      </c>
      <c r="F78" t="s">
        <v>15</v>
      </c>
      <c r="G78" t="s">
        <v>16</v>
      </c>
      <c r="H78" t="s">
        <v>21</v>
      </c>
      <c r="I78" s="3">
        <v>10148</v>
      </c>
      <c r="J78" t="b">
        <v>0</v>
      </c>
      <c r="K78" t="b">
        <v>0</v>
      </c>
      <c r="L78" t="b">
        <v>0</v>
      </c>
    </row>
    <row r="79" spans="1:12" x14ac:dyDescent="0.3">
      <c r="A79">
        <v>31</v>
      </c>
      <c r="B79" t="s">
        <v>12</v>
      </c>
      <c r="C79" s="1">
        <v>2</v>
      </c>
      <c r="D79" t="s">
        <v>13</v>
      </c>
      <c r="E79" t="s">
        <v>14</v>
      </c>
      <c r="F79" t="s">
        <v>15</v>
      </c>
      <c r="G79" t="s">
        <v>29</v>
      </c>
      <c r="H79" t="s">
        <v>24</v>
      </c>
      <c r="I79" s="3">
        <v>18001</v>
      </c>
      <c r="J79" t="b">
        <v>1</v>
      </c>
      <c r="K79" t="b">
        <v>0</v>
      </c>
      <c r="L79" t="b">
        <v>1</v>
      </c>
    </row>
    <row r="80" spans="1:12" x14ac:dyDescent="0.3">
      <c r="A80">
        <v>40</v>
      </c>
      <c r="B80" t="s">
        <v>12</v>
      </c>
      <c r="C80" s="1">
        <v>9</v>
      </c>
      <c r="D80" t="s">
        <v>28</v>
      </c>
      <c r="E80" t="s">
        <v>14</v>
      </c>
      <c r="F80" t="s">
        <v>15</v>
      </c>
      <c r="G80" t="s">
        <v>23</v>
      </c>
      <c r="H80" t="s">
        <v>24</v>
      </c>
      <c r="I80" s="3">
        <v>10437</v>
      </c>
      <c r="J80" t="b">
        <v>0</v>
      </c>
      <c r="K80" t="b">
        <v>0</v>
      </c>
      <c r="L80" t="b">
        <v>0</v>
      </c>
    </row>
    <row r="81" spans="1:12" x14ac:dyDescent="0.3">
      <c r="A81">
        <v>57</v>
      </c>
      <c r="B81" t="s">
        <v>18</v>
      </c>
      <c r="C81" s="1">
        <v>7</v>
      </c>
      <c r="D81" t="s">
        <v>19</v>
      </c>
      <c r="E81" t="s">
        <v>26</v>
      </c>
      <c r="F81" t="s">
        <v>27</v>
      </c>
      <c r="G81" t="s">
        <v>23</v>
      </c>
      <c r="H81" t="s">
        <v>17</v>
      </c>
      <c r="I81" s="3">
        <v>13749</v>
      </c>
      <c r="J81" t="b">
        <v>0</v>
      </c>
      <c r="K81" t="b">
        <v>1</v>
      </c>
      <c r="L81" t="b">
        <v>0</v>
      </c>
    </row>
    <row r="82" spans="1:12" x14ac:dyDescent="0.3">
      <c r="A82">
        <v>38</v>
      </c>
      <c r="B82" t="s">
        <v>25</v>
      </c>
      <c r="C82" s="1">
        <v>8</v>
      </c>
      <c r="D82" t="s">
        <v>19</v>
      </c>
      <c r="E82" t="s">
        <v>14</v>
      </c>
      <c r="F82" t="s">
        <v>15</v>
      </c>
      <c r="G82" t="s">
        <v>16</v>
      </c>
      <c r="H82" t="s">
        <v>24</v>
      </c>
      <c r="I82" s="3">
        <v>18186</v>
      </c>
      <c r="J82" t="b">
        <v>0</v>
      </c>
      <c r="K82" t="b">
        <v>1</v>
      </c>
      <c r="L82" t="b">
        <v>0</v>
      </c>
    </row>
    <row r="83" spans="1:12" x14ac:dyDescent="0.3">
      <c r="A83">
        <v>33</v>
      </c>
      <c r="B83" t="s">
        <v>25</v>
      </c>
      <c r="C83" s="1">
        <v>2</v>
      </c>
      <c r="D83" t="s">
        <v>19</v>
      </c>
      <c r="E83" t="s">
        <v>26</v>
      </c>
      <c r="F83" t="s">
        <v>22</v>
      </c>
      <c r="G83" t="s">
        <v>29</v>
      </c>
      <c r="H83" t="s">
        <v>24</v>
      </c>
      <c r="I83" s="3">
        <v>14453</v>
      </c>
      <c r="J83" t="b">
        <v>1</v>
      </c>
      <c r="K83" t="b">
        <v>1</v>
      </c>
      <c r="L83" t="b">
        <v>1</v>
      </c>
    </row>
    <row r="84" spans="1:12" x14ac:dyDescent="0.3">
      <c r="A84">
        <v>62</v>
      </c>
      <c r="B84" t="s">
        <v>12</v>
      </c>
      <c r="C84" s="1">
        <v>7</v>
      </c>
      <c r="D84" t="s">
        <v>13</v>
      </c>
      <c r="E84" t="s">
        <v>14</v>
      </c>
      <c r="F84" t="s">
        <v>15</v>
      </c>
      <c r="G84" t="s">
        <v>23</v>
      </c>
      <c r="H84" t="s">
        <v>24</v>
      </c>
      <c r="I84" s="3">
        <v>15336</v>
      </c>
      <c r="J84" t="b">
        <v>0</v>
      </c>
      <c r="K84" t="b">
        <v>0</v>
      </c>
      <c r="L84" t="b">
        <v>1</v>
      </c>
    </row>
    <row r="85" spans="1:12" x14ac:dyDescent="0.3">
      <c r="A85">
        <v>35</v>
      </c>
      <c r="B85" t="s">
        <v>18</v>
      </c>
      <c r="C85" s="1">
        <v>6</v>
      </c>
      <c r="D85" t="s">
        <v>19</v>
      </c>
      <c r="E85" t="s">
        <v>14</v>
      </c>
      <c r="F85" t="s">
        <v>27</v>
      </c>
      <c r="G85" t="s">
        <v>23</v>
      </c>
      <c r="H85" t="s">
        <v>17</v>
      </c>
      <c r="I85" s="3">
        <v>14551</v>
      </c>
      <c r="J85" t="b">
        <v>1</v>
      </c>
      <c r="K85" t="b">
        <v>1</v>
      </c>
      <c r="L85" t="b">
        <v>0</v>
      </c>
    </row>
    <row r="86" spans="1:12" x14ac:dyDescent="0.3">
      <c r="A86">
        <v>64</v>
      </c>
      <c r="B86" t="s">
        <v>12</v>
      </c>
      <c r="C86" s="1">
        <v>4</v>
      </c>
      <c r="D86" t="s">
        <v>13</v>
      </c>
      <c r="E86" t="s">
        <v>20</v>
      </c>
      <c r="F86" t="s">
        <v>15</v>
      </c>
      <c r="G86" t="s">
        <v>16</v>
      </c>
      <c r="H86" t="s">
        <v>24</v>
      </c>
      <c r="I86" s="3">
        <v>12823</v>
      </c>
      <c r="J86" t="b">
        <v>0</v>
      </c>
      <c r="K86" t="b">
        <v>0</v>
      </c>
      <c r="L86" t="b">
        <v>1</v>
      </c>
    </row>
    <row r="87" spans="1:12" x14ac:dyDescent="0.3">
      <c r="A87">
        <v>41</v>
      </c>
      <c r="B87" t="s">
        <v>12</v>
      </c>
      <c r="C87" s="1">
        <v>7</v>
      </c>
      <c r="D87" t="s">
        <v>13</v>
      </c>
      <c r="E87" t="s">
        <v>14</v>
      </c>
      <c r="F87" t="s">
        <v>15</v>
      </c>
      <c r="G87" t="s">
        <v>16</v>
      </c>
      <c r="H87" t="s">
        <v>17</v>
      </c>
      <c r="I87" s="3">
        <v>15728</v>
      </c>
      <c r="J87" t="b">
        <v>0</v>
      </c>
      <c r="K87" t="b">
        <v>1</v>
      </c>
      <c r="L87" t="b">
        <v>0</v>
      </c>
    </row>
    <row r="88" spans="1:12" x14ac:dyDescent="0.3">
      <c r="A88">
        <v>43</v>
      </c>
      <c r="B88" t="s">
        <v>12</v>
      </c>
      <c r="C88" s="1">
        <v>4</v>
      </c>
      <c r="D88" t="s">
        <v>19</v>
      </c>
      <c r="E88" t="s">
        <v>14</v>
      </c>
      <c r="F88" t="s">
        <v>22</v>
      </c>
      <c r="G88" t="s">
        <v>29</v>
      </c>
      <c r="H88" t="s">
        <v>21</v>
      </c>
      <c r="I88" s="3">
        <v>18677</v>
      </c>
      <c r="J88" t="b">
        <v>0</v>
      </c>
      <c r="K88" t="b">
        <v>0</v>
      </c>
      <c r="L88" t="b">
        <v>1</v>
      </c>
    </row>
    <row r="89" spans="1:12" x14ac:dyDescent="0.3">
      <c r="A89">
        <v>42</v>
      </c>
      <c r="B89" t="s">
        <v>12</v>
      </c>
      <c r="C89" s="1">
        <v>2</v>
      </c>
      <c r="D89" t="s">
        <v>19</v>
      </c>
      <c r="E89" t="s">
        <v>26</v>
      </c>
      <c r="F89" t="s">
        <v>15</v>
      </c>
      <c r="G89" t="s">
        <v>16</v>
      </c>
      <c r="H89" t="s">
        <v>24</v>
      </c>
      <c r="I89" s="3">
        <v>18391</v>
      </c>
      <c r="J89" t="b">
        <v>0</v>
      </c>
      <c r="K89" t="b">
        <v>1</v>
      </c>
      <c r="L89" t="b">
        <v>0</v>
      </c>
    </row>
    <row r="90" spans="1:12" x14ac:dyDescent="0.3">
      <c r="A90">
        <v>62</v>
      </c>
      <c r="B90" t="s">
        <v>25</v>
      </c>
      <c r="C90" s="1">
        <v>7</v>
      </c>
      <c r="D90" t="s">
        <v>28</v>
      </c>
      <c r="E90" t="s">
        <v>14</v>
      </c>
      <c r="F90" t="s">
        <v>22</v>
      </c>
      <c r="G90" t="s">
        <v>29</v>
      </c>
      <c r="H90" t="s">
        <v>17</v>
      </c>
      <c r="I90" s="3">
        <v>11982</v>
      </c>
      <c r="J90" t="b">
        <v>0</v>
      </c>
      <c r="K90" t="b">
        <v>0</v>
      </c>
      <c r="L90" t="b">
        <v>0</v>
      </c>
    </row>
    <row r="91" spans="1:12" x14ac:dyDescent="0.3">
      <c r="A91">
        <v>58</v>
      </c>
      <c r="B91" t="s">
        <v>25</v>
      </c>
      <c r="C91" s="1">
        <v>8</v>
      </c>
      <c r="D91" t="s">
        <v>28</v>
      </c>
      <c r="E91" t="s">
        <v>26</v>
      </c>
      <c r="F91" t="s">
        <v>22</v>
      </c>
      <c r="G91" t="s">
        <v>23</v>
      </c>
      <c r="H91" t="s">
        <v>24</v>
      </c>
      <c r="I91" s="3">
        <v>16996</v>
      </c>
      <c r="J91" t="b">
        <v>1</v>
      </c>
      <c r="K91" t="b">
        <v>1</v>
      </c>
      <c r="L91" t="b">
        <v>1</v>
      </c>
    </row>
    <row r="92" spans="1:12" x14ac:dyDescent="0.3">
      <c r="A92">
        <v>46</v>
      </c>
      <c r="B92" t="s">
        <v>12</v>
      </c>
      <c r="C92" s="1">
        <v>2</v>
      </c>
      <c r="D92" t="s">
        <v>19</v>
      </c>
      <c r="E92" t="s">
        <v>14</v>
      </c>
      <c r="F92" t="s">
        <v>27</v>
      </c>
      <c r="G92" t="s">
        <v>29</v>
      </c>
      <c r="H92" t="s">
        <v>21</v>
      </c>
      <c r="I92" s="3">
        <v>19663</v>
      </c>
      <c r="J92" t="b">
        <v>1</v>
      </c>
      <c r="K92" t="b">
        <v>1</v>
      </c>
      <c r="L92" t="b">
        <v>1</v>
      </c>
    </row>
    <row r="93" spans="1:12" x14ac:dyDescent="0.3">
      <c r="A93">
        <v>32</v>
      </c>
      <c r="B93" t="s">
        <v>18</v>
      </c>
      <c r="C93" s="1">
        <v>5</v>
      </c>
      <c r="D93" t="s">
        <v>13</v>
      </c>
      <c r="E93" t="s">
        <v>14</v>
      </c>
      <c r="F93" t="s">
        <v>22</v>
      </c>
      <c r="G93" t="s">
        <v>29</v>
      </c>
      <c r="H93" t="s">
        <v>17</v>
      </c>
      <c r="I93" s="3">
        <v>12311</v>
      </c>
      <c r="J93" t="b">
        <v>1</v>
      </c>
      <c r="K93" t="b">
        <v>0</v>
      </c>
      <c r="L93" t="b">
        <v>1</v>
      </c>
    </row>
    <row r="94" spans="1:12" x14ac:dyDescent="0.3">
      <c r="A94">
        <v>62</v>
      </c>
      <c r="B94" t="s">
        <v>18</v>
      </c>
      <c r="C94" s="1">
        <v>1</v>
      </c>
      <c r="D94" t="s">
        <v>13</v>
      </c>
      <c r="E94" t="s">
        <v>26</v>
      </c>
      <c r="F94" t="s">
        <v>22</v>
      </c>
      <c r="G94" t="s">
        <v>29</v>
      </c>
      <c r="H94" t="s">
        <v>17</v>
      </c>
      <c r="I94" s="3">
        <v>17225</v>
      </c>
      <c r="J94" t="b">
        <v>0</v>
      </c>
      <c r="K94" t="b">
        <v>0</v>
      </c>
      <c r="L94" t="b">
        <v>1</v>
      </c>
    </row>
    <row r="95" spans="1:12" x14ac:dyDescent="0.3">
      <c r="A95">
        <v>18</v>
      </c>
      <c r="B95" t="s">
        <v>18</v>
      </c>
      <c r="C95" s="1">
        <v>7</v>
      </c>
      <c r="D95" t="s">
        <v>13</v>
      </c>
      <c r="E95" t="s">
        <v>20</v>
      </c>
      <c r="F95" t="s">
        <v>27</v>
      </c>
      <c r="G95" t="s">
        <v>23</v>
      </c>
      <c r="H95" t="s">
        <v>17</v>
      </c>
      <c r="I95" s="3">
        <v>19713</v>
      </c>
      <c r="J95" t="b">
        <v>0</v>
      </c>
      <c r="K95" t="b">
        <v>1</v>
      </c>
      <c r="L95" t="b">
        <v>0</v>
      </c>
    </row>
    <row r="96" spans="1:12" x14ac:dyDescent="0.3">
      <c r="A96">
        <v>42</v>
      </c>
      <c r="B96" t="s">
        <v>18</v>
      </c>
      <c r="C96" s="1">
        <v>8</v>
      </c>
      <c r="D96" t="s">
        <v>13</v>
      </c>
      <c r="E96" t="s">
        <v>26</v>
      </c>
      <c r="F96" t="s">
        <v>22</v>
      </c>
      <c r="G96" t="s">
        <v>16</v>
      </c>
      <c r="H96" t="s">
        <v>21</v>
      </c>
      <c r="I96" s="3">
        <v>10604</v>
      </c>
      <c r="J96" t="b">
        <v>1</v>
      </c>
      <c r="K96" t="b">
        <v>0</v>
      </c>
      <c r="L96" t="b">
        <v>0</v>
      </c>
    </row>
    <row r="97" spans="1:12" x14ac:dyDescent="0.3">
      <c r="A97">
        <v>24</v>
      </c>
      <c r="B97" t="s">
        <v>12</v>
      </c>
      <c r="C97" s="1">
        <v>6</v>
      </c>
      <c r="D97" t="s">
        <v>13</v>
      </c>
      <c r="E97" t="s">
        <v>26</v>
      </c>
      <c r="F97" t="s">
        <v>27</v>
      </c>
      <c r="G97" t="s">
        <v>23</v>
      </c>
      <c r="H97" t="s">
        <v>21</v>
      </c>
      <c r="I97" s="3">
        <v>18175</v>
      </c>
      <c r="J97" t="b">
        <v>0</v>
      </c>
      <c r="K97" t="b">
        <v>1</v>
      </c>
      <c r="L97" t="b">
        <v>1</v>
      </c>
    </row>
    <row r="98" spans="1:12" x14ac:dyDescent="0.3">
      <c r="A98">
        <v>26</v>
      </c>
      <c r="B98" t="s">
        <v>25</v>
      </c>
      <c r="C98" s="1">
        <v>5</v>
      </c>
      <c r="D98" t="s">
        <v>28</v>
      </c>
      <c r="E98" t="s">
        <v>26</v>
      </c>
      <c r="F98" t="s">
        <v>15</v>
      </c>
      <c r="G98" t="s">
        <v>16</v>
      </c>
      <c r="H98" t="s">
        <v>21</v>
      </c>
      <c r="I98" s="3">
        <v>15785</v>
      </c>
      <c r="J98" t="b">
        <v>0</v>
      </c>
      <c r="K98" t="b">
        <v>0</v>
      </c>
      <c r="L98" t="b">
        <v>1</v>
      </c>
    </row>
    <row r="99" spans="1:12" x14ac:dyDescent="0.3">
      <c r="A99">
        <v>41</v>
      </c>
      <c r="B99" t="s">
        <v>18</v>
      </c>
      <c r="C99" s="1">
        <v>6</v>
      </c>
      <c r="D99" t="s">
        <v>19</v>
      </c>
      <c r="E99" t="s">
        <v>20</v>
      </c>
      <c r="F99" t="s">
        <v>27</v>
      </c>
      <c r="G99" t="s">
        <v>29</v>
      </c>
      <c r="H99" t="s">
        <v>17</v>
      </c>
      <c r="I99" s="3">
        <v>19609</v>
      </c>
      <c r="J99" t="b">
        <v>0</v>
      </c>
      <c r="K99" t="b">
        <v>1</v>
      </c>
      <c r="L99" t="b">
        <v>0</v>
      </c>
    </row>
    <row r="100" spans="1:12" x14ac:dyDescent="0.3">
      <c r="A100">
        <v>18</v>
      </c>
      <c r="B100" t="s">
        <v>12</v>
      </c>
      <c r="C100" s="1">
        <v>2</v>
      </c>
      <c r="D100" t="s">
        <v>28</v>
      </c>
      <c r="E100" t="s">
        <v>14</v>
      </c>
      <c r="F100" t="s">
        <v>22</v>
      </c>
      <c r="G100" t="s">
        <v>29</v>
      </c>
      <c r="H100" t="s">
        <v>21</v>
      </c>
      <c r="I100" s="3">
        <v>14597</v>
      </c>
      <c r="J100" t="b">
        <v>1</v>
      </c>
      <c r="K100" t="b">
        <v>0</v>
      </c>
      <c r="L100" t="b">
        <v>1</v>
      </c>
    </row>
    <row r="101" spans="1:12" x14ac:dyDescent="0.3">
      <c r="A101">
        <v>61</v>
      </c>
      <c r="B101" t="s">
        <v>18</v>
      </c>
      <c r="C101" s="1">
        <v>1</v>
      </c>
      <c r="D101" t="s">
        <v>13</v>
      </c>
      <c r="E101" t="s">
        <v>26</v>
      </c>
      <c r="F101" t="s">
        <v>27</v>
      </c>
      <c r="G101" t="s">
        <v>29</v>
      </c>
      <c r="H101" t="s">
        <v>24</v>
      </c>
      <c r="I101" s="3">
        <v>17759</v>
      </c>
      <c r="J101" t="b">
        <v>1</v>
      </c>
      <c r="K101" t="b">
        <v>1</v>
      </c>
      <c r="L101" t="b">
        <v>1</v>
      </c>
    </row>
    <row r="102" spans="1:12" x14ac:dyDescent="0.3">
      <c r="A102">
        <v>25</v>
      </c>
      <c r="B102" t="s">
        <v>18</v>
      </c>
      <c r="C102" s="1">
        <v>7</v>
      </c>
      <c r="D102" t="s">
        <v>13</v>
      </c>
      <c r="E102" t="s">
        <v>26</v>
      </c>
      <c r="F102" t="s">
        <v>22</v>
      </c>
      <c r="G102" t="s">
        <v>29</v>
      </c>
      <c r="H102" t="s">
        <v>21</v>
      </c>
      <c r="I102" s="3">
        <v>17532</v>
      </c>
      <c r="J102" t="b">
        <v>1</v>
      </c>
      <c r="K102" t="b">
        <v>1</v>
      </c>
      <c r="L102" t="b">
        <v>1</v>
      </c>
    </row>
    <row r="103" spans="1:12" x14ac:dyDescent="0.3">
      <c r="A103">
        <v>41</v>
      </c>
      <c r="B103" t="s">
        <v>12</v>
      </c>
      <c r="C103" s="1">
        <v>7</v>
      </c>
      <c r="D103" t="s">
        <v>13</v>
      </c>
      <c r="E103" t="s">
        <v>20</v>
      </c>
      <c r="F103" t="s">
        <v>15</v>
      </c>
      <c r="G103" t="s">
        <v>29</v>
      </c>
      <c r="H103" t="s">
        <v>17</v>
      </c>
      <c r="I103" s="3">
        <v>18740</v>
      </c>
      <c r="J103" t="b">
        <v>1</v>
      </c>
      <c r="K103" t="b">
        <v>1</v>
      </c>
      <c r="L103" t="b">
        <v>1</v>
      </c>
    </row>
    <row r="104" spans="1:12" x14ac:dyDescent="0.3">
      <c r="A104">
        <v>28</v>
      </c>
      <c r="B104" t="s">
        <v>25</v>
      </c>
      <c r="C104" s="1">
        <v>2</v>
      </c>
      <c r="D104" t="s">
        <v>13</v>
      </c>
      <c r="E104" t="s">
        <v>26</v>
      </c>
      <c r="F104" t="s">
        <v>27</v>
      </c>
      <c r="G104" t="s">
        <v>16</v>
      </c>
      <c r="H104" t="s">
        <v>24</v>
      </c>
      <c r="I104" s="3">
        <v>10838</v>
      </c>
      <c r="J104" t="b">
        <v>1</v>
      </c>
      <c r="K104" t="b">
        <v>0</v>
      </c>
      <c r="L104" t="b">
        <v>0</v>
      </c>
    </row>
    <row r="105" spans="1:12" x14ac:dyDescent="0.3">
      <c r="A105">
        <v>34</v>
      </c>
      <c r="B105" t="s">
        <v>25</v>
      </c>
      <c r="C105" s="1">
        <v>2</v>
      </c>
      <c r="D105" t="s">
        <v>19</v>
      </c>
      <c r="E105" t="s">
        <v>14</v>
      </c>
      <c r="F105" t="s">
        <v>15</v>
      </c>
      <c r="G105" t="s">
        <v>16</v>
      </c>
      <c r="H105" t="s">
        <v>21</v>
      </c>
      <c r="I105" s="3">
        <v>13815</v>
      </c>
      <c r="J105" t="b">
        <v>0</v>
      </c>
      <c r="K105" t="b">
        <v>1</v>
      </c>
      <c r="L105" t="b">
        <v>0</v>
      </c>
    </row>
    <row r="106" spans="1:12" x14ac:dyDescent="0.3">
      <c r="A106">
        <v>25</v>
      </c>
      <c r="B106" t="s">
        <v>12</v>
      </c>
      <c r="C106" s="1">
        <v>1</v>
      </c>
      <c r="D106" t="s">
        <v>13</v>
      </c>
      <c r="E106" t="s">
        <v>20</v>
      </c>
      <c r="F106" t="s">
        <v>22</v>
      </c>
      <c r="G106" t="s">
        <v>29</v>
      </c>
      <c r="H106" t="s">
        <v>24</v>
      </c>
      <c r="I106" s="3">
        <v>10847</v>
      </c>
      <c r="J106" t="b">
        <v>0</v>
      </c>
      <c r="K106" t="b">
        <v>0</v>
      </c>
      <c r="L106" t="b">
        <v>1</v>
      </c>
    </row>
    <row r="107" spans="1:12" x14ac:dyDescent="0.3">
      <c r="A107">
        <v>52</v>
      </c>
      <c r="B107" t="s">
        <v>25</v>
      </c>
      <c r="C107" s="1">
        <v>8</v>
      </c>
      <c r="D107" t="s">
        <v>19</v>
      </c>
      <c r="E107" t="s">
        <v>14</v>
      </c>
      <c r="F107" t="s">
        <v>22</v>
      </c>
      <c r="G107" t="s">
        <v>23</v>
      </c>
      <c r="H107" t="s">
        <v>24</v>
      </c>
      <c r="I107" s="3">
        <v>14709</v>
      </c>
      <c r="J107" t="b">
        <v>0</v>
      </c>
      <c r="K107" t="b">
        <v>0</v>
      </c>
      <c r="L107" t="b">
        <v>0</v>
      </c>
    </row>
    <row r="108" spans="1:12" x14ac:dyDescent="0.3">
      <c r="A108">
        <v>52</v>
      </c>
      <c r="B108" t="s">
        <v>12</v>
      </c>
      <c r="C108" s="1">
        <v>8</v>
      </c>
      <c r="D108" t="s">
        <v>13</v>
      </c>
      <c r="E108" t="s">
        <v>14</v>
      </c>
      <c r="F108" t="s">
        <v>15</v>
      </c>
      <c r="G108" t="s">
        <v>23</v>
      </c>
      <c r="H108" t="s">
        <v>17</v>
      </c>
      <c r="I108" s="3">
        <v>14507</v>
      </c>
      <c r="J108" t="b">
        <v>0</v>
      </c>
      <c r="K108" t="b">
        <v>0</v>
      </c>
      <c r="L108" t="b">
        <v>1</v>
      </c>
    </row>
    <row r="109" spans="1:12" x14ac:dyDescent="0.3">
      <c r="A109">
        <v>50</v>
      </c>
      <c r="B109" t="s">
        <v>12</v>
      </c>
      <c r="C109" s="1">
        <v>1</v>
      </c>
      <c r="D109" t="s">
        <v>19</v>
      </c>
      <c r="E109" t="s">
        <v>20</v>
      </c>
      <c r="F109" t="s">
        <v>27</v>
      </c>
      <c r="G109" t="s">
        <v>29</v>
      </c>
      <c r="H109" t="s">
        <v>24</v>
      </c>
      <c r="I109" s="3">
        <v>16575</v>
      </c>
      <c r="J109" t="b">
        <v>1</v>
      </c>
      <c r="K109" t="b">
        <v>1</v>
      </c>
      <c r="L109" t="b">
        <v>1</v>
      </c>
    </row>
    <row r="110" spans="1:12" x14ac:dyDescent="0.3">
      <c r="A110">
        <v>22</v>
      </c>
      <c r="B110" t="s">
        <v>12</v>
      </c>
      <c r="C110" s="1">
        <v>8</v>
      </c>
      <c r="D110" t="s">
        <v>28</v>
      </c>
      <c r="E110" t="s">
        <v>26</v>
      </c>
      <c r="F110" t="s">
        <v>27</v>
      </c>
      <c r="G110" t="s">
        <v>16</v>
      </c>
      <c r="H110" t="s">
        <v>24</v>
      </c>
      <c r="I110" s="3">
        <v>14773</v>
      </c>
      <c r="J110" t="b">
        <v>1</v>
      </c>
      <c r="K110" t="b">
        <v>0</v>
      </c>
      <c r="L110" t="b">
        <v>1</v>
      </c>
    </row>
    <row r="111" spans="1:12" x14ac:dyDescent="0.3">
      <c r="A111">
        <v>59</v>
      </c>
      <c r="B111" t="s">
        <v>25</v>
      </c>
      <c r="C111" s="1">
        <v>9</v>
      </c>
      <c r="D111" t="s">
        <v>13</v>
      </c>
      <c r="E111" t="s">
        <v>14</v>
      </c>
      <c r="F111" t="s">
        <v>22</v>
      </c>
      <c r="G111" t="s">
        <v>23</v>
      </c>
      <c r="H111" t="s">
        <v>17</v>
      </c>
      <c r="I111" s="3">
        <v>14468</v>
      </c>
      <c r="J111" t="b">
        <v>0</v>
      </c>
      <c r="K111" t="b">
        <v>0</v>
      </c>
      <c r="L111" t="b">
        <v>0</v>
      </c>
    </row>
    <row r="112" spans="1:12" x14ac:dyDescent="0.3">
      <c r="A112">
        <v>56</v>
      </c>
      <c r="B112" t="s">
        <v>12</v>
      </c>
      <c r="C112" s="1">
        <v>4</v>
      </c>
      <c r="D112" t="s">
        <v>19</v>
      </c>
      <c r="E112" t="s">
        <v>14</v>
      </c>
      <c r="F112" t="s">
        <v>15</v>
      </c>
      <c r="G112" t="s">
        <v>23</v>
      </c>
      <c r="H112" t="s">
        <v>17</v>
      </c>
      <c r="I112" s="3">
        <v>15192</v>
      </c>
      <c r="J112" t="b">
        <v>1</v>
      </c>
      <c r="K112" t="b">
        <v>0</v>
      </c>
      <c r="L112" t="b">
        <v>0</v>
      </c>
    </row>
    <row r="113" spans="1:12" x14ac:dyDescent="0.3">
      <c r="A113">
        <v>58</v>
      </c>
      <c r="B113" t="s">
        <v>18</v>
      </c>
      <c r="C113" s="1">
        <v>1</v>
      </c>
      <c r="D113" t="s">
        <v>28</v>
      </c>
      <c r="E113" t="s">
        <v>14</v>
      </c>
      <c r="F113" t="s">
        <v>15</v>
      </c>
      <c r="G113" t="s">
        <v>23</v>
      </c>
      <c r="H113" t="s">
        <v>17</v>
      </c>
      <c r="I113" s="3">
        <v>13320</v>
      </c>
      <c r="J113" t="b">
        <v>0</v>
      </c>
      <c r="K113" t="b">
        <v>1</v>
      </c>
      <c r="L113" t="b">
        <v>0</v>
      </c>
    </row>
    <row r="114" spans="1:12" x14ac:dyDescent="0.3">
      <c r="A114">
        <v>45</v>
      </c>
      <c r="B114" t="s">
        <v>25</v>
      </c>
      <c r="C114" s="1">
        <v>1</v>
      </c>
      <c r="D114" t="s">
        <v>13</v>
      </c>
      <c r="E114" t="s">
        <v>14</v>
      </c>
      <c r="F114" t="s">
        <v>27</v>
      </c>
      <c r="G114" t="s">
        <v>29</v>
      </c>
      <c r="H114" t="s">
        <v>24</v>
      </c>
      <c r="I114" s="3">
        <v>14698</v>
      </c>
      <c r="J114" t="b">
        <v>0</v>
      </c>
      <c r="K114" t="b">
        <v>0</v>
      </c>
      <c r="L114" t="b">
        <v>0</v>
      </c>
    </row>
    <row r="115" spans="1:12" x14ac:dyDescent="0.3">
      <c r="A115">
        <v>24</v>
      </c>
      <c r="B115" t="s">
        <v>25</v>
      </c>
      <c r="C115" s="1">
        <v>3</v>
      </c>
      <c r="D115" t="s">
        <v>13</v>
      </c>
      <c r="E115" t="s">
        <v>20</v>
      </c>
      <c r="F115" t="s">
        <v>27</v>
      </c>
      <c r="G115" t="s">
        <v>23</v>
      </c>
      <c r="H115" t="s">
        <v>24</v>
      </c>
      <c r="I115" s="3">
        <v>14311</v>
      </c>
      <c r="J115" t="b">
        <v>0</v>
      </c>
      <c r="K115" t="b">
        <v>0</v>
      </c>
      <c r="L115" t="b">
        <v>0</v>
      </c>
    </row>
    <row r="116" spans="1:12" x14ac:dyDescent="0.3">
      <c r="A116">
        <v>26</v>
      </c>
      <c r="B116" t="s">
        <v>25</v>
      </c>
      <c r="C116" s="1">
        <v>5</v>
      </c>
      <c r="D116" t="s">
        <v>13</v>
      </c>
      <c r="E116" t="s">
        <v>20</v>
      </c>
      <c r="F116" t="s">
        <v>27</v>
      </c>
      <c r="G116" t="s">
        <v>23</v>
      </c>
      <c r="H116" t="s">
        <v>24</v>
      </c>
      <c r="I116" s="3">
        <v>13673</v>
      </c>
      <c r="J116" t="b">
        <v>0</v>
      </c>
      <c r="K116" t="b">
        <v>0</v>
      </c>
      <c r="L116" t="b">
        <v>1</v>
      </c>
    </row>
    <row r="117" spans="1:12" x14ac:dyDescent="0.3">
      <c r="A117">
        <v>25</v>
      </c>
      <c r="B117" t="s">
        <v>25</v>
      </c>
      <c r="C117" s="1">
        <v>5</v>
      </c>
      <c r="D117" t="s">
        <v>19</v>
      </c>
      <c r="E117" t="s">
        <v>14</v>
      </c>
      <c r="F117" t="s">
        <v>15</v>
      </c>
      <c r="G117" t="s">
        <v>23</v>
      </c>
      <c r="H117" t="s">
        <v>17</v>
      </c>
      <c r="I117" s="3">
        <v>11564</v>
      </c>
      <c r="J117" t="b">
        <v>1</v>
      </c>
      <c r="K117" t="b">
        <v>0</v>
      </c>
      <c r="L117" t="b">
        <v>1</v>
      </c>
    </row>
    <row r="118" spans="1:12" x14ac:dyDescent="0.3">
      <c r="A118">
        <v>29</v>
      </c>
      <c r="B118" t="s">
        <v>18</v>
      </c>
      <c r="C118" s="1">
        <v>9</v>
      </c>
      <c r="D118" t="s">
        <v>19</v>
      </c>
      <c r="E118" t="s">
        <v>26</v>
      </c>
      <c r="F118" t="s">
        <v>27</v>
      </c>
      <c r="G118" t="s">
        <v>23</v>
      </c>
      <c r="H118" t="s">
        <v>21</v>
      </c>
      <c r="I118" s="3">
        <v>11840</v>
      </c>
      <c r="J118" t="b">
        <v>0</v>
      </c>
      <c r="K118" t="b">
        <v>1</v>
      </c>
      <c r="L118" t="b">
        <v>0</v>
      </c>
    </row>
    <row r="119" spans="1:12" x14ac:dyDescent="0.3">
      <c r="A119">
        <v>51</v>
      </c>
      <c r="B119" t="s">
        <v>25</v>
      </c>
      <c r="C119" s="1">
        <v>2</v>
      </c>
      <c r="D119" t="s">
        <v>28</v>
      </c>
      <c r="E119" t="s">
        <v>14</v>
      </c>
      <c r="F119" t="s">
        <v>27</v>
      </c>
      <c r="G119" t="s">
        <v>16</v>
      </c>
      <c r="H119" t="s">
        <v>24</v>
      </c>
      <c r="I119" s="3">
        <v>16058</v>
      </c>
      <c r="J119" t="b">
        <v>1</v>
      </c>
      <c r="K119" t="b">
        <v>1</v>
      </c>
      <c r="L119" t="b">
        <v>0</v>
      </c>
    </row>
    <row r="120" spans="1:12" x14ac:dyDescent="0.3">
      <c r="A120">
        <v>50</v>
      </c>
      <c r="B120" t="s">
        <v>25</v>
      </c>
      <c r="C120" s="1">
        <v>2</v>
      </c>
      <c r="D120" t="s">
        <v>19</v>
      </c>
      <c r="E120" t="s">
        <v>26</v>
      </c>
      <c r="F120" t="s">
        <v>22</v>
      </c>
      <c r="G120" t="s">
        <v>29</v>
      </c>
      <c r="H120" t="s">
        <v>21</v>
      </c>
      <c r="I120" s="3">
        <v>17131</v>
      </c>
      <c r="J120" t="b">
        <v>0</v>
      </c>
      <c r="K120" t="b">
        <v>0</v>
      </c>
      <c r="L120" t="b">
        <v>0</v>
      </c>
    </row>
    <row r="121" spans="1:12" x14ac:dyDescent="0.3">
      <c r="A121">
        <v>40</v>
      </c>
      <c r="B121" t="s">
        <v>12</v>
      </c>
      <c r="C121" s="1">
        <v>6</v>
      </c>
      <c r="D121" t="s">
        <v>19</v>
      </c>
      <c r="E121" t="s">
        <v>14</v>
      </c>
      <c r="F121" t="s">
        <v>27</v>
      </c>
      <c r="G121" t="s">
        <v>29</v>
      </c>
      <c r="H121" t="s">
        <v>17</v>
      </c>
      <c r="I121" s="3">
        <v>10726</v>
      </c>
      <c r="J121" t="b">
        <v>0</v>
      </c>
      <c r="K121" t="b">
        <v>0</v>
      </c>
      <c r="L121" t="b">
        <v>1</v>
      </c>
    </row>
    <row r="122" spans="1:12" x14ac:dyDescent="0.3">
      <c r="A122">
        <v>41</v>
      </c>
      <c r="B122" t="s">
        <v>25</v>
      </c>
      <c r="C122" s="1">
        <v>9</v>
      </c>
      <c r="D122" t="s">
        <v>13</v>
      </c>
      <c r="E122" t="s">
        <v>26</v>
      </c>
      <c r="F122" t="s">
        <v>27</v>
      </c>
      <c r="G122" t="s">
        <v>16</v>
      </c>
      <c r="H122" t="s">
        <v>24</v>
      </c>
      <c r="I122" s="3">
        <v>19436</v>
      </c>
      <c r="J122" t="b">
        <v>0</v>
      </c>
      <c r="K122" t="b">
        <v>0</v>
      </c>
      <c r="L122" t="b">
        <v>0</v>
      </c>
    </row>
    <row r="123" spans="1:12" x14ac:dyDescent="0.3">
      <c r="A123">
        <v>54</v>
      </c>
      <c r="B123" t="s">
        <v>18</v>
      </c>
      <c r="C123" s="1">
        <v>1</v>
      </c>
      <c r="D123" t="s">
        <v>13</v>
      </c>
      <c r="E123" t="s">
        <v>14</v>
      </c>
      <c r="F123" t="s">
        <v>15</v>
      </c>
      <c r="G123" t="s">
        <v>16</v>
      </c>
      <c r="H123" t="s">
        <v>21</v>
      </c>
      <c r="I123" s="3">
        <v>16697</v>
      </c>
      <c r="J123" t="b">
        <v>0</v>
      </c>
      <c r="K123" t="b">
        <v>0</v>
      </c>
      <c r="L123" t="b">
        <v>1</v>
      </c>
    </row>
    <row r="124" spans="1:12" x14ac:dyDescent="0.3">
      <c r="A124">
        <v>52</v>
      </c>
      <c r="B124" t="s">
        <v>18</v>
      </c>
      <c r="C124" s="1">
        <v>9</v>
      </c>
      <c r="D124" t="s">
        <v>13</v>
      </c>
      <c r="E124" t="s">
        <v>26</v>
      </c>
      <c r="F124" t="s">
        <v>15</v>
      </c>
      <c r="G124" t="s">
        <v>29</v>
      </c>
      <c r="H124" t="s">
        <v>24</v>
      </c>
      <c r="I124" s="3">
        <v>19257</v>
      </c>
      <c r="J124" t="b">
        <v>1</v>
      </c>
      <c r="K124" t="b">
        <v>1</v>
      </c>
      <c r="L124" t="b">
        <v>1</v>
      </c>
    </row>
    <row r="125" spans="1:12" x14ac:dyDescent="0.3">
      <c r="A125">
        <v>61</v>
      </c>
      <c r="B125" t="s">
        <v>18</v>
      </c>
      <c r="C125" s="1">
        <v>9</v>
      </c>
      <c r="D125" t="s">
        <v>13</v>
      </c>
      <c r="E125" t="s">
        <v>14</v>
      </c>
      <c r="F125" t="s">
        <v>22</v>
      </c>
      <c r="G125" t="s">
        <v>23</v>
      </c>
      <c r="H125" t="s">
        <v>24</v>
      </c>
      <c r="I125" s="3">
        <v>10282</v>
      </c>
      <c r="J125" t="b">
        <v>0</v>
      </c>
      <c r="K125" t="b">
        <v>1</v>
      </c>
      <c r="L125" t="b">
        <v>0</v>
      </c>
    </row>
    <row r="126" spans="1:12" x14ac:dyDescent="0.3">
      <c r="A126">
        <v>57</v>
      </c>
      <c r="B126" t="s">
        <v>18</v>
      </c>
      <c r="C126" s="1">
        <v>9</v>
      </c>
      <c r="D126" t="s">
        <v>13</v>
      </c>
      <c r="E126" t="s">
        <v>14</v>
      </c>
      <c r="F126" t="s">
        <v>27</v>
      </c>
      <c r="G126" t="s">
        <v>23</v>
      </c>
      <c r="H126" t="s">
        <v>24</v>
      </c>
      <c r="I126" s="3">
        <v>11081</v>
      </c>
      <c r="J126" t="b">
        <v>1</v>
      </c>
      <c r="K126" t="b">
        <v>1</v>
      </c>
      <c r="L126" t="b">
        <v>1</v>
      </c>
    </row>
    <row r="127" spans="1:12" x14ac:dyDescent="0.3">
      <c r="A127">
        <v>39</v>
      </c>
      <c r="B127" t="s">
        <v>25</v>
      </c>
      <c r="C127" s="1">
        <v>5</v>
      </c>
      <c r="D127" t="s">
        <v>13</v>
      </c>
      <c r="E127" t="s">
        <v>26</v>
      </c>
      <c r="F127" t="s">
        <v>22</v>
      </c>
      <c r="G127" t="s">
        <v>29</v>
      </c>
      <c r="H127" t="s">
        <v>21</v>
      </c>
      <c r="I127" s="3">
        <v>13885</v>
      </c>
      <c r="J127" t="b">
        <v>0</v>
      </c>
      <c r="K127" t="b">
        <v>1</v>
      </c>
      <c r="L127" t="b">
        <v>1</v>
      </c>
    </row>
    <row r="128" spans="1:12" x14ac:dyDescent="0.3">
      <c r="A128">
        <v>44</v>
      </c>
      <c r="B128" t="s">
        <v>25</v>
      </c>
      <c r="C128" s="1">
        <v>9</v>
      </c>
      <c r="D128" t="s">
        <v>13</v>
      </c>
      <c r="E128" t="s">
        <v>20</v>
      </c>
      <c r="F128" t="s">
        <v>15</v>
      </c>
      <c r="G128" t="s">
        <v>23</v>
      </c>
      <c r="H128" t="s">
        <v>17</v>
      </c>
      <c r="I128" s="3">
        <v>12881</v>
      </c>
      <c r="J128" t="b">
        <v>0</v>
      </c>
      <c r="K128" t="b">
        <v>0</v>
      </c>
      <c r="L128" t="b">
        <v>0</v>
      </c>
    </row>
    <row r="129" spans="1:12" x14ac:dyDescent="0.3">
      <c r="A129">
        <v>52</v>
      </c>
      <c r="B129" t="s">
        <v>18</v>
      </c>
      <c r="C129" s="1">
        <v>4</v>
      </c>
      <c r="D129" t="s">
        <v>28</v>
      </c>
      <c r="E129" t="s">
        <v>26</v>
      </c>
      <c r="F129" t="s">
        <v>22</v>
      </c>
      <c r="G129" t="s">
        <v>16</v>
      </c>
      <c r="H129" t="s">
        <v>24</v>
      </c>
      <c r="I129" s="3">
        <v>12970</v>
      </c>
      <c r="J129" t="b">
        <v>0</v>
      </c>
      <c r="K129" t="b">
        <v>0</v>
      </c>
      <c r="L129" t="b">
        <v>1</v>
      </c>
    </row>
    <row r="130" spans="1:12" x14ac:dyDescent="0.3">
      <c r="A130">
        <v>18</v>
      </c>
      <c r="B130" t="s">
        <v>18</v>
      </c>
      <c r="C130" s="1">
        <v>2</v>
      </c>
      <c r="D130" t="s">
        <v>28</v>
      </c>
      <c r="E130" t="s">
        <v>20</v>
      </c>
      <c r="F130" t="s">
        <v>15</v>
      </c>
      <c r="G130" t="s">
        <v>23</v>
      </c>
      <c r="H130" t="s">
        <v>17</v>
      </c>
      <c r="I130" s="3">
        <v>19344</v>
      </c>
      <c r="J130" t="b">
        <v>1</v>
      </c>
      <c r="K130" t="b">
        <v>1</v>
      </c>
      <c r="L130" t="b">
        <v>0</v>
      </c>
    </row>
    <row r="131" spans="1:12" x14ac:dyDescent="0.3">
      <c r="A131">
        <v>52</v>
      </c>
      <c r="B131" t="s">
        <v>25</v>
      </c>
      <c r="C131" s="1">
        <v>6</v>
      </c>
      <c r="D131" t="s">
        <v>28</v>
      </c>
      <c r="E131" t="s">
        <v>14</v>
      </c>
      <c r="F131" t="s">
        <v>22</v>
      </c>
      <c r="G131" t="s">
        <v>23</v>
      </c>
      <c r="H131" t="s">
        <v>17</v>
      </c>
      <c r="I131" s="3">
        <v>16985</v>
      </c>
      <c r="J131" t="b">
        <v>0</v>
      </c>
      <c r="K131" t="b">
        <v>1</v>
      </c>
      <c r="L131" t="b">
        <v>1</v>
      </c>
    </row>
    <row r="132" spans="1:12" x14ac:dyDescent="0.3">
      <c r="A132">
        <v>54</v>
      </c>
      <c r="B132" t="s">
        <v>18</v>
      </c>
      <c r="C132" s="1">
        <v>4</v>
      </c>
      <c r="D132" t="s">
        <v>28</v>
      </c>
      <c r="E132" t="s">
        <v>26</v>
      </c>
      <c r="F132" t="s">
        <v>22</v>
      </c>
      <c r="G132" t="s">
        <v>23</v>
      </c>
      <c r="H132" t="s">
        <v>21</v>
      </c>
      <c r="I132" s="3">
        <v>10947</v>
      </c>
      <c r="J132" t="b">
        <v>0</v>
      </c>
      <c r="K132" t="b">
        <v>0</v>
      </c>
      <c r="L132" t="b">
        <v>0</v>
      </c>
    </row>
    <row r="133" spans="1:12" x14ac:dyDescent="0.3">
      <c r="A133">
        <v>64</v>
      </c>
      <c r="B133" t="s">
        <v>12</v>
      </c>
      <c r="C133" s="1">
        <v>6</v>
      </c>
      <c r="D133" t="s">
        <v>13</v>
      </c>
      <c r="E133" t="s">
        <v>26</v>
      </c>
      <c r="F133" t="s">
        <v>27</v>
      </c>
      <c r="G133" t="s">
        <v>29</v>
      </c>
      <c r="H133" t="s">
        <v>21</v>
      </c>
      <c r="I133" s="3">
        <v>14760</v>
      </c>
      <c r="J133" t="b">
        <v>0</v>
      </c>
      <c r="K133" t="b">
        <v>0</v>
      </c>
      <c r="L133" t="b">
        <v>0</v>
      </c>
    </row>
    <row r="134" spans="1:12" x14ac:dyDescent="0.3">
      <c r="A134">
        <v>31</v>
      </c>
      <c r="B134" t="s">
        <v>18</v>
      </c>
      <c r="C134" s="1">
        <v>3</v>
      </c>
      <c r="D134" t="s">
        <v>28</v>
      </c>
      <c r="E134" t="s">
        <v>26</v>
      </c>
      <c r="F134" t="s">
        <v>22</v>
      </c>
      <c r="G134" t="s">
        <v>16</v>
      </c>
      <c r="H134" t="s">
        <v>17</v>
      </c>
      <c r="I134" s="3">
        <v>19909</v>
      </c>
      <c r="J134" t="b">
        <v>0</v>
      </c>
      <c r="K134" t="b">
        <v>0</v>
      </c>
      <c r="L134" t="b">
        <v>1</v>
      </c>
    </row>
    <row r="135" spans="1:12" x14ac:dyDescent="0.3">
      <c r="A135">
        <v>20</v>
      </c>
      <c r="B135" t="s">
        <v>18</v>
      </c>
      <c r="C135" s="1">
        <v>6</v>
      </c>
      <c r="D135" t="s">
        <v>13</v>
      </c>
      <c r="E135" t="s">
        <v>20</v>
      </c>
      <c r="F135" t="s">
        <v>27</v>
      </c>
      <c r="G135" t="s">
        <v>23</v>
      </c>
      <c r="H135" t="s">
        <v>24</v>
      </c>
      <c r="I135" s="3">
        <v>10066</v>
      </c>
      <c r="J135" t="b">
        <v>0</v>
      </c>
      <c r="K135" t="b">
        <v>0</v>
      </c>
      <c r="L135" t="b">
        <v>0</v>
      </c>
    </row>
    <row r="136" spans="1:12" x14ac:dyDescent="0.3">
      <c r="A136">
        <v>18</v>
      </c>
      <c r="B136" t="s">
        <v>12</v>
      </c>
      <c r="C136" s="1">
        <v>2</v>
      </c>
      <c r="D136" t="s">
        <v>28</v>
      </c>
      <c r="E136" t="s">
        <v>20</v>
      </c>
      <c r="F136" t="s">
        <v>27</v>
      </c>
      <c r="G136" t="s">
        <v>29</v>
      </c>
      <c r="H136" t="s">
        <v>21</v>
      </c>
      <c r="I136" s="3">
        <v>18828</v>
      </c>
      <c r="J136" t="b">
        <v>1</v>
      </c>
      <c r="K136" t="b">
        <v>0</v>
      </c>
      <c r="L136" t="b">
        <v>1</v>
      </c>
    </row>
    <row r="137" spans="1:12" x14ac:dyDescent="0.3">
      <c r="A137">
        <v>22</v>
      </c>
      <c r="B137" t="s">
        <v>12</v>
      </c>
      <c r="C137" s="1">
        <v>2</v>
      </c>
      <c r="D137" t="s">
        <v>19</v>
      </c>
      <c r="E137" t="s">
        <v>14</v>
      </c>
      <c r="F137" t="s">
        <v>27</v>
      </c>
      <c r="G137" t="s">
        <v>23</v>
      </c>
      <c r="H137" t="s">
        <v>24</v>
      </c>
      <c r="I137" s="3">
        <v>18505</v>
      </c>
      <c r="J137" t="b">
        <v>1</v>
      </c>
      <c r="K137" t="b">
        <v>1</v>
      </c>
      <c r="L137" t="b">
        <v>1</v>
      </c>
    </row>
    <row r="138" spans="1:12" x14ac:dyDescent="0.3">
      <c r="A138">
        <v>43</v>
      </c>
      <c r="B138" t="s">
        <v>25</v>
      </c>
      <c r="C138" s="1">
        <v>9</v>
      </c>
      <c r="D138" t="s">
        <v>28</v>
      </c>
      <c r="E138" t="s">
        <v>20</v>
      </c>
      <c r="F138" t="s">
        <v>27</v>
      </c>
      <c r="G138" t="s">
        <v>16</v>
      </c>
      <c r="H138" t="s">
        <v>24</v>
      </c>
      <c r="I138" s="3">
        <v>10564</v>
      </c>
      <c r="J138" t="b">
        <v>0</v>
      </c>
      <c r="K138" t="b">
        <v>1</v>
      </c>
      <c r="L138" t="b">
        <v>0</v>
      </c>
    </row>
    <row r="139" spans="1:12" x14ac:dyDescent="0.3">
      <c r="A139">
        <v>31</v>
      </c>
      <c r="B139" t="s">
        <v>25</v>
      </c>
      <c r="C139" s="1">
        <v>7</v>
      </c>
      <c r="D139" t="s">
        <v>28</v>
      </c>
      <c r="E139" t="s">
        <v>20</v>
      </c>
      <c r="F139" t="s">
        <v>22</v>
      </c>
      <c r="G139" t="s">
        <v>23</v>
      </c>
      <c r="H139" t="s">
        <v>24</v>
      </c>
      <c r="I139" s="3">
        <v>19793</v>
      </c>
      <c r="J139" t="b">
        <v>0</v>
      </c>
      <c r="K139" t="b">
        <v>0</v>
      </c>
      <c r="L139" t="b">
        <v>1</v>
      </c>
    </row>
    <row r="140" spans="1:12" x14ac:dyDescent="0.3">
      <c r="A140">
        <v>56</v>
      </c>
      <c r="B140" t="s">
        <v>12</v>
      </c>
      <c r="C140" s="1">
        <v>3</v>
      </c>
      <c r="D140" t="s">
        <v>13</v>
      </c>
      <c r="E140" t="s">
        <v>14</v>
      </c>
      <c r="F140" t="s">
        <v>15</v>
      </c>
      <c r="G140" t="s">
        <v>16</v>
      </c>
      <c r="H140" t="s">
        <v>17</v>
      </c>
      <c r="I140" s="3">
        <v>19017</v>
      </c>
      <c r="J140" t="b">
        <v>1</v>
      </c>
      <c r="K140" t="b">
        <v>0</v>
      </c>
      <c r="L140" t="b">
        <v>0</v>
      </c>
    </row>
    <row r="141" spans="1:12" x14ac:dyDescent="0.3">
      <c r="A141">
        <v>44</v>
      </c>
      <c r="B141" t="s">
        <v>12</v>
      </c>
      <c r="C141" s="1">
        <v>1</v>
      </c>
      <c r="D141" t="s">
        <v>28</v>
      </c>
      <c r="E141" t="s">
        <v>26</v>
      </c>
      <c r="F141" t="s">
        <v>15</v>
      </c>
      <c r="G141" t="s">
        <v>23</v>
      </c>
      <c r="H141" t="s">
        <v>24</v>
      </c>
      <c r="I141" s="3">
        <v>13670</v>
      </c>
      <c r="J141" t="b">
        <v>0</v>
      </c>
      <c r="K141" t="b">
        <v>1</v>
      </c>
      <c r="L141" t="b">
        <v>1</v>
      </c>
    </row>
    <row r="142" spans="1:12" x14ac:dyDescent="0.3">
      <c r="A142">
        <v>26</v>
      </c>
      <c r="B142" t="s">
        <v>25</v>
      </c>
      <c r="C142" s="1">
        <v>8</v>
      </c>
      <c r="D142" t="s">
        <v>19</v>
      </c>
      <c r="E142" t="s">
        <v>26</v>
      </c>
      <c r="F142" t="s">
        <v>15</v>
      </c>
      <c r="G142" t="s">
        <v>16</v>
      </c>
      <c r="H142" t="s">
        <v>17</v>
      </c>
      <c r="I142" s="3">
        <v>19217</v>
      </c>
      <c r="J142" t="b">
        <v>1</v>
      </c>
      <c r="K142" t="b">
        <v>0</v>
      </c>
      <c r="L142" t="b">
        <v>1</v>
      </c>
    </row>
    <row r="143" spans="1:12" x14ac:dyDescent="0.3">
      <c r="A143">
        <v>32</v>
      </c>
      <c r="B143" t="s">
        <v>18</v>
      </c>
      <c r="C143" s="1">
        <v>6</v>
      </c>
      <c r="D143" t="s">
        <v>13</v>
      </c>
      <c r="E143" t="s">
        <v>14</v>
      </c>
      <c r="F143" t="s">
        <v>22</v>
      </c>
      <c r="G143" t="s">
        <v>23</v>
      </c>
      <c r="H143" t="s">
        <v>17</v>
      </c>
      <c r="I143" s="3">
        <v>12251</v>
      </c>
      <c r="J143" t="b">
        <v>0</v>
      </c>
      <c r="K143" t="b">
        <v>1</v>
      </c>
      <c r="L143" t="b">
        <v>0</v>
      </c>
    </row>
    <row r="144" spans="1:12" x14ac:dyDescent="0.3">
      <c r="A144">
        <v>32</v>
      </c>
      <c r="B144" t="s">
        <v>12</v>
      </c>
      <c r="C144" s="1">
        <v>7</v>
      </c>
      <c r="D144" t="s">
        <v>13</v>
      </c>
      <c r="E144" t="s">
        <v>26</v>
      </c>
      <c r="F144" t="s">
        <v>27</v>
      </c>
      <c r="G144" t="s">
        <v>16</v>
      </c>
      <c r="H144" t="s">
        <v>24</v>
      </c>
      <c r="I144" s="3">
        <v>10804</v>
      </c>
      <c r="J144" t="b">
        <v>0</v>
      </c>
      <c r="K144" t="b">
        <v>1</v>
      </c>
      <c r="L144" t="b">
        <v>1</v>
      </c>
    </row>
    <row r="145" spans="1:12" x14ac:dyDescent="0.3">
      <c r="A145">
        <v>43</v>
      </c>
      <c r="B145" t="s">
        <v>25</v>
      </c>
      <c r="C145" s="1">
        <v>9</v>
      </c>
      <c r="D145" t="s">
        <v>28</v>
      </c>
      <c r="E145" t="s">
        <v>20</v>
      </c>
      <c r="F145" t="s">
        <v>15</v>
      </c>
      <c r="G145" t="s">
        <v>23</v>
      </c>
      <c r="H145" t="s">
        <v>24</v>
      </c>
      <c r="I145" s="3">
        <v>14631</v>
      </c>
      <c r="J145" t="b">
        <v>1</v>
      </c>
      <c r="K145" t="b">
        <v>1</v>
      </c>
      <c r="L145" t="b">
        <v>1</v>
      </c>
    </row>
    <row r="146" spans="1:12" x14ac:dyDescent="0.3">
      <c r="A146">
        <v>59</v>
      </c>
      <c r="B146" t="s">
        <v>18</v>
      </c>
      <c r="C146" s="1">
        <v>5</v>
      </c>
      <c r="D146" t="s">
        <v>13</v>
      </c>
      <c r="E146" t="s">
        <v>14</v>
      </c>
      <c r="F146" t="s">
        <v>22</v>
      </c>
      <c r="G146" t="s">
        <v>23</v>
      </c>
      <c r="H146" t="s">
        <v>24</v>
      </c>
      <c r="I146" s="3">
        <v>19583</v>
      </c>
      <c r="J146" t="b">
        <v>0</v>
      </c>
      <c r="K146" t="b">
        <v>1</v>
      </c>
      <c r="L146" t="b">
        <v>1</v>
      </c>
    </row>
    <row r="147" spans="1:12" x14ac:dyDescent="0.3">
      <c r="A147">
        <v>30</v>
      </c>
      <c r="B147" t="s">
        <v>12</v>
      </c>
      <c r="C147" s="1">
        <v>1</v>
      </c>
      <c r="D147" t="s">
        <v>13</v>
      </c>
      <c r="E147" t="s">
        <v>14</v>
      </c>
      <c r="F147" t="s">
        <v>27</v>
      </c>
      <c r="G147" t="s">
        <v>29</v>
      </c>
      <c r="H147" t="s">
        <v>24</v>
      </c>
      <c r="I147" s="3">
        <v>11235</v>
      </c>
      <c r="J147" t="b">
        <v>1</v>
      </c>
      <c r="K147" t="b">
        <v>0</v>
      </c>
      <c r="L147" t="b">
        <v>1</v>
      </c>
    </row>
    <row r="148" spans="1:12" x14ac:dyDescent="0.3">
      <c r="A148">
        <v>49</v>
      </c>
      <c r="B148" t="s">
        <v>18</v>
      </c>
      <c r="C148" s="1">
        <v>7</v>
      </c>
      <c r="D148" t="s">
        <v>13</v>
      </c>
      <c r="E148" t="s">
        <v>14</v>
      </c>
      <c r="F148" t="s">
        <v>15</v>
      </c>
      <c r="G148" t="s">
        <v>29</v>
      </c>
      <c r="H148" t="s">
        <v>17</v>
      </c>
      <c r="I148" s="3">
        <v>16720</v>
      </c>
      <c r="J148" t="b">
        <v>1</v>
      </c>
      <c r="K148" t="b">
        <v>0</v>
      </c>
      <c r="L148" t="b">
        <v>1</v>
      </c>
    </row>
    <row r="149" spans="1:12" x14ac:dyDescent="0.3">
      <c r="A149">
        <v>56</v>
      </c>
      <c r="B149" t="s">
        <v>25</v>
      </c>
      <c r="C149" s="1">
        <v>5</v>
      </c>
      <c r="D149" t="s">
        <v>13</v>
      </c>
      <c r="E149" t="s">
        <v>26</v>
      </c>
      <c r="F149" t="s">
        <v>27</v>
      </c>
      <c r="G149" t="s">
        <v>16</v>
      </c>
      <c r="H149" t="s">
        <v>24</v>
      </c>
      <c r="I149" s="3">
        <v>16906</v>
      </c>
      <c r="J149" t="b">
        <v>1</v>
      </c>
      <c r="K149" t="b">
        <v>1</v>
      </c>
      <c r="L149" t="b">
        <v>1</v>
      </c>
    </row>
    <row r="150" spans="1:12" x14ac:dyDescent="0.3">
      <c r="A150">
        <v>49</v>
      </c>
      <c r="B150" t="s">
        <v>12</v>
      </c>
      <c r="C150" s="1">
        <v>3</v>
      </c>
      <c r="D150" t="s">
        <v>13</v>
      </c>
      <c r="E150" t="s">
        <v>14</v>
      </c>
      <c r="F150" t="s">
        <v>15</v>
      </c>
      <c r="G150" t="s">
        <v>23</v>
      </c>
      <c r="H150" t="s">
        <v>24</v>
      </c>
      <c r="I150" s="3">
        <v>16016</v>
      </c>
      <c r="J150" t="b">
        <v>0</v>
      </c>
      <c r="K150" t="b">
        <v>0</v>
      </c>
      <c r="L150" t="b">
        <v>1</v>
      </c>
    </row>
    <row r="151" spans="1:12" x14ac:dyDescent="0.3">
      <c r="A151">
        <v>21</v>
      </c>
      <c r="B151" t="s">
        <v>18</v>
      </c>
      <c r="C151" s="1">
        <v>9</v>
      </c>
      <c r="D151" t="s">
        <v>13</v>
      </c>
      <c r="E151" t="s">
        <v>14</v>
      </c>
      <c r="F151" t="s">
        <v>15</v>
      </c>
      <c r="G151" t="s">
        <v>16</v>
      </c>
      <c r="H151" t="s">
        <v>17</v>
      </c>
      <c r="I151" s="3">
        <v>13549</v>
      </c>
      <c r="J151" t="b">
        <v>1</v>
      </c>
      <c r="K151" t="b">
        <v>0</v>
      </c>
      <c r="L151" t="b">
        <v>1</v>
      </c>
    </row>
    <row r="152" spans="1:12" x14ac:dyDescent="0.3">
      <c r="A152">
        <v>47</v>
      </c>
      <c r="B152" t="s">
        <v>12</v>
      </c>
      <c r="C152" s="1">
        <v>1</v>
      </c>
      <c r="D152" t="s">
        <v>19</v>
      </c>
      <c r="E152" t="s">
        <v>14</v>
      </c>
      <c r="F152" t="s">
        <v>15</v>
      </c>
      <c r="G152" t="s">
        <v>29</v>
      </c>
      <c r="H152" t="s">
        <v>21</v>
      </c>
      <c r="I152" s="3">
        <v>17938</v>
      </c>
      <c r="J152" t="b">
        <v>1</v>
      </c>
      <c r="K152" t="b">
        <v>0</v>
      </c>
      <c r="L152" t="b">
        <v>0</v>
      </c>
    </row>
    <row r="153" spans="1:12" x14ac:dyDescent="0.3">
      <c r="A153">
        <v>54</v>
      </c>
      <c r="B153" t="s">
        <v>18</v>
      </c>
      <c r="C153" s="1">
        <v>1</v>
      </c>
      <c r="D153" t="s">
        <v>28</v>
      </c>
      <c r="E153" t="s">
        <v>26</v>
      </c>
      <c r="F153" t="s">
        <v>27</v>
      </c>
      <c r="G153" t="s">
        <v>16</v>
      </c>
      <c r="H153" t="s">
        <v>21</v>
      </c>
      <c r="I153" s="3">
        <v>14141</v>
      </c>
      <c r="J153" t="b">
        <v>0</v>
      </c>
      <c r="K153" t="b">
        <v>0</v>
      </c>
      <c r="L153" t="b">
        <v>1</v>
      </c>
    </row>
    <row r="154" spans="1:12" x14ac:dyDescent="0.3">
      <c r="A154">
        <v>40</v>
      </c>
      <c r="B154" t="s">
        <v>25</v>
      </c>
      <c r="C154" s="1">
        <v>1</v>
      </c>
      <c r="D154" t="s">
        <v>19</v>
      </c>
      <c r="E154" t="s">
        <v>20</v>
      </c>
      <c r="F154" t="s">
        <v>22</v>
      </c>
      <c r="G154" t="s">
        <v>16</v>
      </c>
      <c r="H154" t="s">
        <v>17</v>
      </c>
      <c r="I154" s="3">
        <v>16966</v>
      </c>
      <c r="J154" t="b">
        <v>0</v>
      </c>
      <c r="K154" t="b">
        <v>1</v>
      </c>
      <c r="L154" t="b">
        <v>1</v>
      </c>
    </row>
    <row r="155" spans="1:12" x14ac:dyDescent="0.3">
      <c r="A155">
        <v>56</v>
      </c>
      <c r="B155" t="s">
        <v>25</v>
      </c>
      <c r="C155" s="1">
        <v>3</v>
      </c>
      <c r="D155" t="s">
        <v>13</v>
      </c>
      <c r="E155" t="s">
        <v>14</v>
      </c>
      <c r="F155" t="s">
        <v>27</v>
      </c>
      <c r="G155" t="s">
        <v>29</v>
      </c>
      <c r="H155" t="s">
        <v>21</v>
      </c>
      <c r="I155" s="3">
        <v>19546</v>
      </c>
      <c r="J155" t="b">
        <v>0</v>
      </c>
      <c r="K155" t="b">
        <v>0</v>
      </c>
      <c r="L155" t="b">
        <v>0</v>
      </c>
    </row>
    <row r="156" spans="1:12" x14ac:dyDescent="0.3">
      <c r="A156">
        <v>62</v>
      </c>
      <c r="B156" t="s">
        <v>12</v>
      </c>
      <c r="C156" s="1">
        <v>6</v>
      </c>
      <c r="D156" t="s">
        <v>13</v>
      </c>
      <c r="E156" t="s">
        <v>20</v>
      </c>
      <c r="F156" t="s">
        <v>15</v>
      </c>
      <c r="G156" t="s">
        <v>23</v>
      </c>
      <c r="H156" t="s">
        <v>17</v>
      </c>
      <c r="I156" s="3">
        <v>15335</v>
      </c>
      <c r="J156" t="b">
        <v>0</v>
      </c>
      <c r="K156" t="b">
        <v>1</v>
      </c>
      <c r="L156" t="b">
        <v>0</v>
      </c>
    </row>
    <row r="157" spans="1:12" x14ac:dyDescent="0.3">
      <c r="A157">
        <v>32</v>
      </c>
      <c r="B157" t="s">
        <v>18</v>
      </c>
      <c r="C157" s="1">
        <v>3</v>
      </c>
      <c r="D157" t="s">
        <v>28</v>
      </c>
      <c r="E157" t="s">
        <v>26</v>
      </c>
      <c r="F157" t="s">
        <v>27</v>
      </c>
      <c r="G157" t="s">
        <v>16</v>
      </c>
      <c r="H157" t="s">
        <v>24</v>
      </c>
      <c r="I157" s="3">
        <v>15077</v>
      </c>
      <c r="J157" t="b">
        <v>0</v>
      </c>
      <c r="K157" t="b">
        <v>1</v>
      </c>
      <c r="L157" t="b">
        <v>0</v>
      </c>
    </row>
    <row r="158" spans="1:12" x14ac:dyDescent="0.3">
      <c r="A158">
        <v>60</v>
      </c>
      <c r="B158" t="s">
        <v>12</v>
      </c>
      <c r="C158" s="1">
        <v>8</v>
      </c>
      <c r="D158" t="s">
        <v>19</v>
      </c>
      <c r="E158" t="s">
        <v>26</v>
      </c>
      <c r="F158" t="s">
        <v>22</v>
      </c>
      <c r="G158" t="s">
        <v>29</v>
      </c>
      <c r="H158" t="s">
        <v>24</v>
      </c>
      <c r="I158" s="3">
        <v>15611</v>
      </c>
      <c r="J158" t="b">
        <v>0</v>
      </c>
      <c r="K158" t="b">
        <v>0</v>
      </c>
      <c r="L158" t="b">
        <v>1</v>
      </c>
    </row>
    <row r="159" spans="1:12" x14ac:dyDescent="0.3">
      <c r="A159">
        <v>46</v>
      </c>
      <c r="B159" t="s">
        <v>12</v>
      </c>
      <c r="C159" s="1">
        <v>2</v>
      </c>
      <c r="D159" t="s">
        <v>28</v>
      </c>
      <c r="E159" t="s">
        <v>26</v>
      </c>
      <c r="F159" t="s">
        <v>27</v>
      </c>
      <c r="G159" t="s">
        <v>23</v>
      </c>
      <c r="H159" t="s">
        <v>21</v>
      </c>
      <c r="I159" s="3">
        <v>18089</v>
      </c>
      <c r="J159" t="b">
        <v>1</v>
      </c>
      <c r="K159" t="b">
        <v>1</v>
      </c>
      <c r="L159" t="b">
        <v>0</v>
      </c>
    </row>
    <row r="160" spans="1:12" x14ac:dyDescent="0.3">
      <c r="A160">
        <v>53</v>
      </c>
      <c r="B160" t="s">
        <v>18</v>
      </c>
      <c r="C160" s="1">
        <v>9</v>
      </c>
      <c r="D160" t="s">
        <v>19</v>
      </c>
      <c r="E160" t="s">
        <v>26</v>
      </c>
      <c r="F160" t="s">
        <v>22</v>
      </c>
      <c r="G160" t="s">
        <v>29</v>
      </c>
      <c r="H160" t="s">
        <v>24</v>
      </c>
      <c r="I160" s="3">
        <v>12892</v>
      </c>
      <c r="J160" t="b">
        <v>0</v>
      </c>
      <c r="K160" t="b">
        <v>0</v>
      </c>
      <c r="L160" t="b">
        <v>0</v>
      </c>
    </row>
    <row r="161" spans="1:12" x14ac:dyDescent="0.3">
      <c r="A161">
        <v>30</v>
      </c>
      <c r="B161" t="s">
        <v>18</v>
      </c>
      <c r="C161" s="1">
        <v>3</v>
      </c>
      <c r="D161" t="s">
        <v>13</v>
      </c>
      <c r="E161" t="s">
        <v>20</v>
      </c>
      <c r="F161" t="s">
        <v>22</v>
      </c>
      <c r="G161" t="s">
        <v>16</v>
      </c>
      <c r="H161" t="s">
        <v>21</v>
      </c>
      <c r="I161" s="3">
        <v>15577</v>
      </c>
      <c r="J161" t="b">
        <v>1</v>
      </c>
      <c r="K161" t="b">
        <v>0</v>
      </c>
      <c r="L161" t="b">
        <v>1</v>
      </c>
    </row>
    <row r="162" spans="1:12" x14ac:dyDescent="0.3">
      <c r="A162">
        <v>49</v>
      </c>
      <c r="B162" t="s">
        <v>18</v>
      </c>
      <c r="C162" s="1">
        <v>5</v>
      </c>
      <c r="D162" t="s">
        <v>28</v>
      </c>
      <c r="E162" t="s">
        <v>14</v>
      </c>
      <c r="F162" t="s">
        <v>27</v>
      </c>
      <c r="G162" t="s">
        <v>23</v>
      </c>
      <c r="H162" t="s">
        <v>21</v>
      </c>
      <c r="I162" s="3">
        <v>13618</v>
      </c>
      <c r="J162" t="b">
        <v>0</v>
      </c>
      <c r="K162" t="b">
        <v>1</v>
      </c>
      <c r="L162" t="b">
        <v>1</v>
      </c>
    </row>
    <row r="163" spans="1:12" x14ac:dyDescent="0.3">
      <c r="A163">
        <v>24</v>
      </c>
      <c r="B163" t="s">
        <v>25</v>
      </c>
      <c r="C163" s="1">
        <v>8</v>
      </c>
      <c r="D163" t="s">
        <v>28</v>
      </c>
      <c r="E163" t="s">
        <v>26</v>
      </c>
      <c r="F163" t="s">
        <v>15</v>
      </c>
      <c r="G163" t="s">
        <v>23</v>
      </c>
      <c r="H163" t="s">
        <v>24</v>
      </c>
      <c r="I163" s="3">
        <v>11559</v>
      </c>
      <c r="J163" t="b">
        <v>1</v>
      </c>
      <c r="K163" t="b">
        <v>0</v>
      </c>
      <c r="L163" t="b">
        <v>0</v>
      </c>
    </row>
    <row r="164" spans="1:12" x14ac:dyDescent="0.3">
      <c r="A164">
        <v>39</v>
      </c>
      <c r="B164" t="s">
        <v>12</v>
      </c>
      <c r="C164" s="1">
        <v>2</v>
      </c>
      <c r="D164" t="s">
        <v>13</v>
      </c>
      <c r="E164" t="s">
        <v>26</v>
      </c>
      <c r="F164" t="s">
        <v>22</v>
      </c>
      <c r="G164" t="s">
        <v>29</v>
      </c>
      <c r="H164" t="s">
        <v>24</v>
      </c>
      <c r="I164" s="3">
        <v>16683</v>
      </c>
      <c r="J164" t="b">
        <v>1</v>
      </c>
      <c r="K164" t="b">
        <v>1</v>
      </c>
      <c r="L164" t="b">
        <v>0</v>
      </c>
    </row>
    <row r="165" spans="1:12" x14ac:dyDescent="0.3">
      <c r="A165">
        <v>45</v>
      </c>
      <c r="B165" t="s">
        <v>12</v>
      </c>
      <c r="C165" s="1">
        <v>6</v>
      </c>
      <c r="D165" t="s">
        <v>28</v>
      </c>
      <c r="E165" t="s">
        <v>20</v>
      </c>
      <c r="F165" t="s">
        <v>27</v>
      </c>
      <c r="G165" t="s">
        <v>29</v>
      </c>
      <c r="H165" t="s">
        <v>21</v>
      </c>
      <c r="I165" s="3">
        <v>11507</v>
      </c>
      <c r="J165" t="b">
        <v>0</v>
      </c>
      <c r="K165" t="b">
        <v>1</v>
      </c>
      <c r="L165" t="b">
        <v>1</v>
      </c>
    </row>
    <row r="166" spans="1:12" x14ac:dyDescent="0.3">
      <c r="A166">
        <v>19</v>
      </c>
      <c r="B166" t="s">
        <v>25</v>
      </c>
      <c r="C166" s="1">
        <v>5</v>
      </c>
      <c r="D166" t="s">
        <v>19</v>
      </c>
      <c r="E166" t="s">
        <v>20</v>
      </c>
      <c r="F166" t="s">
        <v>22</v>
      </c>
      <c r="G166" t="s">
        <v>29</v>
      </c>
      <c r="H166" t="s">
        <v>24</v>
      </c>
      <c r="I166" s="3">
        <v>12063</v>
      </c>
      <c r="J166" t="b">
        <v>0</v>
      </c>
      <c r="K166" t="b">
        <v>0</v>
      </c>
      <c r="L166" t="b">
        <v>1</v>
      </c>
    </row>
    <row r="167" spans="1:12" x14ac:dyDescent="0.3">
      <c r="A167">
        <v>59</v>
      </c>
      <c r="B167" t="s">
        <v>18</v>
      </c>
      <c r="C167" s="1">
        <v>9</v>
      </c>
      <c r="D167" t="s">
        <v>19</v>
      </c>
      <c r="E167" t="s">
        <v>26</v>
      </c>
      <c r="F167" t="s">
        <v>15</v>
      </c>
      <c r="G167" t="s">
        <v>23</v>
      </c>
      <c r="H167" t="s">
        <v>17</v>
      </c>
      <c r="I167" s="3">
        <v>13642</v>
      </c>
      <c r="J167" t="b">
        <v>1</v>
      </c>
      <c r="K167" t="b">
        <v>0</v>
      </c>
      <c r="L167" t="b">
        <v>1</v>
      </c>
    </row>
    <row r="168" spans="1:12" x14ac:dyDescent="0.3">
      <c r="A168">
        <v>62</v>
      </c>
      <c r="B168" t="s">
        <v>25</v>
      </c>
      <c r="C168" s="1">
        <v>5</v>
      </c>
      <c r="D168" t="s">
        <v>19</v>
      </c>
      <c r="E168" t="s">
        <v>14</v>
      </c>
      <c r="F168" t="s">
        <v>27</v>
      </c>
      <c r="G168" t="s">
        <v>23</v>
      </c>
      <c r="H168" t="s">
        <v>24</v>
      </c>
      <c r="I168" s="3">
        <v>12000</v>
      </c>
      <c r="J168" t="b">
        <v>0</v>
      </c>
      <c r="K168" t="b">
        <v>0</v>
      </c>
      <c r="L168" t="b">
        <v>1</v>
      </c>
    </row>
    <row r="169" spans="1:12" x14ac:dyDescent="0.3">
      <c r="A169">
        <v>23</v>
      </c>
      <c r="B169" t="s">
        <v>25</v>
      </c>
      <c r="C169" s="1">
        <v>2</v>
      </c>
      <c r="D169" t="s">
        <v>19</v>
      </c>
      <c r="E169" t="s">
        <v>14</v>
      </c>
      <c r="F169" t="s">
        <v>27</v>
      </c>
      <c r="G169" t="s">
        <v>16</v>
      </c>
      <c r="H169" t="s">
        <v>24</v>
      </c>
      <c r="I169" s="3">
        <v>11294</v>
      </c>
      <c r="J169" t="b">
        <v>0</v>
      </c>
      <c r="K169" t="b">
        <v>1</v>
      </c>
      <c r="L169" t="b">
        <v>1</v>
      </c>
    </row>
    <row r="170" spans="1:12" x14ac:dyDescent="0.3">
      <c r="A170">
        <v>45</v>
      </c>
      <c r="B170" t="s">
        <v>25</v>
      </c>
      <c r="C170" s="1">
        <v>5</v>
      </c>
      <c r="D170" t="s">
        <v>13</v>
      </c>
      <c r="E170" t="s">
        <v>26</v>
      </c>
      <c r="F170" t="s">
        <v>27</v>
      </c>
      <c r="G170" t="s">
        <v>23</v>
      </c>
      <c r="H170" t="s">
        <v>17</v>
      </c>
      <c r="I170" s="3">
        <v>14065</v>
      </c>
      <c r="J170" t="b">
        <v>1</v>
      </c>
      <c r="K170" t="b">
        <v>0</v>
      </c>
      <c r="L170" t="b">
        <v>0</v>
      </c>
    </row>
    <row r="171" spans="1:12" x14ac:dyDescent="0.3">
      <c r="A171">
        <v>45</v>
      </c>
      <c r="B171" t="s">
        <v>12</v>
      </c>
      <c r="C171" s="1">
        <v>4</v>
      </c>
      <c r="D171" t="s">
        <v>28</v>
      </c>
      <c r="E171" t="s">
        <v>20</v>
      </c>
      <c r="F171" t="s">
        <v>15</v>
      </c>
      <c r="G171" t="s">
        <v>16</v>
      </c>
      <c r="H171" t="s">
        <v>24</v>
      </c>
      <c r="I171" s="3">
        <v>18014</v>
      </c>
      <c r="J171" t="b">
        <v>1</v>
      </c>
      <c r="K171" t="b">
        <v>1</v>
      </c>
      <c r="L171" t="b">
        <v>1</v>
      </c>
    </row>
    <row r="172" spans="1:12" x14ac:dyDescent="0.3">
      <c r="A172">
        <v>61</v>
      </c>
      <c r="B172" t="s">
        <v>25</v>
      </c>
      <c r="C172" s="1">
        <v>7</v>
      </c>
      <c r="D172" t="s">
        <v>19</v>
      </c>
      <c r="E172" t="s">
        <v>26</v>
      </c>
      <c r="F172" t="s">
        <v>22</v>
      </c>
      <c r="G172" t="s">
        <v>29</v>
      </c>
      <c r="H172" t="s">
        <v>24</v>
      </c>
      <c r="I172" s="3">
        <v>19945</v>
      </c>
      <c r="J172" t="b">
        <v>1</v>
      </c>
      <c r="K172" t="b">
        <v>1</v>
      </c>
      <c r="L172" t="b">
        <v>1</v>
      </c>
    </row>
    <row r="173" spans="1:12" x14ac:dyDescent="0.3">
      <c r="A173">
        <v>61</v>
      </c>
      <c r="B173" t="s">
        <v>12</v>
      </c>
      <c r="C173" s="1">
        <v>6</v>
      </c>
      <c r="D173" t="s">
        <v>13</v>
      </c>
      <c r="E173" t="s">
        <v>26</v>
      </c>
      <c r="F173" t="s">
        <v>27</v>
      </c>
      <c r="G173" t="s">
        <v>29</v>
      </c>
      <c r="H173" t="s">
        <v>21</v>
      </c>
      <c r="I173" s="3">
        <v>11603</v>
      </c>
      <c r="J173" t="b">
        <v>0</v>
      </c>
      <c r="K173" t="b">
        <v>0</v>
      </c>
      <c r="L173" t="b">
        <v>1</v>
      </c>
    </row>
    <row r="174" spans="1:12" x14ac:dyDescent="0.3">
      <c r="A174">
        <v>37</v>
      </c>
      <c r="B174" t="s">
        <v>12</v>
      </c>
      <c r="C174" s="1">
        <v>2</v>
      </c>
      <c r="D174" t="s">
        <v>28</v>
      </c>
      <c r="E174" t="s">
        <v>20</v>
      </c>
      <c r="F174" t="s">
        <v>22</v>
      </c>
      <c r="G174" t="s">
        <v>23</v>
      </c>
      <c r="H174" t="s">
        <v>24</v>
      </c>
      <c r="I174" s="3">
        <v>11322</v>
      </c>
      <c r="J174" t="b">
        <v>0</v>
      </c>
      <c r="K174" t="b">
        <v>0</v>
      </c>
      <c r="L174" t="b">
        <v>1</v>
      </c>
    </row>
    <row r="175" spans="1:12" x14ac:dyDescent="0.3">
      <c r="A175">
        <v>47</v>
      </c>
      <c r="B175" t="s">
        <v>12</v>
      </c>
      <c r="C175" s="1">
        <v>5</v>
      </c>
      <c r="D175" t="s">
        <v>28</v>
      </c>
      <c r="E175" t="s">
        <v>26</v>
      </c>
      <c r="F175" t="s">
        <v>22</v>
      </c>
      <c r="G175" t="s">
        <v>29</v>
      </c>
      <c r="H175" t="s">
        <v>24</v>
      </c>
      <c r="I175" s="3">
        <v>15956</v>
      </c>
      <c r="J175" t="b">
        <v>0</v>
      </c>
      <c r="K175" t="b">
        <v>0</v>
      </c>
      <c r="L175" t="b">
        <v>1</v>
      </c>
    </row>
    <row r="176" spans="1:12" x14ac:dyDescent="0.3">
      <c r="A176">
        <v>28</v>
      </c>
      <c r="B176" t="s">
        <v>18</v>
      </c>
      <c r="C176" s="1">
        <v>7</v>
      </c>
      <c r="D176" t="s">
        <v>13</v>
      </c>
      <c r="E176" t="s">
        <v>26</v>
      </c>
      <c r="F176" t="s">
        <v>15</v>
      </c>
      <c r="G176" t="s">
        <v>29</v>
      </c>
      <c r="H176" t="s">
        <v>17</v>
      </c>
      <c r="I176" s="3">
        <v>12441</v>
      </c>
      <c r="J176" t="b">
        <v>0</v>
      </c>
      <c r="K176" t="b">
        <v>1</v>
      </c>
      <c r="L176" t="b">
        <v>0</v>
      </c>
    </row>
    <row r="177" spans="1:12" x14ac:dyDescent="0.3">
      <c r="A177">
        <v>45</v>
      </c>
      <c r="B177" t="s">
        <v>12</v>
      </c>
      <c r="C177" s="1">
        <v>7</v>
      </c>
      <c r="D177" t="s">
        <v>13</v>
      </c>
      <c r="E177" t="s">
        <v>26</v>
      </c>
      <c r="F177" t="s">
        <v>27</v>
      </c>
      <c r="G177" t="s">
        <v>23</v>
      </c>
      <c r="H177" t="s">
        <v>21</v>
      </c>
      <c r="I177" s="3">
        <v>11098</v>
      </c>
      <c r="J177" t="b">
        <v>1</v>
      </c>
      <c r="K177" t="b">
        <v>0</v>
      </c>
      <c r="L177" t="b">
        <v>1</v>
      </c>
    </row>
    <row r="178" spans="1:12" x14ac:dyDescent="0.3">
      <c r="A178">
        <v>42</v>
      </c>
      <c r="B178" t="s">
        <v>12</v>
      </c>
      <c r="C178" s="1">
        <v>5</v>
      </c>
      <c r="D178" t="s">
        <v>19</v>
      </c>
      <c r="E178" t="s">
        <v>20</v>
      </c>
      <c r="F178" t="s">
        <v>22</v>
      </c>
      <c r="G178" t="s">
        <v>16</v>
      </c>
      <c r="H178" t="s">
        <v>21</v>
      </c>
      <c r="I178" s="3">
        <v>15073</v>
      </c>
      <c r="J178" t="b">
        <v>0</v>
      </c>
      <c r="K178" t="b">
        <v>1</v>
      </c>
      <c r="L178" t="b">
        <v>0</v>
      </c>
    </row>
    <row r="179" spans="1:12" x14ac:dyDescent="0.3">
      <c r="A179">
        <v>56</v>
      </c>
      <c r="B179" t="s">
        <v>18</v>
      </c>
      <c r="C179" s="1">
        <v>9</v>
      </c>
      <c r="D179" t="s">
        <v>28</v>
      </c>
      <c r="E179" t="s">
        <v>14</v>
      </c>
      <c r="F179" t="s">
        <v>27</v>
      </c>
      <c r="G179" t="s">
        <v>23</v>
      </c>
      <c r="H179" t="s">
        <v>21</v>
      </c>
      <c r="I179" s="3">
        <v>19697</v>
      </c>
      <c r="J179" t="b">
        <v>1</v>
      </c>
      <c r="K179" t="b">
        <v>0</v>
      </c>
      <c r="L179" t="b">
        <v>1</v>
      </c>
    </row>
    <row r="180" spans="1:12" x14ac:dyDescent="0.3">
      <c r="A180">
        <v>50</v>
      </c>
      <c r="B180" t="s">
        <v>12</v>
      </c>
      <c r="C180" s="1">
        <v>4</v>
      </c>
      <c r="D180" t="s">
        <v>28</v>
      </c>
      <c r="E180" t="s">
        <v>14</v>
      </c>
      <c r="F180" t="s">
        <v>27</v>
      </c>
      <c r="G180" t="s">
        <v>16</v>
      </c>
      <c r="H180" t="s">
        <v>24</v>
      </c>
      <c r="I180" s="3">
        <v>19318</v>
      </c>
      <c r="J180" t="b">
        <v>0</v>
      </c>
      <c r="K180" t="b">
        <v>0</v>
      </c>
      <c r="L180" t="b">
        <v>0</v>
      </c>
    </row>
    <row r="181" spans="1:12" x14ac:dyDescent="0.3">
      <c r="A181">
        <v>18</v>
      </c>
      <c r="B181" t="s">
        <v>25</v>
      </c>
      <c r="C181" s="1">
        <v>3</v>
      </c>
      <c r="D181" t="s">
        <v>13</v>
      </c>
      <c r="E181" t="s">
        <v>20</v>
      </c>
      <c r="F181" t="s">
        <v>15</v>
      </c>
      <c r="G181" t="s">
        <v>23</v>
      </c>
      <c r="H181" t="s">
        <v>21</v>
      </c>
      <c r="I181" s="3">
        <v>18488</v>
      </c>
      <c r="J181" t="b">
        <v>0</v>
      </c>
      <c r="K181" t="b">
        <v>1</v>
      </c>
      <c r="L181" t="b">
        <v>0</v>
      </c>
    </row>
    <row r="182" spans="1:12" x14ac:dyDescent="0.3">
      <c r="A182">
        <v>44</v>
      </c>
      <c r="B182" t="s">
        <v>25</v>
      </c>
      <c r="C182" s="1">
        <v>4</v>
      </c>
      <c r="D182" t="s">
        <v>28</v>
      </c>
      <c r="E182" t="s">
        <v>14</v>
      </c>
      <c r="F182" t="s">
        <v>27</v>
      </c>
      <c r="G182" t="s">
        <v>23</v>
      </c>
      <c r="H182" t="s">
        <v>17</v>
      </c>
      <c r="I182" s="3">
        <v>13787</v>
      </c>
      <c r="J182" t="b">
        <v>1</v>
      </c>
      <c r="K182" t="b">
        <v>1</v>
      </c>
      <c r="L182" t="b">
        <v>1</v>
      </c>
    </row>
    <row r="183" spans="1:12" x14ac:dyDescent="0.3">
      <c r="A183">
        <v>30</v>
      </c>
      <c r="B183" t="s">
        <v>12</v>
      </c>
      <c r="C183" s="1">
        <v>5</v>
      </c>
      <c r="D183" t="s">
        <v>19</v>
      </c>
      <c r="E183" t="s">
        <v>26</v>
      </c>
      <c r="F183" t="s">
        <v>27</v>
      </c>
      <c r="G183" t="s">
        <v>29</v>
      </c>
      <c r="H183" t="s">
        <v>21</v>
      </c>
      <c r="I183" s="3">
        <v>12096</v>
      </c>
      <c r="J183" t="b">
        <v>0</v>
      </c>
      <c r="K183" t="b">
        <v>0</v>
      </c>
      <c r="L183" t="b">
        <v>1</v>
      </c>
    </row>
    <row r="184" spans="1:12" x14ac:dyDescent="0.3">
      <c r="A184">
        <v>58</v>
      </c>
      <c r="B184" t="s">
        <v>18</v>
      </c>
      <c r="C184" s="1">
        <v>6</v>
      </c>
      <c r="D184" t="s">
        <v>28</v>
      </c>
      <c r="E184" t="s">
        <v>14</v>
      </c>
      <c r="F184" t="s">
        <v>22</v>
      </c>
      <c r="G184" t="s">
        <v>23</v>
      </c>
      <c r="H184" t="s">
        <v>17</v>
      </c>
      <c r="I184" s="3">
        <v>12208</v>
      </c>
      <c r="J184" t="b">
        <v>0</v>
      </c>
      <c r="K184" t="b">
        <v>0</v>
      </c>
      <c r="L184" t="b">
        <v>1</v>
      </c>
    </row>
    <row r="185" spans="1:12" x14ac:dyDescent="0.3">
      <c r="A185">
        <v>20</v>
      </c>
      <c r="B185" t="s">
        <v>25</v>
      </c>
      <c r="C185" s="1">
        <v>3</v>
      </c>
      <c r="D185" t="s">
        <v>13</v>
      </c>
      <c r="E185" t="s">
        <v>26</v>
      </c>
      <c r="F185" t="s">
        <v>15</v>
      </c>
      <c r="G185" t="s">
        <v>23</v>
      </c>
      <c r="H185" t="s">
        <v>21</v>
      </c>
      <c r="I185" s="3">
        <v>15988</v>
      </c>
      <c r="J185" t="b">
        <v>1</v>
      </c>
      <c r="K185" t="b">
        <v>0</v>
      </c>
      <c r="L185" t="b">
        <v>1</v>
      </c>
    </row>
    <row r="186" spans="1:12" x14ac:dyDescent="0.3">
      <c r="A186">
        <v>56</v>
      </c>
      <c r="B186" t="s">
        <v>18</v>
      </c>
      <c r="C186" s="1">
        <v>2</v>
      </c>
      <c r="D186" t="s">
        <v>13</v>
      </c>
      <c r="E186" t="s">
        <v>14</v>
      </c>
      <c r="F186" t="s">
        <v>27</v>
      </c>
      <c r="G186" t="s">
        <v>16</v>
      </c>
      <c r="H186" t="s">
        <v>21</v>
      </c>
      <c r="I186" s="3">
        <v>10175</v>
      </c>
      <c r="J186" t="b">
        <v>0</v>
      </c>
      <c r="K186" t="b">
        <v>0</v>
      </c>
      <c r="L186" t="b">
        <v>1</v>
      </c>
    </row>
    <row r="187" spans="1:12" x14ac:dyDescent="0.3">
      <c r="A187">
        <v>23</v>
      </c>
      <c r="B187" t="s">
        <v>18</v>
      </c>
      <c r="C187" s="1">
        <v>4</v>
      </c>
      <c r="D187" t="s">
        <v>19</v>
      </c>
      <c r="E187" t="s">
        <v>20</v>
      </c>
      <c r="F187" t="s">
        <v>22</v>
      </c>
      <c r="G187" t="s">
        <v>29</v>
      </c>
      <c r="H187" t="s">
        <v>17</v>
      </c>
      <c r="I187" s="3">
        <v>17169</v>
      </c>
      <c r="J187" t="b">
        <v>1</v>
      </c>
      <c r="K187" t="b">
        <v>0</v>
      </c>
      <c r="L187" t="b">
        <v>0</v>
      </c>
    </row>
    <row r="188" spans="1:12" x14ac:dyDescent="0.3">
      <c r="A188">
        <v>25</v>
      </c>
      <c r="B188" t="s">
        <v>25</v>
      </c>
      <c r="C188" s="1">
        <v>5</v>
      </c>
      <c r="D188" t="s">
        <v>19</v>
      </c>
      <c r="E188" t="s">
        <v>14</v>
      </c>
      <c r="F188" t="s">
        <v>15</v>
      </c>
      <c r="G188" t="s">
        <v>16</v>
      </c>
      <c r="H188" t="s">
        <v>21</v>
      </c>
      <c r="I188" s="3">
        <v>16014</v>
      </c>
      <c r="J188" t="b">
        <v>1</v>
      </c>
      <c r="K188" t="b">
        <v>1</v>
      </c>
      <c r="L188" t="b">
        <v>1</v>
      </c>
    </row>
    <row r="189" spans="1:12" x14ac:dyDescent="0.3">
      <c r="A189">
        <v>44</v>
      </c>
      <c r="B189" t="s">
        <v>18</v>
      </c>
      <c r="C189" s="1">
        <v>4</v>
      </c>
      <c r="D189" t="s">
        <v>28</v>
      </c>
      <c r="E189" t="s">
        <v>14</v>
      </c>
      <c r="F189" t="s">
        <v>15</v>
      </c>
      <c r="G189" t="s">
        <v>16</v>
      </c>
      <c r="H189" t="s">
        <v>21</v>
      </c>
      <c r="I189" s="3">
        <v>11667</v>
      </c>
      <c r="J189" t="b">
        <v>1</v>
      </c>
      <c r="K189" t="b">
        <v>1</v>
      </c>
      <c r="L189" t="b">
        <v>1</v>
      </c>
    </row>
    <row r="190" spans="1:12" x14ac:dyDescent="0.3">
      <c r="A190">
        <v>26</v>
      </c>
      <c r="B190" t="s">
        <v>25</v>
      </c>
      <c r="C190" s="1">
        <v>3</v>
      </c>
      <c r="D190" t="s">
        <v>28</v>
      </c>
      <c r="E190" t="s">
        <v>14</v>
      </c>
      <c r="F190" t="s">
        <v>22</v>
      </c>
      <c r="G190" t="s">
        <v>29</v>
      </c>
      <c r="H190" t="s">
        <v>21</v>
      </c>
      <c r="I190" s="3">
        <v>18867</v>
      </c>
      <c r="J190" t="b">
        <v>1</v>
      </c>
      <c r="K190" t="b">
        <v>1</v>
      </c>
      <c r="L190" t="b">
        <v>0</v>
      </c>
    </row>
    <row r="191" spans="1:12" x14ac:dyDescent="0.3">
      <c r="A191">
        <v>54</v>
      </c>
      <c r="B191" t="s">
        <v>18</v>
      </c>
      <c r="C191" s="1">
        <v>8</v>
      </c>
      <c r="D191" t="s">
        <v>13</v>
      </c>
      <c r="E191" t="s">
        <v>20</v>
      </c>
      <c r="F191" t="s">
        <v>22</v>
      </c>
      <c r="G191" t="s">
        <v>29</v>
      </c>
      <c r="H191" t="s">
        <v>24</v>
      </c>
      <c r="I191" s="3">
        <v>11823</v>
      </c>
      <c r="J191" t="b">
        <v>0</v>
      </c>
      <c r="K191" t="b">
        <v>1</v>
      </c>
      <c r="L191" t="b">
        <v>1</v>
      </c>
    </row>
    <row r="192" spans="1:12" x14ac:dyDescent="0.3">
      <c r="A192">
        <v>50</v>
      </c>
      <c r="B192" t="s">
        <v>25</v>
      </c>
      <c r="C192" s="1">
        <v>4</v>
      </c>
      <c r="D192" t="s">
        <v>19</v>
      </c>
      <c r="E192" t="s">
        <v>14</v>
      </c>
      <c r="F192" t="s">
        <v>22</v>
      </c>
      <c r="G192" t="s">
        <v>29</v>
      </c>
      <c r="H192" t="s">
        <v>17</v>
      </c>
      <c r="I192" s="3">
        <v>15147</v>
      </c>
      <c r="J192" t="b">
        <v>0</v>
      </c>
      <c r="K192" t="b">
        <v>0</v>
      </c>
      <c r="L192" t="b">
        <v>0</v>
      </c>
    </row>
    <row r="193" spans="1:12" x14ac:dyDescent="0.3">
      <c r="A193">
        <v>59</v>
      </c>
      <c r="B193" t="s">
        <v>12</v>
      </c>
      <c r="C193" s="1">
        <v>2</v>
      </c>
      <c r="D193" t="s">
        <v>19</v>
      </c>
      <c r="E193" t="s">
        <v>20</v>
      </c>
      <c r="F193" t="s">
        <v>22</v>
      </c>
      <c r="G193" t="s">
        <v>23</v>
      </c>
      <c r="H193" t="s">
        <v>21</v>
      </c>
      <c r="I193" s="3">
        <v>11356</v>
      </c>
      <c r="J193" t="b">
        <v>0</v>
      </c>
      <c r="K193" t="b">
        <v>1</v>
      </c>
      <c r="L193" t="b">
        <v>1</v>
      </c>
    </row>
    <row r="194" spans="1:12" x14ac:dyDescent="0.3">
      <c r="A194">
        <v>61</v>
      </c>
      <c r="B194" t="s">
        <v>25</v>
      </c>
      <c r="C194" s="1">
        <v>2</v>
      </c>
      <c r="D194" t="s">
        <v>19</v>
      </c>
      <c r="E194" t="s">
        <v>26</v>
      </c>
      <c r="F194" t="s">
        <v>22</v>
      </c>
      <c r="G194" t="s">
        <v>29</v>
      </c>
      <c r="H194" t="s">
        <v>17</v>
      </c>
      <c r="I194" s="3">
        <v>13072</v>
      </c>
      <c r="J194" t="b">
        <v>1</v>
      </c>
      <c r="K194" t="b">
        <v>1</v>
      </c>
      <c r="L194" t="b">
        <v>0</v>
      </c>
    </row>
    <row r="195" spans="1:12" x14ac:dyDescent="0.3">
      <c r="A195">
        <v>41</v>
      </c>
      <c r="B195" t="s">
        <v>25</v>
      </c>
      <c r="C195" s="1">
        <v>1</v>
      </c>
      <c r="D195" t="s">
        <v>28</v>
      </c>
      <c r="E195" t="s">
        <v>14</v>
      </c>
      <c r="F195" t="s">
        <v>27</v>
      </c>
      <c r="G195" t="s">
        <v>29</v>
      </c>
      <c r="H195" t="s">
        <v>17</v>
      </c>
      <c r="I195" s="3">
        <v>13259</v>
      </c>
      <c r="J195" t="b">
        <v>0</v>
      </c>
      <c r="K195" t="b">
        <v>1</v>
      </c>
      <c r="L195" t="b">
        <v>1</v>
      </c>
    </row>
    <row r="196" spans="1:12" x14ac:dyDescent="0.3">
      <c r="A196">
        <v>32</v>
      </c>
      <c r="B196" t="s">
        <v>25</v>
      </c>
      <c r="C196" s="1">
        <v>4</v>
      </c>
      <c r="D196" t="s">
        <v>19</v>
      </c>
      <c r="E196" t="s">
        <v>20</v>
      </c>
      <c r="F196" t="s">
        <v>27</v>
      </c>
      <c r="G196" t="s">
        <v>29</v>
      </c>
      <c r="H196" t="s">
        <v>17</v>
      </c>
      <c r="I196" s="3">
        <v>16199</v>
      </c>
      <c r="J196" t="b">
        <v>0</v>
      </c>
      <c r="K196" t="b">
        <v>0</v>
      </c>
      <c r="L196" t="b">
        <v>0</v>
      </c>
    </row>
    <row r="197" spans="1:12" x14ac:dyDescent="0.3">
      <c r="A197">
        <v>49</v>
      </c>
      <c r="B197" t="s">
        <v>25</v>
      </c>
      <c r="C197" s="1">
        <v>9</v>
      </c>
      <c r="D197" t="s">
        <v>13</v>
      </c>
      <c r="E197" t="s">
        <v>20</v>
      </c>
      <c r="F197" t="s">
        <v>15</v>
      </c>
      <c r="G197" t="s">
        <v>16</v>
      </c>
      <c r="H197" t="s">
        <v>21</v>
      </c>
      <c r="I197" s="3">
        <v>10546</v>
      </c>
      <c r="J197" t="b">
        <v>0</v>
      </c>
      <c r="K197" t="b">
        <v>1</v>
      </c>
      <c r="L197" t="b">
        <v>0</v>
      </c>
    </row>
    <row r="198" spans="1:12" x14ac:dyDescent="0.3">
      <c r="A198">
        <v>49</v>
      </c>
      <c r="B198" t="s">
        <v>18</v>
      </c>
      <c r="C198" s="1">
        <v>7</v>
      </c>
      <c r="D198" t="s">
        <v>13</v>
      </c>
      <c r="E198" t="s">
        <v>14</v>
      </c>
      <c r="F198" t="s">
        <v>27</v>
      </c>
      <c r="G198" t="s">
        <v>16</v>
      </c>
      <c r="H198" t="s">
        <v>21</v>
      </c>
      <c r="I198" s="3">
        <v>15231</v>
      </c>
      <c r="J198" t="b">
        <v>0</v>
      </c>
      <c r="K198" t="b">
        <v>0</v>
      </c>
      <c r="L198" t="b">
        <v>1</v>
      </c>
    </row>
    <row r="199" spans="1:12" x14ac:dyDescent="0.3">
      <c r="A199">
        <v>41</v>
      </c>
      <c r="B199" t="s">
        <v>12</v>
      </c>
      <c r="C199" s="1">
        <v>7</v>
      </c>
      <c r="D199" t="s">
        <v>28</v>
      </c>
      <c r="E199" t="s">
        <v>26</v>
      </c>
      <c r="F199" t="s">
        <v>27</v>
      </c>
      <c r="G199" t="s">
        <v>23</v>
      </c>
      <c r="H199" t="s">
        <v>17</v>
      </c>
      <c r="I199" s="3">
        <v>17965</v>
      </c>
      <c r="J199" t="b">
        <v>1</v>
      </c>
      <c r="K199" t="b">
        <v>1</v>
      </c>
      <c r="L199" t="b">
        <v>1</v>
      </c>
    </row>
    <row r="200" spans="1:12" x14ac:dyDescent="0.3">
      <c r="A200">
        <v>58</v>
      </c>
      <c r="B200" t="s">
        <v>25</v>
      </c>
      <c r="C200" s="1">
        <v>7</v>
      </c>
      <c r="D200" t="s">
        <v>28</v>
      </c>
      <c r="E200" t="s">
        <v>20</v>
      </c>
      <c r="F200" t="s">
        <v>27</v>
      </c>
      <c r="G200" t="s">
        <v>16</v>
      </c>
      <c r="H200" t="s">
        <v>24</v>
      </c>
      <c r="I200" s="3">
        <v>12083</v>
      </c>
      <c r="J200" t="b">
        <v>1</v>
      </c>
      <c r="K200" t="b">
        <v>0</v>
      </c>
      <c r="L200" t="b">
        <v>1</v>
      </c>
    </row>
    <row r="201" spans="1:12" x14ac:dyDescent="0.3">
      <c r="A201">
        <v>29</v>
      </c>
      <c r="B201" t="s">
        <v>18</v>
      </c>
      <c r="C201" s="1">
        <v>8</v>
      </c>
      <c r="D201" t="s">
        <v>19</v>
      </c>
      <c r="E201" t="s">
        <v>14</v>
      </c>
      <c r="F201" t="s">
        <v>22</v>
      </c>
      <c r="G201" t="s">
        <v>23</v>
      </c>
      <c r="H201" t="s">
        <v>17</v>
      </c>
      <c r="I201" s="3">
        <v>12040</v>
      </c>
      <c r="J201" t="b">
        <v>0</v>
      </c>
      <c r="K201" t="b">
        <v>1</v>
      </c>
      <c r="L201" t="b">
        <v>0</v>
      </c>
    </row>
    <row r="202" spans="1:12" x14ac:dyDescent="0.3">
      <c r="A202">
        <v>56</v>
      </c>
      <c r="B202" t="s">
        <v>12</v>
      </c>
      <c r="C202" s="1">
        <v>1</v>
      </c>
      <c r="D202" t="s">
        <v>28</v>
      </c>
      <c r="E202" t="s">
        <v>26</v>
      </c>
      <c r="F202" t="s">
        <v>15</v>
      </c>
      <c r="G202" t="s">
        <v>16</v>
      </c>
      <c r="H202" t="s">
        <v>24</v>
      </c>
      <c r="I202" s="3">
        <v>14534</v>
      </c>
      <c r="J202" t="b">
        <v>1</v>
      </c>
      <c r="K202" t="b">
        <v>0</v>
      </c>
      <c r="L202" t="b">
        <v>0</v>
      </c>
    </row>
    <row r="203" spans="1:12" x14ac:dyDescent="0.3">
      <c r="A203">
        <v>19</v>
      </c>
      <c r="B203" t="s">
        <v>12</v>
      </c>
      <c r="C203" s="1">
        <v>8</v>
      </c>
      <c r="D203" t="s">
        <v>13</v>
      </c>
      <c r="E203" t="s">
        <v>20</v>
      </c>
      <c r="F203" t="s">
        <v>15</v>
      </c>
      <c r="G203" t="s">
        <v>29</v>
      </c>
      <c r="H203" t="s">
        <v>17</v>
      </c>
      <c r="I203" s="3">
        <v>11752</v>
      </c>
      <c r="J203" t="b">
        <v>0</v>
      </c>
      <c r="K203" t="b">
        <v>1</v>
      </c>
      <c r="L203" t="b">
        <v>0</v>
      </c>
    </row>
    <row r="204" spans="1:12" x14ac:dyDescent="0.3">
      <c r="A204">
        <v>20</v>
      </c>
      <c r="B204" t="s">
        <v>12</v>
      </c>
      <c r="C204" s="1">
        <v>4</v>
      </c>
      <c r="D204" t="s">
        <v>19</v>
      </c>
      <c r="E204" t="s">
        <v>20</v>
      </c>
      <c r="F204" t="s">
        <v>15</v>
      </c>
      <c r="G204" t="s">
        <v>16</v>
      </c>
      <c r="H204" t="s">
        <v>17</v>
      </c>
      <c r="I204" s="3">
        <v>19807</v>
      </c>
      <c r="J204" t="b">
        <v>0</v>
      </c>
      <c r="K204" t="b">
        <v>0</v>
      </c>
      <c r="L204" t="b">
        <v>1</v>
      </c>
    </row>
    <row r="205" spans="1:12" x14ac:dyDescent="0.3">
      <c r="A205">
        <v>54</v>
      </c>
      <c r="B205" t="s">
        <v>12</v>
      </c>
      <c r="C205" s="1">
        <v>4</v>
      </c>
      <c r="D205" t="s">
        <v>13</v>
      </c>
      <c r="E205" t="s">
        <v>26</v>
      </c>
      <c r="F205" t="s">
        <v>15</v>
      </c>
      <c r="G205" t="s">
        <v>23</v>
      </c>
      <c r="H205" t="s">
        <v>17</v>
      </c>
      <c r="I205" s="3">
        <v>11849</v>
      </c>
      <c r="J205" t="b">
        <v>0</v>
      </c>
      <c r="K205" t="b">
        <v>0</v>
      </c>
      <c r="L205" t="b">
        <v>1</v>
      </c>
    </row>
    <row r="206" spans="1:12" x14ac:dyDescent="0.3">
      <c r="A206">
        <v>34</v>
      </c>
      <c r="B206" t="s">
        <v>25</v>
      </c>
      <c r="C206" s="1">
        <v>4</v>
      </c>
      <c r="D206" t="s">
        <v>19</v>
      </c>
      <c r="E206" t="s">
        <v>26</v>
      </c>
      <c r="F206" t="s">
        <v>27</v>
      </c>
      <c r="G206" t="s">
        <v>16</v>
      </c>
      <c r="H206" t="s">
        <v>21</v>
      </c>
      <c r="I206" s="3">
        <v>12642</v>
      </c>
      <c r="J206" t="b">
        <v>1</v>
      </c>
      <c r="K206" t="b">
        <v>1</v>
      </c>
      <c r="L206" t="b">
        <v>0</v>
      </c>
    </row>
    <row r="207" spans="1:12" x14ac:dyDescent="0.3">
      <c r="A207">
        <v>19</v>
      </c>
      <c r="B207" t="s">
        <v>25</v>
      </c>
      <c r="C207" s="1">
        <v>6</v>
      </c>
      <c r="D207" t="s">
        <v>28</v>
      </c>
      <c r="E207" t="s">
        <v>14</v>
      </c>
      <c r="F207" t="s">
        <v>27</v>
      </c>
      <c r="G207" t="s">
        <v>29</v>
      </c>
      <c r="H207" t="s">
        <v>24</v>
      </c>
      <c r="I207" s="3">
        <v>11600</v>
      </c>
      <c r="J207" t="b">
        <v>0</v>
      </c>
      <c r="K207" t="b">
        <v>0</v>
      </c>
      <c r="L207" t="b">
        <v>1</v>
      </c>
    </row>
    <row r="208" spans="1:12" x14ac:dyDescent="0.3">
      <c r="A208">
        <v>19</v>
      </c>
      <c r="B208" t="s">
        <v>18</v>
      </c>
      <c r="C208" s="1">
        <v>7</v>
      </c>
      <c r="D208" t="s">
        <v>19</v>
      </c>
      <c r="E208" t="s">
        <v>14</v>
      </c>
      <c r="F208" t="s">
        <v>22</v>
      </c>
      <c r="G208" t="s">
        <v>23</v>
      </c>
      <c r="H208" t="s">
        <v>24</v>
      </c>
      <c r="I208" s="3">
        <v>14402</v>
      </c>
      <c r="J208" t="b">
        <v>1</v>
      </c>
      <c r="K208" t="b">
        <v>0</v>
      </c>
      <c r="L208" t="b">
        <v>0</v>
      </c>
    </row>
    <row r="209" spans="1:12" x14ac:dyDescent="0.3">
      <c r="A209">
        <v>45</v>
      </c>
      <c r="B209" t="s">
        <v>18</v>
      </c>
      <c r="C209" s="1">
        <v>6</v>
      </c>
      <c r="D209" t="s">
        <v>19</v>
      </c>
      <c r="E209" t="s">
        <v>20</v>
      </c>
      <c r="F209" t="s">
        <v>15</v>
      </c>
      <c r="G209" t="s">
        <v>29</v>
      </c>
      <c r="H209" t="s">
        <v>17</v>
      </c>
      <c r="I209" s="3">
        <v>13799</v>
      </c>
      <c r="J209" t="b">
        <v>1</v>
      </c>
      <c r="K209" t="b">
        <v>1</v>
      </c>
      <c r="L209" t="b">
        <v>1</v>
      </c>
    </row>
    <row r="210" spans="1:12" x14ac:dyDescent="0.3">
      <c r="A210">
        <v>40</v>
      </c>
      <c r="B210" t="s">
        <v>18</v>
      </c>
      <c r="C210" s="1">
        <v>1</v>
      </c>
      <c r="D210" t="s">
        <v>13</v>
      </c>
      <c r="E210" t="s">
        <v>26</v>
      </c>
      <c r="F210" t="s">
        <v>27</v>
      </c>
      <c r="G210" t="s">
        <v>29</v>
      </c>
      <c r="H210" t="s">
        <v>21</v>
      </c>
      <c r="I210" s="3">
        <v>10618</v>
      </c>
      <c r="J210" t="b">
        <v>0</v>
      </c>
      <c r="K210" t="b">
        <v>1</v>
      </c>
      <c r="L210" t="b">
        <v>1</v>
      </c>
    </row>
    <row r="211" spans="1:12" x14ac:dyDescent="0.3">
      <c r="A211">
        <v>54</v>
      </c>
      <c r="B211" t="s">
        <v>12</v>
      </c>
      <c r="C211" s="1">
        <v>8</v>
      </c>
      <c r="D211" t="s">
        <v>13</v>
      </c>
      <c r="E211" t="s">
        <v>26</v>
      </c>
      <c r="F211" t="s">
        <v>27</v>
      </c>
      <c r="G211" t="s">
        <v>23</v>
      </c>
      <c r="H211" t="s">
        <v>21</v>
      </c>
      <c r="I211" s="3">
        <v>11132</v>
      </c>
      <c r="J211" t="b">
        <v>1</v>
      </c>
      <c r="K211" t="b">
        <v>0</v>
      </c>
      <c r="L211" t="b">
        <v>0</v>
      </c>
    </row>
    <row r="212" spans="1:12" x14ac:dyDescent="0.3">
      <c r="A212">
        <v>49</v>
      </c>
      <c r="B212" t="s">
        <v>12</v>
      </c>
      <c r="C212" s="1">
        <v>7</v>
      </c>
      <c r="D212" t="s">
        <v>19</v>
      </c>
      <c r="E212" t="s">
        <v>26</v>
      </c>
      <c r="F212" t="s">
        <v>22</v>
      </c>
      <c r="G212" t="s">
        <v>29</v>
      </c>
      <c r="H212" t="s">
        <v>24</v>
      </c>
      <c r="I212" s="3">
        <v>15491</v>
      </c>
      <c r="J212" t="b">
        <v>1</v>
      </c>
      <c r="K212" t="b">
        <v>1</v>
      </c>
      <c r="L212" t="b">
        <v>1</v>
      </c>
    </row>
    <row r="213" spans="1:12" x14ac:dyDescent="0.3">
      <c r="A213">
        <v>50</v>
      </c>
      <c r="B213" t="s">
        <v>25</v>
      </c>
      <c r="C213" s="1">
        <v>6</v>
      </c>
      <c r="D213" t="s">
        <v>28</v>
      </c>
      <c r="E213" t="s">
        <v>20</v>
      </c>
      <c r="F213" t="s">
        <v>22</v>
      </c>
      <c r="G213" t="s">
        <v>29</v>
      </c>
      <c r="H213" t="s">
        <v>21</v>
      </c>
      <c r="I213" s="3">
        <v>15795</v>
      </c>
      <c r="J213" t="b">
        <v>0</v>
      </c>
      <c r="K213" t="b">
        <v>1</v>
      </c>
      <c r="L213" t="b">
        <v>1</v>
      </c>
    </row>
    <row r="214" spans="1:12" x14ac:dyDescent="0.3">
      <c r="A214">
        <v>18</v>
      </c>
      <c r="B214" t="s">
        <v>12</v>
      </c>
      <c r="C214" s="1">
        <v>6</v>
      </c>
      <c r="D214" t="s">
        <v>28</v>
      </c>
      <c r="E214" t="s">
        <v>26</v>
      </c>
      <c r="F214" t="s">
        <v>22</v>
      </c>
      <c r="G214" t="s">
        <v>16</v>
      </c>
      <c r="H214" t="s">
        <v>24</v>
      </c>
      <c r="I214" s="3">
        <v>17633</v>
      </c>
      <c r="J214" t="b">
        <v>1</v>
      </c>
      <c r="K214" t="b">
        <v>1</v>
      </c>
      <c r="L214" t="b">
        <v>1</v>
      </c>
    </row>
    <row r="215" spans="1:12" x14ac:dyDescent="0.3">
      <c r="A215">
        <v>36</v>
      </c>
      <c r="B215" t="s">
        <v>12</v>
      </c>
      <c r="C215" s="1">
        <v>5</v>
      </c>
      <c r="D215" t="s">
        <v>13</v>
      </c>
      <c r="E215" t="s">
        <v>26</v>
      </c>
      <c r="F215" t="s">
        <v>27</v>
      </c>
      <c r="G215" t="s">
        <v>29</v>
      </c>
      <c r="H215" t="s">
        <v>24</v>
      </c>
      <c r="I215" s="3">
        <v>11487</v>
      </c>
      <c r="J215" t="b">
        <v>1</v>
      </c>
      <c r="K215" t="b">
        <v>0</v>
      </c>
      <c r="L215" t="b">
        <v>1</v>
      </c>
    </row>
    <row r="216" spans="1:12" x14ac:dyDescent="0.3">
      <c r="A216">
        <v>19</v>
      </c>
      <c r="B216" t="s">
        <v>12</v>
      </c>
      <c r="C216" s="1">
        <v>6</v>
      </c>
      <c r="D216" t="s">
        <v>28</v>
      </c>
      <c r="E216" t="s">
        <v>20</v>
      </c>
      <c r="F216" t="s">
        <v>27</v>
      </c>
      <c r="G216" t="s">
        <v>29</v>
      </c>
      <c r="H216" t="s">
        <v>24</v>
      </c>
      <c r="I216" s="3">
        <v>17848</v>
      </c>
      <c r="J216" t="b">
        <v>0</v>
      </c>
      <c r="K216" t="b">
        <v>0</v>
      </c>
      <c r="L216" t="b">
        <v>1</v>
      </c>
    </row>
    <row r="217" spans="1:12" x14ac:dyDescent="0.3">
      <c r="A217">
        <v>61</v>
      </c>
      <c r="B217" t="s">
        <v>18</v>
      </c>
      <c r="C217" s="1">
        <v>9</v>
      </c>
      <c r="D217" t="s">
        <v>13</v>
      </c>
      <c r="E217" t="s">
        <v>14</v>
      </c>
      <c r="F217" t="s">
        <v>22</v>
      </c>
      <c r="G217" t="s">
        <v>29</v>
      </c>
      <c r="H217" t="s">
        <v>21</v>
      </c>
      <c r="I217" s="3">
        <v>15009</v>
      </c>
      <c r="J217" t="b">
        <v>0</v>
      </c>
      <c r="K217" t="b">
        <v>0</v>
      </c>
      <c r="L217" t="b">
        <v>0</v>
      </c>
    </row>
    <row r="218" spans="1:12" x14ac:dyDescent="0.3">
      <c r="A218">
        <v>43</v>
      </c>
      <c r="B218" t="s">
        <v>18</v>
      </c>
      <c r="C218" s="1">
        <v>9</v>
      </c>
      <c r="D218" t="s">
        <v>28</v>
      </c>
      <c r="E218" t="s">
        <v>14</v>
      </c>
      <c r="F218" t="s">
        <v>15</v>
      </c>
      <c r="G218" t="s">
        <v>29</v>
      </c>
      <c r="H218" t="s">
        <v>24</v>
      </c>
      <c r="I218" s="3">
        <v>19749</v>
      </c>
      <c r="J218" t="b">
        <v>1</v>
      </c>
      <c r="K218" t="b">
        <v>0</v>
      </c>
      <c r="L218" t="b">
        <v>1</v>
      </c>
    </row>
    <row r="219" spans="1:12" x14ac:dyDescent="0.3">
      <c r="A219">
        <v>49</v>
      </c>
      <c r="B219" t="s">
        <v>25</v>
      </c>
      <c r="C219" s="1">
        <v>8</v>
      </c>
      <c r="D219" t="s">
        <v>19</v>
      </c>
      <c r="E219" t="s">
        <v>20</v>
      </c>
      <c r="F219" t="s">
        <v>22</v>
      </c>
      <c r="G219" t="s">
        <v>23</v>
      </c>
      <c r="H219" t="s">
        <v>24</v>
      </c>
      <c r="I219" s="3">
        <v>12113</v>
      </c>
      <c r="J219" t="b">
        <v>0</v>
      </c>
      <c r="K219" t="b">
        <v>0</v>
      </c>
      <c r="L219" t="b">
        <v>0</v>
      </c>
    </row>
    <row r="220" spans="1:12" x14ac:dyDescent="0.3">
      <c r="A220">
        <v>23</v>
      </c>
      <c r="B220" t="s">
        <v>12</v>
      </c>
      <c r="C220" s="1">
        <v>9</v>
      </c>
      <c r="D220" t="s">
        <v>13</v>
      </c>
      <c r="E220" t="s">
        <v>26</v>
      </c>
      <c r="F220" t="s">
        <v>22</v>
      </c>
      <c r="G220" t="s">
        <v>16</v>
      </c>
      <c r="H220" t="s">
        <v>17</v>
      </c>
      <c r="I220" s="3">
        <v>11044</v>
      </c>
      <c r="J220" t="b">
        <v>0</v>
      </c>
      <c r="K220" t="b">
        <v>0</v>
      </c>
      <c r="L220" t="b">
        <v>1</v>
      </c>
    </row>
    <row r="221" spans="1:12" x14ac:dyDescent="0.3">
      <c r="A221">
        <v>49</v>
      </c>
      <c r="B221" t="s">
        <v>12</v>
      </c>
      <c r="C221" s="1">
        <v>8</v>
      </c>
      <c r="D221" t="s">
        <v>13</v>
      </c>
      <c r="E221" t="s">
        <v>20</v>
      </c>
      <c r="F221" t="s">
        <v>22</v>
      </c>
      <c r="G221" t="s">
        <v>29</v>
      </c>
      <c r="H221" t="s">
        <v>24</v>
      </c>
      <c r="I221" s="3">
        <v>12431</v>
      </c>
      <c r="J221" t="b">
        <v>1</v>
      </c>
      <c r="K221" t="b">
        <v>0</v>
      </c>
      <c r="L221" t="b">
        <v>1</v>
      </c>
    </row>
    <row r="222" spans="1:12" x14ac:dyDescent="0.3">
      <c r="A222">
        <v>21</v>
      </c>
      <c r="B222" t="s">
        <v>25</v>
      </c>
      <c r="C222" s="1">
        <v>8</v>
      </c>
      <c r="D222" t="s">
        <v>19</v>
      </c>
      <c r="E222" t="s">
        <v>14</v>
      </c>
      <c r="F222" t="s">
        <v>22</v>
      </c>
      <c r="G222" t="s">
        <v>29</v>
      </c>
      <c r="H222" t="s">
        <v>24</v>
      </c>
      <c r="I222" s="3">
        <v>17979</v>
      </c>
      <c r="J222" t="b">
        <v>1</v>
      </c>
      <c r="K222" t="b">
        <v>1</v>
      </c>
      <c r="L222" t="b">
        <v>0</v>
      </c>
    </row>
    <row r="223" spans="1:12" x14ac:dyDescent="0.3">
      <c r="A223">
        <v>28</v>
      </c>
      <c r="B223" t="s">
        <v>12</v>
      </c>
      <c r="C223" s="1">
        <v>1</v>
      </c>
      <c r="D223" t="s">
        <v>13</v>
      </c>
      <c r="E223" t="s">
        <v>14</v>
      </c>
      <c r="F223" t="s">
        <v>27</v>
      </c>
      <c r="G223" t="s">
        <v>23</v>
      </c>
      <c r="H223" t="s">
        <v>17</v>
      </c>
      <c r="I223" s="3">
        <v>11582</v>
      </c>
      <c r="J223" t="b">
        <v>0</v>
      </c>
      <c r="K223" t="b">
        <v>0</v>
      </c>
      <c r="L223" t="b">
        <v>0</v>
      </c>
    </row>
    <row r="224" spans="1:12" x14ac:dyDescent="0.3">
      <c r="A224">
        <v>34</v>
      </c>
      <c r="B224" t="s">
        <v>12</v>
      </c>
      <c r="C224" s="1">
        <v>5</v>
      </c>
      <c r="D224" t="s">
        <v>28</v>
      </c>
      <c r="E224" t="s">
        <v>20</v>
      </c>
      <c r="F224" t="s">
        <v>15</v>
      </c>
      <c r="G224" t="s">
        <v>29</v>
      </c>
      <c r="H224" t="s">
        <v>17</v>
      </c>
      <c r="I224" s="3">
        <v>11308</v>
      </c>
      <c r="J224" t="b">
        <v>1</v>
      </c>
      <c r="K224" t="b">
        <v>0</v>
      </c>
      <c r="L224" t="b">
        <v>1</v>
      </c>
    </row>
    <row r="225" spans="1:12" x14ac:dyDescent="0.3">
      <c r="A225">
        <v>55</v>
      </c>
      <c r="B225" t="s">
        <v>18</v>
      </c>
      <c r="C225" s="1">
        <v>4</v>
      </c>
      <c r="D225" t="s">
        <v>28</v>
      </c>
      <c r="E225" t="s">
        <v>20</v>
      </c>
      <c r="F225" t="s">
        <v>22</v>
      </c>
      <c r="G225" t="s">
        <v>23</v>
      </c>
      <c r="H225" t="s">
        <v>21</v>
      </c>
      <c r="I225" s="3">
        <v>14917</v>
      </c>
      <c r="J225" t="b">
        <v>0</v>
      </c>
      <c r="K225" t="b">
        <v>1</v>
      </c>
      <c r="L225" t="b">
        <v>1</v>
      </c>
    </row>
    <row r="226" spans="1:12" x14ac:dyDescent="0.3">
      <c r="A226">
        <v>41</v>
      </c>
      <c r="B226" t="s">
        <v>25</v>
      </c>
      <c r="C226" s="1">
        <v>2</v>
      </c>
      <c r="D226" t="s">
        <v>13</v>
      </c>
      <c r="E226" t="s">
        <v>14</v>
      </c>
      <c r="F226" t="s">
        <v>15</v>
      </c>
      <c r="G226" t="s">
        <v>16</v>
      </c>
      <c r="H226" t="s">
        <v>24</v>
      </c>
      <c r="I226" s="3">
        <v>18793</v>
      </c>
      <c r="J226" t="b">
        <v>0</v>
      </c>
      <c r="K226" t="b">
        <v>1</v>
      </c>
      <c r="L226" t="b">
        <v>0</v>
      </c>
    </row>
    <row r="227" spans="1:12" x14ac:dyDescent="0.3">
      <c r="A227">
        <v>22</v>
      </c>
      <c r="B227" t="s">
        <v>25</v>
      </c>
      <c r="C227" s="1">
        <v>8</v>
      </c>
      <c r="D227" t="s">
        <v>28</v>
      </c>
      <c r="E227" t="s">
        <v>20</v>
      </c>
      <c r="F227" t="s">
        <v>15</v>
      </c>
      <c r="G227" t="s">
        <v>16</v>
      </c>
      <c r="H227" t="s">
        <v>21</v>
      </c>
      <c r="I227" s="3">
        <v>11620</v>
      </c>
      <c r="J227" t="b">
        <v>1</v>
      </c>
      <c r="K227" t="b">
        <v>1</v>
      </c>
      <c r="L227" t="b">
        <v>0</v>
      </c>
    </row>
    <row r="228" spans="1:12" x14ac:dyDescent="0.3">
      <c r="A228">
        <v>51</v>
      </c>
      <c r="B228" t="s">
        <v>25</v>
      </c>
      <c r="C228" s="1">
        <v>3</v>
      </c>
      <c r="D228" t="s">
        <v>13</v>
      </c>
      <c r="E228" t="s">
        <v>14</v>
      </c>
      <c r="F228" t="s">
        <v>15</v>
      </c>
      <c r="G228" t="s">
        <v>29</v>
      </c>
      <c r="H228" t="s">
        <v>21</v>
      </c>
      <c r="I228" s="3">
        <v>17503</v>
      </c>
      <c r="J228" t="b">
        <v>1</v>
      </c>
      <c r="K228" t="b">
        <v>0</v>
      </c>
      <c r="L228" t="b">
        <v>0</v>
      </c>
    </row>
    <row r="229" spans="1:12" x14ac:dyDescent="0.3">
      <c r="A229">
        <v>23</v>
      </c>
      <c r="B229" t="s">
        <v>25</v>
      </c>
      <c r="C229" s="1">
        <v>4</v>
      </c>
      <c r="D229" t="s">
        <v>19</v>
      </c>
      <c r="E229" t="s">
        <v>20</v>
      </c>
      <c r="F229" t="s">
        <v>22</v>
      </c>
      <c r="G229" t="s">
        <v>29</v>
      </c>
      <c r="H229" t="s">
        <v>17</v>
      </c>
      <c r="I229" s="3">
        <v>14766</v>
      </c>
      <c r="J229" t="b">
        <v>0</v>
      </c>
      <c r="K229" t="b">
        <v>1</v>
      </c>
      <c r="L229" t="b">
        <v>0</v>
      </c>
    </row>
    <row r="230" spans="1:12" x14ac:dyDescent="0.3">
      <c r="A230">
        <v>39</v>
      </c>
      <c r="B230" t="s">
        <v>18</v>
      </c>
      <c r="C230" s="1">
        <v>7</v>
      </c>
      <c r="D230" t="s">
        <v>13</v>
      </c>
      <c r="E230" t="s">
        <v>20</v>
      </c>
      <c r="F230" t="s">
        <v>27</v>
      </c>
      <c r="G230" t="s">
        <v>29</v>
      </c>
      <c r="H230" t="s">
        <v>21</v>
      </c>
      <c r="I230" s="3">
        <v>15362</v>
      </c>
      <c r="J230" t="b">
        <v>0</v>
      </c>
      <c r="K230" t="b">
        <v>0</v>
      </c>
      <c r="L230" t="b">
        <v>1</v>
      </c>
    </row>
    <row r="231" spans="1:12" x14ac:dyDescent="0.3">
      <c r="A231">
        <v>28</v>
      </c>
      <c r="B231" t="s">
        <v>18</v>
      </c>
      <c r="C231" s="1">
        <v>9</v>
      </c>
      <c r="D231" t="s">
        <v>19</v>
      </c>
      <c r="E231" t="s">
        <v>20</v>
      </c>
      <c r="F231" t="s">
        <v>22</v>
      </c>
      <c r="G231" t="s">
        <v>23</v>
      </c>
      <c r="H231" t="s">
        <v>24</v>
      </c>
      <c r="I231" s="3">
        <v>15192</v>
      </c>
      <c r="J231" t="b">
        <v>0</v>
      </c>
      <c r="K231" t="b">
        <v>0</v>
      </c>
      <c r="L231" t="b">
        <v>1</v>
      </c>
    </row>
    <row r="232" spans="1:12" x14ac:dyDescent="0.3">
      <c r="A232">
        <v>33</v>
      </c>
      <c r="B232" t="s">
        <v>12</v>
      </c>
      <c r="C232" s="1">
        <v>2</v>
      </c>
      <c r="D232" t="s">
        <v>28</v>
      </c>
      <c r="E232" t="s">
        <v>14</v>
      </c>
      <c r="F232" t="s">
        <v>15</v>
      </c>
      <c r="G232" t="s">
        <v>29</v>
      </c>
      <c r="H232" t="s">
        <v>17</v>
      </c>
      <c r="I232" s="3">
        <v>16622</v>
      </c>
      <c r="J232" t="b">
        <v>0</v>
      </c>
      <c r="K232" t="b">
        <v>0</v>
      </c>
      <c r="L232" t="b">
        <v>1</v>
      </c>
    </row>
    <row r="233" spans="1:12" x14ac:dyDescent="0.3">
      <c r="A233">
        <v>50</v>
      </c>
      <c r="B233" t="s">
        <v>12</v>
      </c>
      <c r="C233" s="1">
        <v>3</v>
      </c>
      <c r="D233" t="s">
        <v>19</v>
      </c>
      <c r="E233" t="s">
        <v>20</v>
      </c>
      <c r="F233" t="s">
        <v>15</v>
      </c>
      <c r="G233" t="s">
        <v>29</v>
      </c>
      <c r="H233" t="s">
        <v>24</v>
      </c>
      <c r="I233" s="3">
        <v>16093</v>
      </c>
      <c r="J233" t="b">
        <v>1</v>
      </c>
      <c r="K233" t="b">
        <v>1</v>
      </c>
      <c r="L233" t="b">
        <v>1</v>
      </c>
    </row>
    <row r="234" spans="1:12" x14ac:dyDescent="0.3">
      <c r="A234">
        <v>26</v>
      </c>
      <c r="B234" t="s">
        <v>12</v>
      </c>
      <c r="C234" s="1">
        <v>4</v>
      </c>
      <c r="D234" t="s">
        <v>28</v>
      </c>
      <c r="E234" t="s">
        <v>14</v>
      </c>
      <c r="F234" t="s">
        <v>27</v>
      </c>
      <c r="G234" t="s">
        <v>16</v>
      </c>
      <c r="H234" t="s">
        <v>24</v>
      </c>
      <c r="I234" s="3">
        <v>16704</v>
      </c>
      <c r="J234" t="b">
        <v>0</v>
      </c>
      <c r="K234" t="b">
        <v>1</v>
      </c>
      <c r="L234" t="b">
        <v>1</v>
      </c>
    </row>
    <row r="235" spans="1:12" x14ac:dyDescent="0.3">
      <c r="A235">
        <v>23</v>
      </c>
      <c r="B235" t="s">
        <v>12</v>
      </c>
      <c r="C235" s="1">
        <v>1</v>
      </c>
      <c r="D235" t="s">
        <v>13</v>
      </c>
      <c r="E235" t="s">
        <v>14</v>
      </c>
      <c r="F235" t="s">
        <v>22</v>
      </c>
      <c r="G235" t="s">
        <v>29</v>
      </c>
      <c r="H235" t="s">
        <v>17</v>
      </c>
      <c r="I235" s="3">
        <v>10100</v>
      </c>
      <c r="J235" t="b">
        <v>1</v>
      </c>
      <c r="K235" t="b">
        <v>0</v>
      </c>
      <c r="L235" t="b">
        <v>0</v>
      </c>
    </row>
    <row r="236" spans="1:12" x14ac:dyDescent="0.3">
      <c r="A236">
        <v>33</v>
      </c>
      <c r="B236" t="s">
        <v>18</v>
      </c>
      <c r="C236" s="1">
        <v>7</v>
      </c>
      <c r="D236" t="s">
        <v>28</v>
      </c>
      <c r="E236" t="s">
        <v>20</v>
      </c>
      <c r="F236" t="s">
        <v>15</v>
      </c>
      <c r="G236" t="s">
        <v>16</v>
      </c>
      <c r="H236" t="s">
        <v>24</v>
      </c>
      <c r="I236" s="3">
        <v>16657</v>
      </c>
      <c r="J236" t="b">
        <v>1</v>
      </c>
      <c r="K236" t="b">
        <v>0</v>
      </c>
      <c r="L236" t="b">
        <v>0</v>
      </c>
    </row>
    <row r="237" spans="1:12" x14ac:dyDescent="0.3">
      <c r="A237">
        <v>46</v>
      </c>
      <c r="B237" t="s">
        <v>25</v>
      </c>
      <c r="C237" s="1">
        <v>2</v>
      </c>
      <c r="D237" t="s">
        <v>13</v>
      </c>
      <c r="E237" t="s">
        <v>20</v>
      </c>
      <c r="F237" t="s">
        <v>27</v>
      </c>
      <c r="G237" t="s">
        <v>29</v>
      </c>
      <c r="H237" t="s">
        <v>17</v>
      </c>
      <c r="I237" s="3">
        <v>15875</v>
      </c>
      <c r="J237" t="b">
        <v>0</v>
      </c>
      <c r="K237" t="b">
        <v>0</v>
      </c>
      <c r="L237" t="b">
        <v>0</v>
      </c>
    </row>
    <row r="238" spans="1:12" x14ac:dyDescent="0.3">
      <c r="A238">
        <v>20</v>
      </c>
      <c r="B238" t="s">
        <v>18</v>
      </c>
      <c r="C238" s="1">
        <v>5</v>
      </c>
      <c r="D238" t="s">
        <v>13</v>
      </c>
      <c r="E238" t="s">
        <v>14</v>
      </c>
      <c r="F238" t="s">
        <v>15</v>
      </c>
      <c r="G238" t="s">
        <v>16</v>
      </c>
      <c r="H238" t="s">
        <v>24</v>
      </c>
      <c r="I238" s="3">
        <v>14271</v>
      </c>
      <c r="J238" t="b">
        <v>1</v>
      </c>
      <c r="K238" t="b">
        <v>1</v>
      </c>
      <c r="L238" t="b">
        <v>1</v>
      </c>
    </row>
    <row r="239" spans="1:12" x14ac:dyDescent="0.3">
      <c r="A239">
        <v>37</v>
      </c>
      <c r="B239" t="s">
        <v>12</v>
      </c>
      <c r="C239" s="1">
        <v>1</v>
      </c>
      <c r="D239" t="s">
        <v>19</v>
      </c>
      <c r="E239" t="s">
        <v>14</v>
      </c>
      <c r="F239" t="s">
        <v>27</v>
      </c>
      <c r="G239" t="s">
        <v>29</v>
      </c>
      <c r="H239" t="s">
        <v>17</v>
      </c>
      <c r="I239" s="3">
        <v>10237</v>
      </c>
      <c r="J239" t="b">
        <v>1</v>
      </c>
      <c r="K239" t="b">
        <v>0</v>
      </c>
      <c r="L239" t="b">
        <v>0</v>
      </c>
    </row>
    <row r="240" spans="1:12" x14ac:dyDescent="0.3">
      <c r="A240">
        <v>53</v>
      </c>
      <c r="B240" t="s">
        <v>18</v>
      </c>
      <c r="C240" s="1">
        <v>3</v>
      </c>
      <c r="D240" t="s">
        <v>19</v>
      </c>
      <c r="E240" t="s">
        <v>26</v>
      </c>
      <c r="F240" t="s">
        <v>27</v>
      </c>
      <c r="G240" t="s">
        <v>16</v>
      </c>
      <c r="H240" t="s">
        <v>21</v>
      </c>
      <c r="I240" s="3">
        <v>17226</v>
      </c>
      <c r="J240" t="b">
        <v>0</v>
      </c>
      <c r="K240" t="b">
        <v>1</v>
      </c>
      <c r="L240" t="b">
        <v>1</v>
      </c>
    </row>
    <row r="241" spans="1:12" x14ac:dyDescent="0.3">
      <c r="A241">
        <v>36</v>
      </c>
      <c r="B241" t="s">
        <v>25</v>
      </c>
      <c r="C241" s="1">
        <v>2</v>
      </c>
      <c r="D241" t="s">
        <v>19</v>
      </c>
      <c r="E241" t="s">
        <v>14</v>
      </c>
      <c r="F241" t="s">
        <v>22</v>
      </c>
      <c r="G241" t="s">
        <v>23</v>
      </c>
      <c r="H241" t="s">
        <v>24</v>
      </c>
      <c r="I241" s="3">
        <v>18032</v>
      </c>
      <c r="J241" t="b">
        <v>1</v>
      </c>
      <c r="K241" t="b">
        <v>0</v>
      </c>
      <c r="L241" t="b">
        <v>1</v>
      </c>
    </row>
    <row r="242" spans="1:12" x14ac:dyDescent="0.3">
      <c r="A242">
        <v>43</v>
      </c>
      <c r="B242" t="s">
        <v>25</v>
      </c>
      <c r="C242" s="1">
        <v>1</v>
      </c>
      <c r="D242" t="s">
        <v>19</v>
      </c>
      <c r="E242" t="s">
        <v>26</v>
      </c>
      <c r="F242" t="s">
        <v>15</v>
      </c>
      <c r="G242" t="s">
        <v>16</v>
      </c>
      <c r="H242" t="s">
        <v>17</v>
      </c>
      <c r="I242" s="3">
        <v>15218</v>
      </c>
      <c r="J242" t="b">
        <v>1</v>
      </c>
      <c r="K242" t="b">
        <v>1</v>
      </c>
      <c r="L242" t="b">
        <v>1</v>
      </c>
    </row>
    <row r="243" spans="1:12" x14ac:dyDescent="0.3">
      <c r="A243">
        <v>20</v>
      </c>
      <c r="B243" t="s">
        <v>18</v>
      </c>
      <c r="C243" s="1">
        <v>7</v>
      </c>
      <c r="D243" t="s">
        <v>28</v>
      </c>
      <c r="E243" t="s">
        <v>26</v>
      </c>
      <c r="F243" t="s">
        <v>22</v>
      </c>
      <c r="G243" t="s">
        <v>16</v>
      </c>
      <c r="H243" t="s">
        <v>24</v>
      </c>
      <c r="I243" s="3">
        <v>14025</v>
      </c>
      <c r="J243" t="b">
        <v>0</v>
      </c>
      <c r="K243" t="b">
        <v>0</v>
      </c>
      <c r="L243" t="b">
        <v>0</v>
      </c>
    </row>
    <row r="244" spans="1:12" x14ac:dyDescent="0.3">
      <c r="A244">
        <v>36</v>
      </c>
      <c r="B244" t="s">
        <v>18</v>
      </c>
      <c r="C244" s="1">
        <v>5</v>
      </c>
      <c r="D244" t="s">
        <v>28</v>
      </c>
      <c r="E244" t="s">
        <v>26</v>
      </c>
      <c r="F244" t="s">
        <v>15</v>
      </c>
      <c r="G244" t="s">
        <v>16</v>
      </c>
      <c r="H244" t="s">
        <v>24</v>
      </c>
      <c r="I244" s="3">
        <v>16073</v>
      </c>
      <c r="J244" t="b">
        <v>0</v>
      </c>
      <c r="K244" t="b">
        <v>1</v>
      </c>
      <c r="L244" t="b">
        <v>1</v>
      </c>
    </row>
    <row r="245" spans="1:12" x14ac:dyDescent="0.3">
      <c r="A245">
        <v>37</v>
      </c>
      <c r="B245" t="s">
        <v>18</v>
      </c>
      <c r="C245" s="1">
        <v>1</v>
      </c>
      <c r="D245" t="s">
        <v>28</v>
      </c>
      <c r="E245" t="s">
        <v>20</v>
      </c>
      <c r="F245" t="s">
        <v>22</v>
      </c>
      <c r="G245" t="s">
        <v>29</v>
      </c>
      <c r="H245" t="s">
        <v>24</v>
      </c>
      <c r="I245" s="3">
        <v>12542</v>
      </c>
      <c r="J245" t="b">
        <v>0</v>
      </c>
      <c r="K245" t="b">
        <v>1</v>
      </c>
      <c r="L245" t="b">
        <v>1</v>
      </c>
    </row>
    <row r="246" spans="1:12" x14ac:dyDescent="0.3">
      <c r="A246">
        <v>49</v>
      </c>
      <c r="B246" t="s">
        <v>12</v>
      </c>
      <c r="C246" s="1">
        <v>6</v>
      </c>
      <c r="D246" t="s">
        <v>13</v>
      </c>
      <c r="E246" t="s">
        <v>20</v>
      </c>
      <c r="F246" t="s">
        <v>15</v>
      </c>
      <c r="G246" t="s">
        <v>29</v>
      </c>
      <c r="H246" t="s">
        <v>17</v>
      </c>
      <c r="I246" s="3">
        <v>11537</v>
      </c>
      <c r="J246" t="b">
        <v>0</v>
      </c>
      <c r="K246" t="b">
        <v>1</v>
      </c>
      <c r="L246" t="b">
        <v>0</v>
      </c>
    </row>
    <row r="247" spans="1:12" x14ac:dyDescent="0.3">
      <c r="A247">
        <v>24</v>
      </c>
      <c r="B247" t="s">
        <v>18</v>
      </c>
      <c r="C247" s="1">
        <v>5</v>
      </c>
      <c r="D247" t="s">
        <v>28</v>
      </c>
      <c r="E247" t="s">
        <v>14</v>
      </c>
      <c r="F247" t="s">
        <v>22</v>
      </c>
      <c r="G247" t="s">
        <v>29</v>
      </c>
      <c r="H247" t="s">
        <v>21</v>
      </c>
      <c r="I247" s="3">
        <v>10754</v>
      </c>
      <c r="J247" t="b">
        <v>0</v>
      </c>
      <c r="K247" t="b">
        <v>1</v>
      </c>
      <c r="L247" t="b">
        <v>1</v>
      </c>
    </row>
    <row r="248" spans="1:12" x14ac:dyDescent="0.3">
      <c r="A248">
        <v>58</v>
      </c>
      <c r="B248" t="s">
        <v>18</v>
      </c>
      <c r="C248" s="1">
        <v>3</v>
      </c>
      <c r="D248" t="s">
        <v>28</v>
      </c>
      <c r="E248" t="s">
        <v>26</v>
      </c>
      <c r="F248" t="s">
        <v>27</v>
      </c>
      <c r="G248" t="s">
        <v>23</v>
      </c>
      <c r="H248" t="s">
        <v>21</v>
      </c>
      <c r="I248" s="3">
        <v>17396</v>
      </c>
      <c r="J248" t="b">
        <v>0</v>
      </c>
      <c r="K248" t="b">
        <v>1</v>
      </c>
      <c r="L248" t="b">
        <v>0</v>
      </c>
    </row>
    <row r="249" spans="1:12" x14ac:dyDescent="0.3">
      <c r="A249">
        <v>50</v>
      </c>
      <c r="B249" t="s">
        <v>18</v>
      </c>
      <c r="C249" s="1">
        <v>7</v>
      </c>
      <c r="D249" t="s">
        <v>28</v>
      </c>
      <c r="E249" t="s">
        <v>20</v>
      </c>
      <c r="F249" t="s">
        <v>15</v>
      </c>
      <c r="G249" t="s">
        <v>23</v>
      </c>
      <c r="H249" t="s">
        <v>21</v>
      </c>
      <c r="I249" s="3">
        <v>17823</v>
      </c>
      <c r="J249" t="b">
        <v>0</v>
      </c>
      <c r="K249" t="b">
        <v>1</v>
      </c>
      <c r="L249" t="b">
        <v>1</v>
      </c>
    </row>
    <row r="250" spans="1:12" x14ac:dyDescent="0.3">
      <c r="A250">
        <v>57</v>
      </c>
      <c r="B250" t="s">
        <v>25</v>
      </c>
      <c r="C250" s="1">
        <v>9</v>
      </c>
      <c r="D250" t="s">
        <v>19</v>
      </c>
      <c r="E250" t="s">
        <v>20</v>
      </c>
      <c r="F250" t="s">
        <v>15</v>
      </c>
      <c r="G250" t="s">
        <v>16</v>
      </c>
      <c r="H250" t="s">
        <v>17</v>
      </c>
      <c r="I250" s="3">
        <v>15507</v>
      </c>
      <c r="J250" t="b">
        <v>1</v>
      </c>
      <c r="K250" t="b">
        <v>0</v>
      </c>
      <c r="L250" t="b">
        <v>0</v>
      </c>
    </row>
    <row r="251" spans="1:12" x14ac:dyDescent="0.3">
      <c r="A251">
        <v>56</v>
      </c>
      <c r="B251" t="s">
        <v>25</v>
      </c>
      <c r="C251" s="1">
        <v>9</v>
      </c>
      <c r="D251" t="s">
        <v>28</v>
      </c>
      <c r="E251" t="s">
        <v>20</v>
      </c>
      <c r="F251" t="s">
        <v>27</v>
      </c>
      <c r="G251" t="s">
        <v>23</v>
      </c>
      <c r="H251" t="s">
        <v>21</v>
      </c>
      <c r="I251" s="3">
        <v>14235</v>
      </c>
      <c r="J251" t="b">
        <v>1</v>
      </c>
      <c r="K251" t="b">
        <v>0</v>
      </c>
      <c r="L251" t="b">
        <v>1</v>
      </c>
    </row>
    <row r="252" spans="1:12" x14ac:dyDescent="0.3">
      <c r="A252">
        <v>35</v>
      </c>
      <c r="B252" t="s">
        <v>12</v>
      </c>
      <c r="C252" s="1">
        <v>9</v>
      </c>
      <c r="D252" t="s">
        <v>13</v>
      </c>
      <c r="E252" t="s">
        <v>20</v>
      </c>
      <c r="F252" t="s">
        <v>22</v>
      </c>
      <c r="G252" t="s">
        <v>16</v>
      </c>
      <c r="H252" t="s">
        <v>17</v>
      </c>
      <c r="I252" s="3">
        <v>10540</v>
      </c>
      <c r="J252" t="b">
        <v>0</v>
      </c>
      <c r="K252" t="b">
        <v>0</v>
      </c>
      <c r="L252" t="b">
        <v>1</v>
      </c>
    </row>
    <row r="253" spans="1:12" x14ac:dyDescent="0.3">
      <c r="A253">
        <v>57</v>
      </c>
      <c r="B253" t="s">
        <v>12</v>
      </c>
      <c r="C253" s="1">
        <v>2</v>
      </c>
      <c r="D253" t="s">
        <v>19</v>
      </c>
      <c r="E253" t="s">
        <v>20</v>
      </c>
      <c r="F253" t="s">
        <v>15</v>
      </c>
      <c r="G253" t="s">
        <v>16</v>
      </c>
      <c r="H253" t="s">
        <v>24</v>
      </c>
      <c r="I253" s="3">
        <v>15510</v>
      </c>
      <c r="J253" t="b">
        <v>1</v>
      </c>
      <c r="K253" t="b">
        <v>0</v>
      </c>
      <c r="L253" t="b">
        <v>0</v>
      </c>
    </row>
    <row r="254" spans="1:12" x14ac:dyDescent="0.3">
      <c r="A254">
        <v>18</v>
      </c>
      <c r="B254" t="s">
        <v>25</v>
      </c>
      <c r="C254" s="1">
        <v>3</v>
      </c>
      <c r="D254" t="s">
        <v>13</v>
      </c>
      <c r="E254" t="s">
        <v>26</v>
      </c>
      <c r="F254" t="s">
        <v>15</v>
      </c>
      <c r="G254" t="s">
        <v>16</v>
      </c>
      <c r="H254" t="s">
        <v>24</v>
      </c>
      <c r="I254" s="3">
        <v>18461</v>
      </c>
      <c r="J254" t="b">
        <v>1</v>
      </c>
      <c r="K254" t="b">
        <v>1</v>
      </c>
      <c r="L254" t="b">
        <v>1</v>
      </c>
    </row>
    <row r="255" spans="1:12" x14ac:dyDescent="0.3">
      <c r="A255">
        <v>28</v>
      </c>
      <c r="B255" t="s">
        <v>25</v>
      </c>
      <c r="C255" s="1">
        <v>7</v>
      </c>
      <c r="D255" t="s">
        <v>28</v>
      </c>
      <c r="E255" t="s">
        <v>26</v>
      </c>
      <c r="F255" t="s">
        <v>22</v>
      </c>
      <c r="G255" t="s">
        <v>23</v>
      </c>
      <c r="H255" t="s">
        <v>21</v>
      </c>
      <c r="I255" s="3">
        <v>17926</v>
      </c>
      <c r="J255" t="b">
        <v>0</v>
      </c>
      <c r="K255" t="b">
        <v>0</v>
      </c>
      <c r="L255" t="b">
        <v>0</v>
      </c>
    </row>
    <row r="256" spans="1:12" x14ac:dyDescent="0.3">
      <c r="A256">
        <v>45</v>
      </c>
      <c r="B256" t="s">
        <v>25</v>
      </c>
      <c r="C256" s="1">
        <v>5</v>
      </c>
      <c r="D256" t="s">
        <v>19</v>
      </c>
      <c r="E256" t="s">
        <v>26</v>
      </c>
      <c r="F256" t="s">
        <v>27</v>
      </c>
      <c r="G256" t="s">
        <v>29</v>
      </c>
      <c r="H256" t="s">
        <v>17</v>
      </c>
      <c r="I256" s="3">
        <v>15131</v>
      </c>
      <c r="J256" t="b">
        <v>1</v>
      </c>
      <c r="K256" t="b">
        <v>1</v>
      </c>
      <c r="L256" t="b">
        <v>1</v>
      </c>
    </row>
    <row r="257" spans="1:12" x14ac:dyDescent="0.3">
      <c r="A257">
        <v>42</v>
      </c>
      <c r="B257" t="s">
        <v>18</v>
      </c>
      <c r="C257" s="1">
        <v>2</v>
      </c>
      <c r="D257" t="s">
        <v>13</v>
      </c>
      <c r="E257" t="s">
        <v>26</v>
      </c>
      <c r="F257" t="s">
        <v>22</v>
      </c>
      <c r="G257" t="s">
        <v>23</v>
      </c>
      <c r="H257" t="s">
        <v>24</v>
      </c>
      <c r="I257" s="3">
        <v>18697</v>
      </c>
      <c r="J257" t="b">
        <v>0</v>
      </c>
      <c r="K257" t="b">
        <v>1</v>
      </c>
      <c r="L257" t="b">
        <v>0</v>
      </c>
    </row>
    <row r="258" spans="1:12" x14ac:dyDescent="0.3">
      <c r="A258">
        <v>40</v>
      </c>
      <c r="B258" t="s">
        <v>18</v>
      </c>
      <c r="C258" s="1">
        <v>3</v>
      </c>
      <c r="D258" t="s">
        <v>28</v>
      </c>
      <c r="E258" t="s">
        <v>14</v>
      </c>
      <c r="F258" t="s">
        <v>22</v>
      </c>
      <c r="G258" t="s">
        <v>16</v>
      </c>
      <c r="H258" t="s">
        <v>17</v>
      </c>
      <c r="I258" s="3">
        <v>11129</v>
      </c>
      <c r="J258" t="b">
        <v>1</v>
      </c>
      <c r="K258" t="b">
        <v>1</v>
      </c>
      <c r="L258" t="b">
        <v>1</v>
      </c>
    </row>
    <row r="259" spans="1:12" x14ac:dyDescent="0.3">
      <c r="A259">
        <v>48</v>
      </c>
      <c r="B259" t="s">
        <v>25</v>
      </c>
      <c r="C259" s="1">
        <v>6</v>
      </c>
      <c r="D259" t="s">
        <v>13</v>
      </c>
      <c r="E259" t="s">
        <v>26</v>
      </c>
      <c r="F259" t="s">
        <v>22</v>
      </c>
      <c r="G259" t="s">
        <v>16</v>
      </c>
      <c r="H259" t="s">
        <v>17</v>
      </c>
      <c r="I259" s="3">
        <v>13145</v>
      </c>
      <c r="J259" t="b">
        <v>0</v>
      </c>
      <c r="K259" t="b">
        <v>0</v>
      </c>
      <c r="L259" t="b">
        <v>1</v>
      </c>
    </row>
    <row r="260" spans="1:12" x14ac:dyDescent="0.3">
      <c r="A260">
        <v>47</v>
      </c>
      <c r="B260" t="s">
        <v>18</v>
      </c>
      <c r="C260" s="1">
        <v>7</v>
      </c>
      <c r="D260" t="s">
        <v>13</v>
      </c>
      <c r="E260" t="s">
        <v>20</v>
      </c>
      <c r="F260" t="s">
        <v>15</v>
      </c>
      <c r="G260" t="s">
        <v>23</v>
      </c>
      <c r="H260" t="s">
        <v>24</v>
      </c>
      <c r="I260" s="3">
        <v>18553</v>
      </c>
      <c r="J260" t="b">
        <v>1</v>
      </c>
      <c r="K260" t="b">
        <v>1</v>
      </c>
      <c r="L260" t="b">
        <v>1</v>
      </c>
    </row>
    <row r="261" spans="1:12" x14ac:dyDescent="0.3">
      <c r="A261">
        <v>59</v>
      </c>
      <c r="B261" t="s">
        <v>18</v>
      </c>
      <c r="C261" s="1">
        <v>9</v>
      </c>
      <c r="D261" t="s">
        <v>13</v>
      </c>
      <c r="E261" t="s">
        <v>26</v>
      </c>
      <c r="F261" t="s">
        <v>27</v>
      </c>
      <c r="G261" t="s">
        <v>16</v>
      </c>
      <c r="H261" t="s">
        <v>17</v>
      </c>
      <c r="I261" s="3">
        <v>13720</v>
      </c>
      <c r="J261" t="b">
        <v>1</v>
      </c>
      <c r="K261" t="b">
        <v>0</v>
      </c>
      <c r="L261" t="b">
        <v>0</v>
      </c>
    </row>
    <row r="262" spans="1:12" x14ac:dyDescent="0.3">
      <c r="A262">
        <v>52</v>
      </c>
      <c r="B262" t="s">
        <v>12</v>
      </c>
      <c r="C262" s="1">
        <v>1</v>
      </c>
      <c r="D262" t="s">
        <v>28</v>
      </c>
      <c r="E262" t="s">
        <v>14</v>
      </c>
      <c r="F262" t="s">
        <v>27</v>
      </c>
      <c r="G262" t="s">
        <v>16</v>
      </c>
      <c r="H262" t="s">
        <v>24</v>
      </c>
      <c r="I262" s="3">
        <v>19648</v>
      </c>
      <c r="J262" t="b">
        <v>1</v>
      </c>
      <c r="K262" t="b">
        <v>0</v>
      </c>
      <c r="L262" t="b">
        <v>0</v>
      </c>
    </row>
    <row r="263" spans="1:12" x14ac:dyDescent="0.3">
      <c r="A263">
        <v>24</v>
      </c>
      <c r="B263" t="s">
        <v>25</v>
      </c>
      <c r="C263" s="1">
        <v>7</v>
      </c>
      <c r="D263" t="s">
        <v>28</v>
      </c>
      <c r="E263" t="s">
        <v>20</v>
      </c>
      <c r="F263" t="s">
        <v>22</v>
      </c>
      <c r="G263" t="s">
        <v>23</v>
      </c>
      <c r="H263" t="s">
        <v>24</v>
      </c>
      <c r="I263" s="3">
        <v>14067</v>
      </c>
      <c r="J263" t="b">
        <v>0</v>
      </c>
      <c r="K263" t="b">
        <v>0</v>
      </c>
      <c r="L263" t="b">
        <v>0</v>
      </c>
    </row>
    <row r="264" spans="1:12" x14ac:dyDescent="0.3">
      <c r="A264">
        <v>33</v>
      </c>
      <c r="B264" t="s">
        <v>25</v>
      </c>
      <c r="C264" s="1">
        <v>8</v>
      </c>
      <c r="D264" t="s">
        <v>13</v>
      </c>
      <c r="E264" t="s">
        <v>26</v>
      </c>
      <c r="F264" t="s">
        <v>15</v>
      </c>
      <c r="G264" t="s">
        <v>23</v>
      </c>
      <c r="H264" t="s">
        <v>24</v>
      </c>
      <c r="I264" s="3">
        <v>14195</v>
      </c>
      <c r="J264" t="b">
        <v>1</v>
      </c>
      <c r="K264" t="b">
        <v>0</v>
      </c>
      <c r="L264" t="b">
        <v>0</v>
      </c>
    </row>
    <row r="265" spans="1:12" x14ac:dyDescent="0.3">
      <c r="A265">
        <v>43</v>
      </c>
      <c r="B265" t="s">
        <v>18</v>
      </c>
      <c r="C265" s="1">
        <v>3</v>
      </c>
      <c r="D265" t="s">
        <v>19</v>
      </c>
      <c r="E265" t="s">
        <v>26</v>
      </c>
      <c r="F265" t="s">
        <v>22</v>
      </c>
      <c r="G265" t="s">
        <v>23</v>
      </c>
      <c r="H265" t="s">
        <v>17</v>
      </c>
      <c r="I265" s="3">
        <v>19873</v>
      </c>
      <c r="J265" t="b">
        <v>1</v>
      </c>
      <c r="K265" t="b">
        <v>0</v>
      </c>
      <c r="L265" t="b">
        <v>0</v>
      </c>
    </row>
    <row r="266" spans="1:12" x14ac:dyDescent="0.3">
      <c r="A266">
        <v>19</v>
      </c>
      <c r="B266" t="s">
        <v>25</v>
      </c>
      <c r="C266" s="1">
        <v>4</v>
      </c>
      <c r="D266" t="s">
        <v>19</v>
      </c>
      <c r="E266" t="s">
        <v>26</v>
      </c>
      <c r="F266" t="s">
        <v>15</v>
      </c>
      <c r="G266" t="s">
        <v>16</v>
      </c>
      <c r="H266" t="s">
        <v>24</v>
      </c>
      <c r="I266" s="3">
        <v>19244</v>
      </c>
      <c r="J266" t="b">
        <v>0</v>
      </c>
      <c r="K266" t="b">
        <v>1</v>
      </c>
      <c r="L266" t="b">
        <v>1</v>
      </c>
    </row>
    <row r="267" spans="1:12" x14ac:dyDescent="0.3">
      <c r="A267">
        <v>18</v>
      </c>
      <c r="B267" t="s">
        <v>12</v>
      </c>
      <c r="C267" s="1">
        <v>6</v>
      </c>
      <c r="D267" t="s">
        <v>28</v>
      </c>
      <c r="E267" t="s">
        <v>20</v>
      </c>
      <c r="F267" t="s">
        <v>15</v>
      </c>
      <c r="G267" t="s">
        <v>16</v>
      </c>
      <c r="H267" t="s">
        <v>17</v>
      </c>
      <c r="I267" s="3">
        <v>17281</v>
      </c>
      <c r="J267" t="b">
        <v>0</v>
      </c>
      <c r="K267" t="b">
        <v>1</v>
      </c>
      <c r="L267" t="b">
        <v>1</v>
      </c>
    </row>
    <row r="268" spans="1:12" x14ac:dyDescent="0.3">
      <c r="A268">
        <v>29</v>
      </c>
      <c r="B268" t="s">
        <v>12</v>
      </c>
      <c r="C268" s="1">
        <v>7</v>
      </c>
      <c r="D268" t="s">
        <v>28</v>
      </c>
      <c r="E268" t="s">
        <v>20</v>
      </c>
      <c r="F268" t="s">
        <v>15</v>
      </c>
      <c r="G268" t="s">
        <v>29</v>
      </c>
      <c r="H268" t="s">
        <v>24</v>
      </c>
      <c r="I268" s="3">
        <v>12509</v>
      </c>
      <c r="J268" t="b">
        <v>1</v>
      </c>
      <c r="K268" t="b">
        <v>0</v>
      </c>
      <c r="L268" t="b">
        <v>1</v>
      </c>
    </row>
    <row r="269" spans="1:12" x14ac:dyDescent="0.3">
      <c r="A269">
        <v>22</v>
      </c>
      <c r="B269" t="s">
        <v>12</v>
      </c>
      <c r="C269" s="1">
        <v>4</v>
      </c>
      <c r="D269" t="s">
        <v>28</v>
      </c>
      <c r="E269" t="s">
        <v>14</v>
      </c>
      <c r="F269" t="s">
        <v>15</v>
      </c>
      <c r="G269" t="s">
        <v>29</v>
      </c>
      <c r="H269" t="s">
        <v>24</v>
      </c>
      <c r="I269" s="3">
        <v>15016</v>
      </c>
      <c r="J269" t="b">
        <v>1</v>
      </c>
      <c r="K269" t="b">
        <v>1</v>
      </c>
      <c r="L269" t="b">
        <v>1</v>
      </c>
    </row>
    <row r="270" spans="1:12" x14ac:dyDescent="0.3">
      <c r="A270">
        <v>54</v>
      </c>
      <c r="B270" t="s">
        <v>25</v>
      </c>
      <c r="C270" s="1">
        <v>8</v>
      </c>
      <c r="D270" t="s">
        <v>28</v>
      </c>
      <c r="E270" t="s">
        <v>20</v>
      </c>
      <c r="F270" t="s">
        <v>27</v>
      </c>
      <c r="G270" t="s">
        <v>23</v>
      </c>
      <c r="H270" t="s">
        <v>21</v>
      </c>
      <c r="I270" s="3">
        <v>16533</v>
      </c>
      <c r="J270" t="b">
        <v>1</v>
      </c>
      <c r="K270" t="b">
        <v>0</v>
      </c>
      <c r="L270" t="b">
        <v>1</v>
      </c>
    </row>
    <row r="271" spans="1:12" x14ac:dyDescent="0.3">
      <c r="A271">
        <v>49</v>
      </c>
      <c r="B271" t="s">
        <v>25</v>
      </c>
      <c r="C271" s="1">
        <v>5</v>
      </c>
      <c r="D271" t="s">
        <v>28</v>
      </c>
      <c r="E271" t="s">
        <v>20</v>
      </c>
      <c r="F271" t="s">
        <v>15</v>
      </c>
      <c r="G271" t="s">
        <v>29</v>
      </c>
      <c r="H271" t="s">
        <v>21</v>
      </c>
      <c r="I271" s="3">
        <v>14727</v>
      </c>
      <c r="J271" t="b">
        <v>1</v>
      </c>
      <c r="K271" t="b">
        <v>1</v>
      </c>
      <c r="L271" t="b">
        <v>0</v>
      </c>
    </row>
    <row r="272" spans="1:12" x14ac:dyDescent="0.3">
      <c r="A272">
        <v>26</v>
      </c>
      <c r="B272" t="s">
        <v>25</v>
      </c>
      <c r="C272" s="1">
        <v>1</v>
      </c>
      <c r="D272" t="s">
        <v>19</v>
      </c>
      <c r="E272" t="s">
        <v>26</v>
      </c>
      <c r="F272" t="s">
        <v>15</v>
      </c>
      <c r="G272" t="s">
        <v>16</v>
      </c>
      <c r="H272" t="s">
        <v>21</v>
      </c>
      <c r="I272" s="3">
        <v>10681</v>
      </c>
      <c r="J272" t="b">
        <v>0</v>
      </c>
      <c r="K272" t="b">
        <v>1</v>
      </c>
      <c r="L272" t="b">
        <v>1</v>
      </c>
    </row>
    <row r="273" spans="1:12" x14ac:dyDescent="0.3">
      <c r="A273">
        <v>58</v>
      </c>
      <c r="B273" t="s">
        <v>25</v>
      </c>
      <c r="C273" s="1">
        <v>4</v>
      </c>
      <c r="D273" t="s">
        <v>28</v>
      </c>
      <c r="E273" t="s">
        <v>20</v>
      </c>
      <c r="F273" t="s">
        <v>22</v>
      </c>
      <c r="G273" t="s">
        <v>29</v>
      </c>
      <c r="H273" t="s">
        <v>17</v>
      </c>
      <c r="I273" s="3">
        <v>13932</v>
      </c>
      <c r="J273" t="b">
        <v>1</v>
      </c>
      <c r="K273" t="b">
        <v>1</v>
      </c>
      <c r="L273" t="b">
        <v>0</v>
      </c>
    </row>
    <row r="274" spans="1:12" x14ac:dyDescent="0.3">
      <c r="A274">
        <v>52</v>
      </c>
      <c r="B274" t="s">
        <v>25</v>
      </c>
      <c r="C274" s="1">
        <v>3</v>
      </c>
      <c r="D274" t="s">
        <v>13</v>
      </c>
      <c r="E274" t="s">
        <v>26</v>
      </c>
      <c r="F274" t="s">
        <v>22</v>
      </c>
      <c r="G274" t="s">
        <v>16</v>
      </c>
      <c r="H274" t="s">
        <v>17</v>
      </c>
      <c r="I274" s="3">
        <v>15560</v>
      </c>
      <c r="J274" t="b">
        <v>1</v>
      </c>
      <c r="K274" t="b">
        <v>1</v>
      </c>
      <c r="L274" t="b">
        <v>1</v>
      </c>
    </row>
    <row r="275" spans="1:12" x14ac:dyDescent="0.3">
      <c r="A275">
        <v>36</v>
      </c>
      <c r="B275" t="s">
        <v>12</v>
      </c>
      <c r="C275" s="1">
        <v>9</v>
      </c>
      <c r="D275" t="s">
        <v>13</v>
      </c>
      <c r="E275" t="s">
        <v>26</v>
      </c>
      <c r="F275" t="s">
        <v>27</v>
      </c>
      <c r="G275" t="s">
        <v>23</v>
      </c>
      <c r="H275" t="s">
        <v>24</v>
      </c>
      <c r="I275" s="3">
        <v>14016</v>
      </c>
      <c r="J275" t="b">
        <v>0</v>
      </c>
      <c r="K275" t="b">
        <v>1</v>
      </c>
      <c r="L275" t="b">
        <v>0</v>
      </c>
    </row>
    <row r="276" spans="1:12" x14ac:dyDescent="0.3">
      <c r="A276">
        <v>33</v>
      </c>
      <c r="B276" t="s">
        <v>18</v>
      </c>
      <c r="C276" s="1">
        <v>8</v>
      </c>
      <c r="D276" t="s">
        <v>19</v>
      </c>
      <c r="E276" t="s">
        <v>20</v>
      </c>
      <c r="F276" t="s">
        <v>22</v>
      </c>
      <c r="G276" t="s">
        <v>23</v>
      </c>
      <c r="H276" t="s">
        <v>24</v>
      </c>
      <c r="I276" s="3">
        <v>17339</v>
      </c>
      <c r="J276" t="b">
        <v>1</v>
      </c>
      <c r="K276" t="b">
        <v>1</v>
      </c>
      <c r="L276" t="b">
        <v>0</v>
      </c>
    </row>
    <row r="277" spans="1:12" x14ac:dyDescent="0.3">
      <c r="A277">
        <v>20</v>
      </c>
      <c r="B277" t="s">
        <v>12</v>
      </c>
      <c r="C277" s="1">
        <v>1</v>
      </c>
      <c r="D277" t="s">
        <v>13</v>
      </c>
      <c r="E277" t="s">
        <v>14</v>
      </c>
      <c r="F277" t="s">
        <v>15</v>
      </c>
      <c r="G277" t="s">
        <v>16</v>
      </c>
      <c r="H277" t="s">
        <v>24</v>
      </c>
      <c r="I277" s="3">
        <v>10719</v>
      </c>
      <c r="J277" t="b">
        <v>1</v>
      </c>
      <c r="K277" t="b">
        <v>1</v>
      </c>
      <c r="L277" t="b">
        <v>0</v>
      </c>
    </row>
    <row r="278" spans="1:12" x14ac:dyDescent="0.3">
      <c r="A278">
        <v>37</v>
      </c>
      <c r="B278" t="s">
        <v>25</v>
      </c>
      <c r="C278" s="1">
        <v>6</v>
      </c>
      <c r="D278" t="s">
        <v>19</v>
      </c>
      <c r="E278" t="s">
        <v>14</v>
      </c>
      <c r="F278" t="s">
        <v>22</v>
      </c>
      <c r="G278" t="s">
        <v>29</v>
      </c>
      <c r="H278" t="s">
        <v>24</v>
      </c>
      <c r="I278" s="3">
        <v>10074</v>
      </c>
      <c r="J278" t="b">
        <v>1</v>
      </c>
      <c r="K278" t="b">
        <v>1</v>
      </c>
      <c r="L278" t="b">
        <v>1</v>
      </c>
    </row>
    <row r="279" spans="1:12" x14ac:dyDescent="0.3">
      <c r="A279">
        <v>41</v>
      </c>
      <c r="B279" t="s">
        <v>12</v>
      </c>
      <c r="C279" s="1">
        <v>9</v>
      </c>
      <c r="D279" t="s">
        <v>19</v>
      </c>
      <c r="E279" t="s">
        <v>20</v>
      </c>
      <c r="F279" t="s">
        <v>27</v>
      </c>
      <c r="G279" t="s">
        <v>23</v>
      </c>
      <c r="H279" t="s">
        <v>17</v>
      </c>
      <c r="I279" s="3">
        <v>19485</v>
      </c>
      <c r="J279" t="b">
        <v>0</v>
      </c>
      <c r="K279" t="b">
        <v>1</v>
      </c>
      <c r="L279" t="b">
        <v>1</v>
      </c>
    </row>
    <row r="280" spans="1:12" x14ac:dyDescent="0.3">
      <c r="A280">
        <v>50</v>
      </c>
      <c r="B280" t="s">
        <v>25</v>
      </c>
      <c r="C280" s="1">
        <v>7</v>
      </c>
      <c r="D280" t="s">
        <v>13</v>
      </c>
      <c r="E280" t="s">
        <v>14</v>
      </c>
      <c r="F280" t="s">
        <v>22</v>
      </c>
      <c r="G280" t="s">
        <v>23</v>
      </c>
      <c r="H280" t="s">
        <v>24</v>
      </c>
      <c r="I280" s="3">
        <v>14157</v>
      </c>
      <c r="J280" t="b">
        <v>0</v>
      </c>
      <c r="K280" t="b">
        <v>1</v>
      </c>
      <c r="L280" t="b">
        <v>1</v>
      </c>
    </row>
    <row r="281" spans="1:12" x14ac:dyDescent="0.3">
      <c r="A281">
        <v>41</v>
      </c>
      <c r="B281" t="s">
        <v>25</v>
      </c>
      <c r="C281" s="1">
        <v>4</v>
      </c>
      <c r="D281" t="s">
        <v>28</v>
      </c>
      <c r="E281" t="s">
        <v>26</v>
      </c>
      <c r="F281" t="s">
        <v>22</v>
      </c>
      <c r="G281" t="s">
        <v>29</v>
      </c>
      <c r="H281" t="s">
        <v>24</v>
      </c>
      <c r="I281" s="3">
        <v>18511</v>
      </c>
      <c r="J281" t="b">
        <v>1</v>
      </c>
      <c r="K281" t="b">
        <v>1</v>
      </c>
      <c r="L281" t="b">
        <v>1</v>
      </c>
    </row>
    <row r="282" spans="1:12" x14ac:dyDescent="0.3">
      <c r="A282">
        <v>28</v>
      </c>
      <c r="B282" t="s">
        <v>12</v>
      </c>
      <c r="C282" s="1">
        <v>1</v>
      </c>
      <c r="D282" t="s">
        <v>13</v>
      </c>
      <c r="E282" t="s">
        <v>26</v>
      </c>
      <c r="F282" t="s">
        <v>27</v>
      </c>
      <c r="G282" t="s">
        <v>29</v>
      </c>
      <c r="H282" t="s">
        <v>21</v>
      </c>
      <c r="I282" s="3">
        <v>12149</v>
      </c>
      <c r="J282" t="b">
        <v>1</v>
      </c>
      <c r="K282" t="b">
        <v>1</v>
      </c>
      <c r="L282" t="b">
        <v>0</v>
      </c>
    </row>
    <row r="283" spans="1:12" x14ac:dyDescent="0.3">
      <c r="A283">
        <v>25</v>
      </c>
      <c r="B283" t="s">
        <v>25</v>
      </c>
      <c r="C283" s="1">
        <v>2</v>
      </c>
      <c r="D283" t="s">
        <v>13</v>
      </c>
      <c r="E283" t="s">
        <v>20</v>
      </c>
      <c r="F283" t="s">
        <v>27</v>
      </c>
      <c r="G283" t="s">
        <v>16</v>
      </c>
      <c r="H283" t="s">
        <v>24</v>
      </c>
      <c r="I283" s="3">
        <v>19644</v>
      </c>
      <c r="J283" t="b">
        <v>0</v>
      </c>
      <c r="K283" t="b">
        <v>1</v>
      </c>
      <c r="L283" t="b">
        <v>0</v>
      </c>
    </row>
    <row r="284" spans="1:12" x14ac:dyDescent="0.3">
      <c r="A284">
        <v>53</v>
      </c>
      <c r="B284" t="s">
        <v>18</v>
      </c>
      <c r="C284" s="1">
        <v>5</v>
      </c>
      <c r="D284" t="s">
        <v>19</v>
      </c>
      <c r="E284" t="s">
        <v>14</v>
      </c>
      <c r="F284" t="s">
        <v>15</v>
      </c>
      <c r="G284" t="s">
        <v>29</v>
      </c>
      <c r="H284" t="s">
        <v>24</v>
      </c>
      <c r="I284" s="3">
        <v>19747</v>
      </c>
      <c r="J284" t="b">
        <v>1</v>
      </c>
      <c r="K284" t="b">
        <v>0</v>
      </c>
      <c r="L284" t="b">
        <v>0</v>
      </c>
    </row>
    <row r="285" spans="1:12" x14ac:dyDescent="0.3">
      <c r="A285">
        <v>55</v>
      </c>
      <c r="B285" t="s">
        <v>25</v>
      </c>
      <c r="C285" s="1">
        <v>5</v>
      </c>
      <c r="D285" t="s">
        <v>13</v>
      </c>
      <c r="E285" t="s">
        <v>14</v>
      </c>
      <c r="F285" t="s">
        <v>22</v>
      </c>
      <c r="G285" t="s">
        <v>29</v>
      </c>
      <c r="H285" t="s">
        <v>24</v>
      </c>
      <c r="I285" s="3">
        <v>16713</v>
      </c>
      <c r="J285" t="b">
        <v>1</v>
      </c>
      <c r="K285" t="b">
        <v>1</v>
      </c>
      <c r="L285" t="b">
        <v>0</v>
      </c>
    </row>
    <row r="286" spans="1:12" x14ac:dyDescent="0.3">
      <c r="A286">
        <v>57</v>
      </c>
      <c r="B286" t="s">
        <v>18</v>
      </c>
      <c r="C286" s="1">
        <v>8</v>
      </c>
      <c r="D286" t="s">
        <v>19</v>
      </c>
      <c r="E286" t="s">
        <v>26</v>
      </c>
      <c r="F286" t="s">
        <v>15</v>
      </c>
      <c r="G286" t="s">
        <v>29</v>
      </c>
      <c r="H286" t="s">
        <v>17</v>
      </c>
      <c r="I286" s="3">
        <v>14207</v>
      </c>
      <c r="J286" t="b">
        <v>0</v>
      </c>
      <c r="K286" t="b">
        <v>1</v>
      </c>
      <c r="L286" t="b">
        <v>1</v>
      </c>
    </row>
    <row r="287" spans="1:12" x14ac:dyDescent="0.3">
      <c r="A287">
        <v>37</v>
      </c>
      <c r="B287" t="s">
        <v>18</v>
      </c>
      <c r="C287" s="1">
        <v>6</v>
      </c>
      <c r="D287" t="s">
        <v>28</v>
      </c>
      <c r="E287" t="s">
        <v>20</v>
      </c>
      <c r="F287" t="s">
        <v>22</v>
      </c>
      <c r="G287" t="s">
        <v>16</v>
      </c>
      <c r="H287" t="s">
        <v>21</v>
      </c>
      <c r="I287" s="3">
        <v>17141</v>
      </c>
      <c r="J287" t="b">
        <v>0</v>
      </c>
      <c r="K287" t="b">
        <v>1</v>
      </c>
      <c r="L287" t="b">
        <v>0</v>
      </c>
    </row>
    <row r="288" spans="1:12" x14ac:dyDescent="0.3">
      <c r="A288">
        <v>52</v>
      </c>
      <c r="B288" t="s">
        <v>25</v>
      </c>
      <c r="C288" s="1">
        <v>8</v>
      </c>
      <c r="D288" t="s">
        <v>28</v>
      </c>
      <c r="E288" t="s">
        <v>14</v>
      </c>
      <c r="F288" t="s">
        <v>22</v>
      </c>
      <c r="G288" t="s">
        <v>16</v>
      </c>
      <c r="H288" t="s">
        <v>24</v>
      </c>
      <c r="I288" s="3">
        <v>18652</v>
      </c>
      <c r="J288" t="b">
        <v>0</v>
      </c>
      <c r="K288" t="b">
        <v>1</v>
      </c>
      <c r="L288" t="b">
        <v>1</v>
      </c>
    </row>
    <row r="289" spans="1:12" x14ac:dyDescent="0.3">
      <c r="A289">
        <v>42</v>
      </c>
      <c r="B289" t="s">
        <v>12</v>
      </c>
      <c r="C289" s="1">
        <v>2</v>
      </c>
      <c r="D289" t="s">
        <v>28</v>
      </c>
      <c r="E289" t="s">
        <v>20</v>
      </c>
      <c r="F289" t="s">
        <v>15</v>
      </c>
      <c r="G289" t="s">
        <v>23</v>
      </c>
      <c r="H289" t="s">
        <v>24</v>
      </c>
      <c r="I289" s="3">
        <v>19078</v>
      </c>
      <c r="J289" t="b">
        <v>1</v>
      </c>
      <c r="K289" t="b">
        <v>1</v>
      </c>
      <c r="L289" t="b">
        <v>0</v>
      </c>
    </row>
    <row r="290" spans="1:12" x14ac:dyDescent="0.3">
      <c r="A290">
        <v>52</v>
      </c>
      <c r="B290" t="s">
        <v>18</v>
      </c>
      <c r="C290" s="1">
        <v>3</v>
      </c>
      <c r="D290" t="s">
        <v>13</v>
      </c>
      <c r="E290" t="s">
        <v>14</v>
      </c>
      <c r="F290" t="s">
        <v>22</v>
      </c>
      <c r="G290" t="s">
        <v>16</v>
      </c>
      <c r="H290" t="s">
        <v>21</v>
      </c>
      <c r="I290" s="3">
        <v>13936</v>
      </c>
      <c r="J290" t="b">
        <v>1</v>
      </c>
      <c r="K290" t="b">
        <v>1</v>
      </c>
      <c r="L290" t="b">
        <v>0</v>
      </c>
    </row>
    <row r="291" spans="1:12" x14ac:dyDescent="0.3">
      <c r="A291">
        <v>42</v>
      </c>
      <c r="B291" t="s">
        <v>12</v>
      </c>
      <c r="C291" s="1">
        <v>6</v>
      </c>
      <c r="D291" t="s">
        <v>19</v>
      </c>
      <c r="E291" t="s">
        <v>26</v>
      </c>
      <c r="F291" t="s">
        <v>22</v>
      </c>
      <c r="G291" t="s">
        <v>23</v>
      </c>
      <c r="H291" t="s">
        <v>24</v>
      </c>
      <c r="I291" s="3">
        <v>19307</v>
      </c>
      <c r="J291" t="b">
        <v>1</v>
      </c>
      <c r="K291" t="b">
        <v>0</v>
      </c>
      <c r="L291" t="b">
        <v>0</v>
      </c>
    </row>
    <row r="292" spans="1:12" x14ac:dyDescent="0.3">
      <c r="A292">
        <v>46</v>
      </c>
      <c r="B292" t="s">
        <v>18</v>
      </c>
      <c r="C292" s="1">
        <v>3</v>
      </c>
      <c r="D292" t="s">
        <v>28</v>
      </c>
      <c r="E292" t="s">
        <v>26</v>
      </c>
      <c r="F292" t="s">
        <v>22</v>
      </c>
      <c r="G292" t="s">
        <v>29</v>
      </c>
      <c r="H292" t="s">
        <v>17</v>
      </c>
      <c r="I292" s="3">
        <v>11075</v>
      </c>
      <c r="J292" t="b">
        <v>1</v>
      </c>
      <c r="K292" t="b">
        <v>0</v>
      </c>
      <c r="L292" t="b">
        <v>1</v>
      </c>
    </row>
    <row r="293" spans="1:12" x14ac:dyDescent="0.3">
      <c r="A293">
        <v>35</v>
      </c>
      <c r="B293" t="s">
        <v>25</v>
      </c>
      <c r="C293" s="1">
        <v>6</v>
      </c>
      <c r="D293" t="s">
        <v>19</v>
      </c>
      <c r="E293" t="s">
        <v>20</v>
      </c>
      <c r="F293" t="s">
        <v>27</v>
      </c>
      <c r="G293" t="s">
        <v>23</v>
      </c>
      <c r="H293" t="s">
        <v>24</v>
      </c>
      <c r="I293" s="3">
        <v>13876</v>
      </c>
      <c r="J293" t="b">
        <v>0</v>
      </c>
      <c r="K293" t="b">
        <v>0</v>
      </c>
      <c r="L293" t="b">
        <v>1</v>
      </c>
    </row>
    <row r="294" spans="1:12" x14ac:dyDescent="0.3">
      <c r="A294">
        <v>63</v>
      </c>
      <c r="B294" t="s">
        <v>25</v>
      </c>
      <c r="C294" s="1">
        <v>6</v>
      </c>
      <c r="D294" t="s">
        <v>19</v>
      </c>
      <c r="E294" t="s">
        <v>26</v>
      </c>
      <c r="F294" t="s">
        <v>15</v>
      </c>
      <c r="G294" t="s">
        <v>23</v>
      </c>
      <c r="H294" t="s">
        <v>17</v>
      </c>
      <c r="I294" s="3">
        <v>14615</v>
      </c>
      <c r="J294" t="b">
        <v>1</v>
      </c>
      <c r="K294" t="b">
        <v>1</v>
      </c>
      <c r="L294" t="b">
        <v>0</v>
      </c>
    </row>
    <row r="295" spans="1:12" x14ac:dyDescent="0.3">
      <c r="A295">
        <v>35</v>
      </c>
      <c r="B295" t="s">
        <v>18</v>
      </c>
      <c r="C295" s="1">
        <v>2</v>
      </c>
      <c r="D295" t="s">
        <v>28</v>
      </c>
      <c r="E295" t="s">
        <v>14</v>
      </c>
      <c r="F295" t="s">
        <v>27</v>
      </c>
      <c r="G295" t="s">
        <v>29</v>
      </c>
      <c r="H295" t="s">
        <v>17</v>
      </c>
      <c r="I295" s="3">
        <v>17265</v>
      </c>
      <c r="J295" t="b">
        <v>1</v>
      </c>
      <c r="K295" t="b">
        <v>1</v>
      </c>
      <c r="L295" t="b">
        <v>0</v>
      </c>
    </row>
    <row r="296" spans="1:12" x14ac:dyDescent="0.3">
      <c r="A296">
        <v>19</v>
      </c>
      <c r="B296" t="s">
        <v>25</v>
      </c>
      <c r="C296" s="1">
        <v>7</v>
      </c>
      <c r="D296" t="s">
        <v>28</v>
      </c>
      <c r="E296" t="s">
        <v>26</v>
      </c>
      <c r="F296" t="s">
        <v>15</v>
      </c>
      <c r="G296" t="s">
        <v>23</v>
      </c>
      <c r="H296" t="s">
        <v>24</v>
      </c>
      <c r="I296" s="3">
        <v>16379</v>
      </c>
      <c r="J296" t="b">
        <v>0</v>
      </c>
      <c r="K296" t="b">
        <v>1</v>
      </c>
      <c r="L296" t="b">
        <v>0</v>
      </c>
    </row>
    <row r="297" spans="1:12" x14ac:dyDescent="0.3">
      <c r="A297">
        <v>52</v>
      </c>
      <c r="B297" t="s">
        <v>18</v>
      </c>
      <c r="C297" s="1">
        <v>2</v>
      </c>
      <c r="D297" t="s">
        <v>19</v>
      </c>
      <c r="E297" t="s">
        <v>20</v>
      </c>
      <c r="F297" t="s">
        <v>15</v>
      </c>
      <c r="G297" t="s">
        <v>16</v>
      </c>
      <c r="H297" t="s">
        <v>21</v>
      </c>
      <c r="I297" s="3">
        <v>19118</v>
      </c>
      <c r="J297" t="b">
        <v>0</v>
      </c>
      <c r="K297" t="b">
        <v>0</v>
      </c>
      <c r="L297" t="b">
        <v>1</v>
      </c>
    </row>
    <row r="298" spans="1:12" x14ac:dyDescent="0.3">
      <c r="A298">
        <v>33</v>
      </c>
      <c r="B298" t="s">
        <v>25</v>
      </c>
      <c r="C298" s="1">
        <v>6</v>
      </c>
      <c r="D298" t="s">
        <v>28</v>
      </c>
      <c r="E298" t="s">
        <v>20</v>
      </c>
      <c r="F298" t="s">
        <v>22</v>
      </c>
      <c r="G298" t="s">
        <v>16</v>
      </c>
      <c r="H298" t="s">
        <v>17</v>
      </c>
      <c r="I298" s="3">
        <v>14652</v>
      </c>
      <c r="J298" t="b">
        <v>1</v>
      </c>
      <c r="K298" t="b">
        <v>1</v>
      </c>
      <c r="L298" t="b">
        <v>1</v>
      </c>
    </row>
    <row r="299" spans="1:12" x14ac:dyDescent="0.3">
      <c r="A299">
        <v>58</v>
      </c>
      <c r="B299" t="s">
        <v>12</v>
      </c>
      <c r="C299" s="1">
        <v>1</v>
      </c>
      <c r="D299" t="s">
        <v>19</v>
      </c>
      <c r="E299" t="s">
        <v>20</v>
      </c>
      <c r="F299" t="s">
        <v>15</v>
      </c>
      <c r="G299" t="s">
        <v>16</v>
      </c>
      <c r="H299" t="s">
        <v>21</v>
      </c>
      <c r="I299" s="3">
        <v>16792</v>
      </c>
      <c r="J299" t="b">
        <v>0</v>
      </c>
      <c r="K299" t="b">
        <v>1</v>
      </c>
      <c r="L299" t="b">
        <v>1</v>
      </c>
    </row>
    <row r="300" spans="1:12" x14ac:dyDescent="0.3">
      <c r="A300">
        <v>53</v>
      </c>
      <c r="B300" t="s">
        <v>25</v>
      </c>
      <c r="C300" s="1">
        <v>3</v>
      </c>
      <c r="D300" t="s">
        <v>19</v>
      </c>
      <c r="E300" t="s">
        <v>14</v>
      </c>
      <c r="F300" t="s">
        <v>27</v>
      </c>
      <c r="G300" t="s">
        <v>16</v>
      </c>
      <c r="H300" t="s">
        <v>24</v>
      </c>
      <c r="I300" s="3">
        <v>19247</v>
      </c>
      <c r="J300" t="b">
        <v>0</v>
      </c>
      <c r="K300" t="b">
        <v>0</v>
      </c>
      <c r="L300" t="b">
        <v>0</v>
      </c>
    </row>
    <row r="301" spans="1:12" x14ac:dyDescent="0.3">
      <c r="A301">
        <v>50</v>
      </c>
      <c r="B301" t="s">
        <v>12</v>
      </c>
      <c r="C301" s="1">
        <v>2</v>
      </c>
      <c r="D301" t="s">
        <v>28</v>
      </c>
      <c r="E301" t="s">
        <v>14</v>
      </c>
      <c r="F301" t="s">
        <v>27</v>
      </c>
      <c r="G301" t="s">
        <v>23</v>
      </c>
      <c r="H301" t="s">
        <v>17</v>
      </c>
      <c r="I301" s="3">
        <v>17456</v>
      </c>
      <c r="J301" t="b">
        <v>1</v>
      </c>
      <c r="K301" t="b">
        <v>0</v>
      </c>
      <c r="L301" t="b">
        <v>1</v>
      </c>
    </row>
    <row r="302" spans="1:12" x14ac:dyDescent="0.3">
      <c r="A302">
        <v>21</v>
      </c>
      <c r="B302" t="s">
        <v>25</v>
      </c>
      <c r="C302" s="1">
        <v>7</v>
      </c>
      <c r="D302" t="s">
        <v>13</v>
      </c>
      <c r="E302" t="s">
        <v>14</v>
      </c>
      <c r="F302" t="s">
        <v>27</v>
      </c>
      <c r="G302" t="s">
        <v>23</v>
      </c>
      <c r="H302" t="s">
        <v>24</v>
      </c>
      <c r="I302" s="3">
        <v>14674</v>
      </c>
      <c r="J302" t="b">
        <v>1</v>
      </c>
      <c r="K302" t="b">
        <v>1</v>
      </c>
      <c r="L302" t="b">
        <v>0</v>
      </c>
    </row>
    <row r="303" spans="1:12" x14ac:dyDescent="0.3">
      <c r="A303">
        <v>50</v>
      </c>
      <c r="B303" t="s">
        <v>12</v>
      </c>
      <c r="C303" s="1">
        <v>4</v>
      </c>
      <c r="D303" t="s">
        <v>28</v>
      </c>
      <c r="E303" t="s">
        <v>14</v>
      </c>
      <c r="F303" t="s">
        <v>15</v>
      </c>
      <c r="G303" t="s">
        <v>29</v>
      </c>
      <c r="H303" t="s">
        <v>21</v>
      </c>
      <c r="I303" s="3">
        <v>10541</v>
      </c>
      <c r="J303" t="b">
        <v>1</v>
      </c>
      <c r="K303" t="b">
        <v>1</v>
      </c>
      <c r="L303" t="b">
        <v>1</v>
      </c>
    </row>
    <row r="304" spans="1:12" x14ac:dyDescent="0.3">
      <c r="A304">
        <v>31</v>
      </c>
      <c r="B304" t="s">
        <v>25</v>
      </c>
      <c r="C304" s="1">
        <v>8</v>
      </c>
      <c r="D304" t="s">
        <v>13</v>
      </c>
      <c r="E304" t="s">
        <v>14</v>
      </c>
      <c r="F304" t="s">
        <v>27</v>
      </c>
      <c r="G304" t="s">
        <v>23</v>
      </c>
      <c r="H304" t="s">
        <v>24</v>
      </c>
      <c r="I304" s="3">
        <v>12161</v>
      </c>
      <c r="J304" t="b">
        <v>1</v>
      </c>
      <c r="K304" t="b">
        <v>1</v>
      </c>
      <c r="L304" t="b">
        <v>0</v>
      </c>
    </row>
    <row r="305" spans="1:12" x14ac:dyDescent="0.3">
      <c r="A305">
        <v>38</v>
      </c>
      <c r="B305" t="s">
        <v>12</v>
      </c>
      <c r="C305" s="1">
        <v>6</v>
      </c>
      <c r="D305" t="s">
        <v>19</v>
      </c>
      <c r="E305" t="s">
        <v>26</v>
      </c>
      <c r="F305" t="s">
        <v>15</v>
      </c>
      <c r="G305" t="s">
        <v>23</v>
      </c>
      <c r="H305" t="s">
        <v>24</v>
      </c>
      <c r="I305" s="3">
        <v>12251</v>
      </c>
      <c r="J305" t="b">
        <v>0</v>
      </c>
      <c r="K305" t="b">
        <v>1</v>
      </c>
      <c r="L305" t="b">
        <v>0</v>
      </c>
    </row>
    <row r="306" spans="1:12" x14ac:dyDescent="0.3">
      <c r="A306">
        <v>37</v>
      </c>
      <c r="B306" t="s">
        <v>18</v>
      </c>
      <c r="C306" s="1">
        <v>4</v>
      </c>
      <c r="D306" t="s">
        <v>19</v>
      </c>
      <c r="E306" t="s">
        <v>14</v>
      </c>
      <c r="F306" t="s">
        <v>27</v>
      </c>
      <c r="G306" t="s">
        <v>23</v>
      </c>
      <c r="H306" t="s">
        <v>17</v>
      </c>
      <c r="I306" s="3">
        <v>19244</v>
      </c>
      <c r="J306" t="b">
        <v>0</v>
      </c>
      <c r="K306" t="b">
        <v>0</v>
      </c>
      <c r="L306" t="b">
        <v>1</v>
      </c>
    </row>
    <row r="307" spans="1:12" x14ac:dyDescent="0.3">
      <c r="A307">
        <v>25</v>
      </c>
      <c r="B307" t="s">
        <v>18</v>
      </c>
      <c r="C307" s="1">
        <v>5</v>
      </c>
      <c r="D307" t="s">
        <v>13</v>
      </c>
      <c r="E307" t="s">
        <v>14</v>
      </c>
      <c r="F307" t="s">
        <v>27</v>
      </c>
      <c r="G307" t="s">
        <v>29</v>
      </c>
      <c r="H307" t="s">
        <v>24</v>
      </c>
      <c r="I307" s="3">
        <v>14569</v>
      </c>
      <c r="J307" t="b">
        <v>1</v>
      </c>
      <c r="K307" t="b">
        <v>1</v>
      </c>
      <c r="L307" t="b">
        <v>0</v>
      </c>
    </row>
    <row r="308" spans="1:12" x14ac:dyDescent="0.3">
      <c r="A308">
        <v>24</v>
      </c>
      <c r="B308" t="s">
        <v>12</v>
      </c>
      <c r="C308" s="1">
        <v>9</v>
      </c>
      <c r="D308" t="s">
        <v>19</v>
      </c>
      <c r="E308" t="s">
        <v>26</v>
      </c>
      <c r="F308" t="s">
        <v>15</v>
      </c>
      <c r="G308" t="s">
        <v>16</v>
      </c>
      <c r="H308" t="s">
        <v>24</v>
      </c>
      <c r="I308" s="3">
        <v>12744</v>
      </c>
      <c r="J308" t="b">
        <v>1</v>
      </c>
      <c r="K308" t="b">
        <v>1</v>
      </c>
      <c r="L308" t="b">
        <v>0</v>
      </c>
    </row>
    <row r="309" spans="1:12" x14ac:dyDescent="0.3">
      <c r="A309">
        <v>20</v>
      </c>
      <c r="B309" t="s">
        <v>25</v>
      </c>
      <c r="C309" s="1">
        <v>7</v>
      </c>
      <c r="D309" t="s">
        <v>13</v>
      </c>
      <c r="E309" t="s">
        <v>14</v>
      </c>
      <c r="F309" t="s">
        <v>27</v>
      </c>
      <c r="G309" t="s">
        <v>23</v>
      </c>
      <c r="H309" t="s">
        <v>24</v>
      </c>
      <c r="I309" s="3">
        <v>16041</v>
      </c>
      <c r="J309" t="b">
        <v>0</v>
      </c>
      <c r="K309" t="b">
        <v>0</v>
      </c>
      <c r="L309" t="b">
        <v>0</v>
      </c>
    </row>
    <row r="310" spans="1:12" x14ac:dyDescent="0.3">
      <c r="A310">
        <v>34</v>
      </c>
      <c r="B310" t="s">
        <v>12</v>
      </c>
      <c r="C310" s="1">
        <v>9</v>
      </c>
      <c r="D310" t="s">
        <v>13</v>
      </c>
      <c r="E310" t="s">
        <v>20</v>
      </c>
      <c r="F310" t="s">
        <v>22</v>
      </c>
      <c r="G310" t="s">
        <v>29</v>
      </c>
      <c r="H310" t="s">
        <v>17</v>
      </c>
      <c r="I310" s="3">
        <v>14675</v>
      </c>
      <c r="J310" t="b">
        <v>1</v>
      </c>
      <c r="K310" t="b">
        <v>1</v>
      </c>
      <c r="L310" t="b">
        <v>1</v>
      </c>
    </row>
    <row r="311" spans="1:12" x14ac:dyDescent="0.3">
      <c r="A311">
        <v>50</v>
      </c>
      <c r="B311" t="s">
        <v>25</v>
      </c>
      <c r="C311" s="1">
        <v>7</v>
      </c>
      <c r="D311" t="s">
        <v>19</v>
      </c>
      <c r="E311" t="s">
        <v>14</v>
      </c>
      <c r="F311" t="s">
        <v>15</v>
      </c>
      <c r="G311" t="s">
        <v>29</v>
      </c>
      <c r="H311" t="s">
        <v>21</v>
      </c>
      <c r="I311" s="3">
        <v>11560</v>
      </c>
      <c r="J311" t="b">
        <v>1</v>
      </c>
      <c r="K311" t="b">
        <v>1</v>
      </c>
      <c r="L311" t="b">
        <v>0</v>
      </c>
    </row>
    <row r="312" spans="1:12" x14ac:dyDescent="0.3">
      <c r="A312">
        <v>29</v>
      </c>
      <c r="B312" t="s">
        <v>18</v>
      </c>
      <c r="C312" s="1">
        <v>1</v>
      </c>
      <c r="D312" t="s">
        <v>13</v>
      </c>
      <c r="E312" t="s">
        <v>14</v>
      </c>
      <c r="F312" t="s">
        <v>15</v>
      </c>
      <c r="G312" t="s">
        <v>29</v>
      </c>
      <c r="H312" t="s">
        <v>21</v>
      </c>
      <c r="I312" s="3">
        <v>11164</v>
      </c>
      <c r="J312" t="b">
        <v>1</v>
      </c>
      <c r="K312" t="b">
        <v>0</v>
      </c>
      <c r="L312" t="b">
        <v>1</v>
      </c>
    </row>
    <row r="313" spans="1:12" x14ac:dyDescent="0.3">
      <c r="A313">
        <v>39</v>
      </c>
      <c r="B313" t="s">
        <v>25</v>
      </c>
      <c r="C313" s="1">
        <v>8</v>
      </c>
      <c r="D313" t="s">
        <v>28</v>
      </c>
      <c r="E313" t="s">
        <v>20</v>
      </c>
      <c r="F313" t="s">
        <v>15</v>
      </c>
      <c r="G313" t="s">
        <v>16</v>
      </c>
      <c r="H313" t="s">
        <v>24</v>
      </c>
      <c r="I313" s="3">
        <v>15419</v>
      </c>
      <c r="J313" t="b">
        <v>1</v>
      </c>
      <c r="K313" t="b">
        <v>0</v>
      </c>
      <c r="L313" t="b">
        <v>1</v>
      </c>
    </row>
    <row r="314" spans="1:12" x14ac:dyDescent="0.3">
      <c r="A314">
        <v>39</v>
      </c>
      <c r="B314" t="s">
        <v>18</v>
      </c>
      <c r="C314" s="1">
        <v>4</v>
      </c>
      <c r="D314" t="s">
        <v>28</v>
      </c>
      <c r="E314" t="s">
        <v>20</v>
      </c>
      <c r="F314" t="s">
        <v>22</v>
      </c>
      <c r="G314" t="s">
        <v>23</v>
      </c>
      <c r="H314" t="s">
        <v>17</v>
      </c>
      <c r="I314" s="3">
        <v>12722</v>
      </c>
      <c r="J314" t="b">
        <v>0</v>
      </c>
      <c r="K314" t="b">
        <v>1</v>
      </c>
      <c r="L314" t="b">
        <v>0</v>
      </c>
    </row>
    <row r="315" spans="1:12" x14ac:dyDescent="0.3">
      <c r="A315">
        <v>63</v>
      </c>
      <c r="B315" t="s">
        <v>25</v>
      </c>
      <c r="C315" s="1">
        <v>3</v>
      </c>
      <c r="D315" t="s">
        <v>19</v>
      </c>
      <c r="E315" t="s">
        <v>20</v>
      </c>
      <c r="F315" t="s">
        <v>15</v>
      </c>
      <c r="G315" t="s">
        <v>29</v>
      </c>
      <c r="H315" t="s">
        <v>24</v>
      </c>
      <c r="I315" s="3">
        <v>10470</v>
      </c>
      <c r="J315" t="b">
        <v>1</v>
      </c>
      <c r="K315" t="b">
        <v>0</v>
      </c>
      <c r="L315" t="b">
        <v>1</v>
      </c>
    </row>
    <row r="316" spans="1:12" x14ac:dyDescent="0.3">
      <c r="A316">
        <v>47</v>
      </c>
      <c r="B316" t="s">
        <v>25</v>
      </c>
      <c r="C316" s="1">
        <v>7</v>
      </c>
      <c r="D316" t="s">
        <v>19</v>
      </c>
      <c r="E316" t="s">
        <v>20</v>
      </c>
      <c r="F316" t="s">
        <v>27</v>
      </c>
      <c r="G316" t="s">
        <v>16</v>
      </c>
      <c r="H316" t="s">
        <v>21</v>
      </c>
      <c r="I316" s="3">
        <v>19608</v>
      </c>
      <c r="J316" t="b">
        <v>0</v>
      </c>
      <c r="K316" t="b">
        <v>0</v>
      </c>
      <c r="L316" t="b">
        <v>0</v>
      </c>
    </row>
    <row r="317" spans="1:12" x14ac:dyDescent="0.3">
      <c r="A317">
        <v>55</v>
      </c>
      <c r="B317" t="s">
        <v>25</v>
      </c>
      <c r="C317" s="1">
        <v>3</v>
      </c>
      <c r="D317" t="s">
        <v>13</v>
      </c>
      <c r="E317" t="s">
        <v>14</v>
      </c>
      <c r="F317" t="s">
        <v>27</v>
      </c>
      <c r="G317" t="s">
        <v>29</v>
      </c>
      <c r="H317" t="s">
        <v>17</v>
      </c>
      <c r="I317" s="3">
        <v>11468</v>
      </c>
      <c r="J317" t="b">
        <v>1</v>
      </c>
      <c r="K317" t="b">
        <v>1</v>
      </c>
      <c r="L317" t="b">
        <v>1</v>
      </c>
    </row>
    <row r="318" spans="1:12" x14ac:dyDescent="0.3">
      <c r="A318">
        <v>55</v>
      </c>
      <c r="B318" t="s">
        <v>12</v>
      </c>
      <c r="C318" s="1">
        <v>8</v>
      </c>
      <c r="D318" t="s">
        <v>13</v>
      </c>
      <c r="E318" t="s">
        <v>20</v>
      </c>
      <c r="F318" t="s">
        <v>27</v>
      </c>
      <c r="G318" t="s">
        <v>29</v>
      </c>
      <c r="H318" t="s">
        <v>21</v>
      </c>
      <c r="I318" s="3">
        <v>17925</v>
      </c>
      <c r="J318" t="b">
        <v>1</v>
      </c>
      <c r="K318" t="b">
        <v>0</v>
      </c>
      <c r="L318" t="b">
        <v>0</v>
      </c>
    </row>
    <row r="319" spans="1:12" x14ac:dyDescent="0.3">
      <c r="A319">
        <v>62</v>
      </c>
      <c r="B319" t="s">
        <v>12</v>
      </c>
      <c r="C319" s="1">
        <v>6</v>
      </c>
      <c r="D319" t="s">
        <v>13</v>
      </c>
      <c r="E319" t="s">
        <v>20</v>
      </c>
      <c r="F319" t="s">
        <v>15</v>
      </c>
      <c r="G319" t="s">
        <v>29</v>
      </c>
      <c r="H319" t="s">
        <v>21</v>
      </c>
      <c r="I319" s="3">
        <v>10808</v>
      </c>
      <c r="J319" t="b">
        <v>0</v>
      </c>
      <c r="K319" t="b">
        <v>1</v>
      </c>
      <c r="L319" t="b">
        <v>1</v>
      </c>
    </row>
    <row r="320" spans="1:12" x14ac:dyDescent="0.3">
      <c r="A320">
        <v>25</v>
      </c>
      <c r="B320" t="s">
        <v>18</v>
      </c>
      <c r="C320" s="1">
        <v>5</v>
      </c>
      <c r="D320" t="s">
        <v>13</v>
      </c>
      <c r="E320" t="s">
        <v>26</v>
      </c>
      <c r="F320" t="s">
        <v>27</v>
      </c>
      <c r="G320" t="s">
        <v>29</v>
      </c>
      <c r="H320" t="s">
        <v>17</v>
      </c>
      <c r="I320" s="3">
        <v>18363</v>
      </c>
      <c r="J320" t="b">
        <v>1</v>
      </c>
      <c r="K320" t="b">
        <v>1</v>
      </c>
      <c r="L320" t="b">
        <v>0</v>
      </c>
    </row>
    <row r="321" spans="1:12" x14ac:dyDescent="0.3">
      <c r="A321">
        <v>44</v>
      </c>
      <c r="B321" t="s">
        <v>18</v>
      </c>
      <c r="C321" s="1">
        <v>4</v>
      </c>
      <c r="D321" t="s">
        <v>28</v>
      </c>
      <c r="E321" t="s">
        <v>20</v>
      </c>
      <c r="F321" t="s">
        <v>15</v>
      </c>
      <c r="G321" t="s">
        <v>29</v>
      </c>
      <c r="H321" t="s">
        <v>17</v>
      </c>
      <c r="I321" s="3">
        <v>16719</v>
      </c>
      <c r="J321" t="b">
        <v>0</v>
      </c>
      <c r="K321" t="b">
        <v>1</v>
      </c>
      <c r="L321" t="b">
        <v>0</v>
      </c>
    </row>
    <row r="322" spans="1:12" x14ac:dyDescent="0.3">
      <c r="A322">
        <v>44</v>
      </c>
      <c r="B322" t="s">
        <v>12</v>
      </c>
      <c r="C322" s="1">
        <v>8</v>
      </c>
      <c r="D322" t="s">
        <v>28</v>
      </c>
      <c r="E322" t="s">
        <v>20</v>
      </c>
      <c r="F322" t="s">
        <v>27</v>
      </c>
      <c r="G322" t="s">
        <v>16</v>
      </c>
      <c r="H322" t="s">
        <v>24</v>
      </c>
      <c r="I322" s="3">
        <v>15073</v>
      </c>
      <c r="J322" t="b">
        <v>1</v>
      </c>
      <c r="K322" t="b">
        <v>1</v>
      </c>
      <c r="L322" t="b">
        <v>0</v>
      </c>
    </row>
    <row r="323" spans="1:12" x14ac:dyDescent="0.3">
      <c r="A323">
        <v>51</v>
      </c>
      <c r="B323" t="s">
        <v>18</v>
      </c>
      <c r="C323" s="1">
        <v>8</v>
      </c>
      <c r="D323" t="s">
        <v>19</v>
      </c>
      <c r="E323" t="s">
        <v>26</v>
      </c>
      <c r="F323" t="s">
        <v>22</v>
      </c>
      <c r="G323" t="s">
        <v>23</v>
      </c>
      <c r="H323" t="s">
        <v>24</v>
      </c>
      <c r="I323" s="3">
        <v>18012</v>
      </c>
      <c r="J323" t="b">
        <v>1</v>
      </c>
      <c r="K323" t="b">
        <v>0</v>
      </c>
      <c r="L323" t="b">
        <v>0</v>
      </c>
    </row>
    <row r="324" spans="1:12" x14ac:dyDescent="0.3">
      <c r="A324">
        <v>38</v>
      </c>
      <c r="B324" t="s">
        <v>12</v>
      </c>
      <c r="C324" s="1">
        <v>1</v>
      </c>
      <c r="D324" t="s">
        <v>13</v>
      </c>
      <c r="E324" t="s">
        <v>26</v>
      </c>
      <c r="F324" t="s">
        <v>22</v>
      </c>
      <c r="G324" t="s">
        <v>23</v>
      </c>
      <c r="H324" t="s">
        <v>21</v>
      </c>
      <c r="I324" s="3">
        <v>11645</v>
      </c>
      <c r="J324" t="b">
        <v>1</v>
      </c>
      <c r="K324" t="b">
        <v>1</v>
      </c>
      <c r="L324" t="b">
        <v>1</v>
      </c>
    </row>
    <row r="325" spans="1:12" x14ac:dyDescent="0.3">
      <c r="A325">
        <v>47</v>
      </c>
      <c r="B325" t="s">
        <v>25</v>
      </c>
      <c r="C325" s="1">
        <v>9</v>
      </c>
      <c r="D325" t="s">
        <v>13</v>
      </c>
      <c r="E325" t="s">
        <v>14</v>
      </c>
      <c r="F325" t="s">
        <v>22</v>
      </c>
      <c r="G325" t="s">
        <v>23</v>
      </c>
      <c r="H325" t="s">
        <v>17</v>
      </c>
      <c r="I325" s="3">
        <v>18249</v>
      </c>
      <c r="J325" t="b">
        <v>1</v>
      </c>
      <c r="K325" t="b">
        <v>1</v>
      </c>
      <c r="L325" t="b">
        <v>1</v>
      </c>
    </row>
    <row r="326" spans="1:12" x14ac:dyDescent="0.3">
      <c r="A326">
        <v>50</v>
      </c>
      <c r="B326" t="s">
        <v>18</v>
      </c>
      <c r="C326" s="1">
        <v>5</v>
      </c>
      <c r="D326" t="s">
        <v>19</v>
      </c>
      <c r="E326" t="s">
        <v>26</v>
      </c>
      <c r="F326" t="s">
        <v>22</v>
      </c>
      <c r="G326" t="s">
        <v>23</v>
      </c>
      <c r="H326" t="s">
        <v>17</v>
      </c>
      <c r="I326" s="3">
        <v>11129</v>
      </c>
      <c r="J326" t="b">
        <v>1</v>
      </c>
      <c r="K326" t="b">
        <v>1</v>
      </c>
      <c r="L326" t="b">
        <v>0</v>
      </c>
    </row>
    <row r="327" spans="1:12" x14ac:dyDescent="0.3">
      <c r="A327">
        <v>45</v>
      </c>
      <c r="B327" t="s">
        <v>18</v>
      </c>
      <c r="C327" s="1">
        <v>4</v>
      </c>
      <c r="D327" t="s">
        <v>13</v>
      </c>
      <c r="E327" t="s">
        <v>14</v>
      </c>
      <c r="F327" t="s">
        <v>15</v>
      </c>
      <c r="G327" t="s">
        <v>16</v>
      </c>
      <c r="H327" t="s">
        <v>24</v>
      </c>
      <c r="I327" s="3">
        <v>11353</v>
      </c>
      <c r="J327" t="b">
        <v>0</v>
      </c>
      <c r="K327" t="b">
        <v>1</v>
      </c>
      <c r="L327" t="b">
        <v>1</v>
      </c>
    </row>
    <row r="328" spans="1:12" x14ac:dyDescent="0.3">
      <c r="A328">
        <v>64</v>
      </c>
      <c r="B328" t="s">
        <v>12</v>
      </c>
      <c r="C328" s="1">
        <v>6</v>
      </c>
      <c r="D328" t="s">
        <v>13</v>
      </c>
      <c r="E328" t="s">
        <v>26</v>
      </c>
      <c r="F328" t="s">
        <v>27</v>
      </c>
      <c r="G328" t="s">
        <v>16</v>
      </c>
      <c r="H328" t="s">
        <v>21</v>
      </c>
      <c r="I328" s="3">
        <v>10767</v>
      </c>
      <c r="J328" t="b">
        <v>0</v>
      </c>
      <c r="K328" t="b">
        <v>0</v>
      </c>
      <c r="L328" t="b">
        <v>0</v>
      </c>
    </row>
    <row r="329" spans="1:12" x14ac:dyDescent="0.3">
      <c r="A329">
        <v>50</v>
      </c>
      <c r="B329" t="s">
        <v>18</v>
      </c>
      <c r="C329" s="1">
        <v>6</v>
      </c>
      <c r="D329" t="s">
        <v>13</v>
      </c>
      <c r="E329" t="s">
        <v>26</v>
      </c>
      <c r="F329" t="s">
        <v>22</v>
      </c>
      <c r="G329" t="s">
        <v>16</v>
      </c>
      <c r="H329" t="s">
        <v>21</v>
      </c>
      <c r="I329" s="3">
        <v>13895</v>
      </c>
      <c r="J329" t="b">
        <v>1</v>
      </c>
      <c r="K329" t="b">
        <v>0</v>
      </c>
      <c r="L329" t="b">
        <v>0</v>
      </c>
    </row>
    <row r="330" spans="1:12" x14ac:dyDescent="0.3">
      <c r="A330">
        <v>22</v>
      </c>
      <c r="B330" t="s">
        <v>18</v>
      </c>
      <c r="C330" s="1">
        <v>2</v>
      </c>
      <c r="D330" t="s">
        <v>13</v>
      </c>
      <c r="E330" t="s">
        <v>14</v>
      </c>
      <c r="F330" t="s">
        <v>15</v>
      </c>
      <c r="G330" t="s">
        <v>29</v>
      </c>
      <c r="H330" t="s">
        <v>24</v>
      </c>
      <c r="I330" s="3">
        <v>18874</v>
      </c>
      <c r="J330" t="b">
        <v>1</v>
      </c>
      <c r="K330" t="b">
        <v>0</v>
      </c>
      <c r="L330" t="b">
        <v>1</v>
      </c>
    </row>
    <row r="331" spans="1:12" x14ac:dyDescent="0.3">
      <c r="A331">
        <v>36</v>
      </c>
      <c r="B331" t="s">
        <v>25</v>
      </c>
      <c r="C331" s="1">
        <v>8</v>
      </c>
      <c r="D331" t="s">
        <v>13</v>
      </c>
      <c r="E331" t="s">
        <v>26</v>
      </c>
      <c r="F331" t="s">
        <v>22</v>
      </c>
      <c r="G331" t="s">
        <v>29</v>
      </c>
      <c r="H331" t="s">
        <v>17</v>
      </c>
      <c r="I331" s="3">
        <v>13454</v>
      </c>
      <c r="J331" t="b">
        <v>0</v>
      </c>
      <c r="K331" t="b">
        <v>1</v>
      </c>
      <c r="L331" t="b">
        <v>1</v>
      </c>
    </row>
    <row r="332" spans="1:12" x14ac:dyDescent="0.3">
      <c r="A332">
        <v>21</v>
      </c>
      <c r="B332" t="s">
        <v>18</v>
      </c>
      <c r="C332" s="1">
        <v>7</v>
      </c>
      <c r="D332" t="s">
        <v>19</v>
      </c>
      <c r="E332" t="s">
        <v>14</v>
      </c>
      <c r="F332" t="s">
        <v>22</v>
      </c>
      <c r="G332" t="s">
        <v>29</v>
      </c>
      <c r="H332" t="s">
        <v>24</v>
      </c>
      <c r="I332" s="3">
        <v>17329</v>
      </c>
      <c r="J332" t="b">
        <v>0</v>
      </c>
      <c r="K332" t="b">
        <v>0</v>
      </c>
      <c r="L332" t="b">
        <v>0</v>
      </c>
    </row>
    <row r="333" spans="1:12" x14ac:dyDescent="0.3">
      <c r="A333">
        <v>52</v>
      </c>
      <c r="B333" t="s">
        <v>25</v>
      </c>
      <c r="C333" s="1">
        <v>1</v>
      </c>
      <c r="D333" t="s">
        <v>13</v>
      </c>
      <c r="E333" t="s">
        <v>26</v>
      </c>
      <c r="F333" t="s">
        <v>15</v>
      </c>
      <c r="G333" t="s">
        <v>23</v>
      </c>
      <c r="H333" t="s">
        <v>24</v>
      </c>
      <c r="I333" s="3">
        <v>11790</v>
      </c>
      <c r="J333" t="b">
        <v>1</v>
      </c>
      <c r="K333" t="b">
        <v>0</v>
      </c>
      <c r="L333" t="b">
        <v>1</v>
      </c>
    </row>
    <row r="334" spans="1:12" x14ac:dyDescent="0.3">
      <c r="A334">
        <v>34</v>
      </c>
      <c r="B334" t="s">
        <v>12</v>
      </c>
      <c r="C334" s="1">
        <v>5</v>
      </c>
      <c r="D334" t="s">
        <v>19</v>
      </c>
      <c r="E334" t="s">
        <v>20</v>
      </c>
      <c r="F334" t="s">
        <v>15</v>
      </c>
      <c r="G334" t="s">
        <v>29</v>
      </c>
      <c r="H334" t="s">
        <v>24</v>
      </c>
      <c r="I334" s="3">
        <v>19669</v>
      </c>
      <c r="J334" t="b">
        <v>1</v>
      </c>
      <c r="K334" t="b">
        <v>1</v>
      </c>
      <c r="L334" t="b">
        <v>0</v>
      </c>
    </row>
    <row r="335" spans="1:12" x14ac:dyDescent="0.3">
      <c r="A335">
        <v>61</v>
      </c>
      <c r="B335" t="s">
        <v>18</v>
      </c>
      <c r="C335" s="1">
        <v>6</v>
      </c>
      <c r="D335" t="s">
        <v>13</v>
      </c>
      <c r="E335" t="s">
        <v>26</v>
      </c>
      <c r="F335" t="s">
        <v>27</v>
      </c>
      <c r="G335" t="s">
        <v>23</v>
      </c>
      <c r="H335" t="s">
        <v>24</v>
      </c>
      <c r="I335" s="3">
        <v>10885</v>
      </c>
      <c r="J335" t="b">
        <v>0</v>
      </c>
      <c r="K335" t="b">
        <v>0</v>
      </c>
      <c r="L335" t="b">
        <v>1</v>
      </c>
    </row>
    <row r="336" spans="1:12" x14ac:dyDescent="0.3">
      <c r="A336">
        <v>45</v>
      </c>
      <c r="B336" t="s">
        <v>25</v>
      </c>
      <c r="C336" s="1">
        <v>4</v>
      </c>
      <c r="D336" t="s">
        <v>28</v>
      </c>
      <c r="E336" t="s">
        <v>14</v>
      </c>
      <c r="F336" t="s">
        <v>27</v>
      </c>
      <c r="G336" t="s">
        <v>29</v>
      </c>
      <c r="H336" t="s">
        <v>17</v>
      </c>
      <c r="I336" s="3">
        <v>17734</v>
      </c>
      <c r="J336" t="b">
        <v>1</v>
      </c>
      <c r="K336" t="b">
        <v>1</v>
      </c>
      <c r="L336" t="b">
        <v>1</v>
      </c>
    </row>
    <row r="337" spans="1:12" x14ac:dyDescent="0.3">
      <c r="A337">
        <v>47</v>
      </c>
      <c r="B337" t="s">
        <v>12</v>
      </c>
      <c r="C337" s="1">
        <v>2</v>
      </c>
      <c r="D337" t="s">
        <v>28</v>
      </c>
      <c r="E337" t="s">
        <v>26</v>
      </c>
      <c r="F337" t="s">
        <v>22</v>
      </c>
      <c r="G337" t="s">
        <v>23</v>
      </c>
      <c r="H337" t="s">
        <v>24</v>
      </c>
      <c r="I337" s="3">
        <v>13906</v>
      </c>
      <c r="J337" t="b">
        <v>0</v>
      </c>
      <c r="K337" t="b">
        <v>0</v>
      </c>
      <c r="L337" t="b">
        <v>1</v>
      </c>
    </row>
    <row r="338" spans="1:12" x14ac:dyDescent="0.3">
      <c r="A338">
        <v>46</v>
      </c>
      <c r="B338" t="s">
        <v>18</v>
      </c>
      <c r="C338" s="1">
        <v>4</v>
      </c>
      <c r="D338" t="s">
        <v>28</v>
      </c>
      <c r="E338" t="s">
        <v>14</v>
      </c>
      <c r="F338" t="s">
        <v>22</v>
      </c>
      <c r="G338" t="s">
        <v>29</v>
      </c>
      <c r="H338" t="s">
        <v>17</v>
      </c>
      <c r="I338" s="3">
        <v>14492</v>
      </c>
      <c r="J338" t="b">
        <v>1</v>
      </c>
      <c r="K338" t="b">
        <v>0</v>
      </c>
      <c r="L338" t="b">
        <v>1</v>
      </c>
    </row>
    <row r="339" spans="1:12" x14ac:dyDescent="0.3">
      <c r="A339">
        <v>63</v>
      </c>
      <c r="B339" t="s">
        <v>12</v>
      </c>
      <c r="C339" s="1">
        <v>1</v>
      </c>
      <c r="D339" t="s">
        <v>28</v>
      </c>
      <c r="E339" t="s">
        <v>14</v>
      </c>
      <c r="F339" t="s">
        <v>27</v>
      </c>
      <c r="G339" t="s">
        <v>29</v>
      </c>
      <c r="H339" t="s">
        <v>24</v>
      </c>
      <c r="I339" s="3">
        <v>19730</v>
      </c>
      <c r="J339" t="b">
        <v>0</v>
      </c>
      <c r="K339" t="b">
        <v>0</v>
      </c>
      <c r="L339" t="b">
        <v>1</v>
      </c>
    </row>
    <row r="340" spans="1:12" x14ac:dyDescent="0.3">
      <c r="A340">
        <v>23</v>
      </c>
      <c r="B340" t="s">
        <v>18</v>
      </c>
      <c r="C340" s="1">
        <v>7</v>
      </c>
      <c r="D340" t="s">
        <v>19</v>
      </c>
      <c r="E340" t="s">
        <v>20</v>
      </c>
      <c r="F340" t="s">
        <v>27</v>
      </c>
      <c r="G340" t="s">
        <v>16</v>
      </c>
      <c r="H340" t="s">
        <v>21</v>
      </c>
      <c r="I340" s="3">
        <v>12073</v>
      </c>
      <c r="J340" t="b">
        <v>0</v>
      </c>
      <c r="K340" t="b">
        <v>0</v>
      </c>
      <c r="L340" t="b">
        <v>0</v>
      </c>
    </row>
    <row r="341" spans="1:12" x14ac:dyDescent="0.3">
      <c r="A341">
        <v>52</v>
      </c>
      <c r="B341" t="s">
        <v>12</v>
      </c>
      <c r="C341" s="1">
        <v>2</v>
      </c>
      <c r="D341" t="s">
        <v>19</v>
      </c>
      <c r="E341" t="s">
        <v>20</v>
      </c>
      <c r="F341" t="s">
        <v>15</v>
      </c>
      <c r="G341" t="s">
        <v>29</v>
      </c>
      <c r="H341" t="s">
        <v>17</v>
      </c>
      <c r="I341" s="3">
        <v>10312</v>
      </c>
      <c r="J341" t="b">
        <v>1</v>
      </c>
      <c r="K341" t="b">
        <v>1</v>
      </c>
      <c r="L341" t="b">
        <v>1</v>
      </c>
    </row>
    <row r="342" spans="1:12" x14ac:dyDescent="0.3">
      <c r="A342">
        <v>58</v>
      </c>
      <c r="B342" t="s">
        <v>12</v>
      </c>
      <c r="C342" s="1">
        <v>2</v>
      </c>
      <c r="D342" t="s">
        <v>13</v>
      </c>
      <c r="E342" t="s">
        <v>14</v>
      </c>
      <c r="F342" t="s">
        <v>27</v>
      </c>
      <c r="G342" t="s">
        <v>29</v>
      </c>
      <c r="H342" t="s">
        <v>21</v>
      </c>
      <c r="I342" s="3">
        <v>16269</v>
      </c>
      <c r="J342" t="b">
        <v>0</v>
      </c>
      <c r="K342" t="b">
        <v>1</v>
      </c>
      <c r="L342" t="b">
        <v>1</v>
      </c>
    </row>
    <row r="343" spans="1:12" x14ac:dyDescent="0.3">
      <c r="A343">
        <v>54</v>
      </c>
      <c r="B343" t="s">
        <v>25</v>
      </c>
      <c r="C343" s="1">
        <v>9</v>
      </c>
      <c r="D343" t="s">
        <v>28</v>
      </c>
      <c r="E343" t="s">
        <v>26</v>
      </c>
      <c r="F343" t="s">
        <v>27</v>
      </c>
      <c r="G343" t="s">
        <v>16</v>
      </c>
      <c r="H343" t="s">
        <v>24</v>
      </c>
      <c r="I343" s="3">
        <v>15317</v>
      </c>
      <c r="J343" t="b">
        <v>1</v>
      </c>
      <c r="K343" t="b">
        <v>0</v>
      </c>
      <c r="L343" t="b">
        <v>0</v>
      </c>
    </row>
    <row r="344" spans="1:12" x14ac:dyDescent="0.3">
      <c r="A344">
        <v>41</v>
      </c>
      <c r="B344" t="s">
        <v>12</v>
      </c>
      <c r="C344" s="1">
        <v>5</v>
      </c>
      <c r="D344" t="s">
        <v>19</v>
      </c>
      <c r="E344" t="s">
        <v>14</v>
      </c>
      <c r="F344" t="s">
        <v>22</v>
      </c>
      <c r="G344" t="s">
        <v>23</v>
      </c>
      <c r="H344" t="s">
        <v>24</v>
      </c>
      <c r="I344" s="3">
        <v>10810</v>
      </c>
      <c r="J344" t="b">
        <v>1</v>
      </c>
      <c r="K344" t="b">
        <v>1</v>
      </c>
      <c r="L344" t="b">
        <v>0</v>
      </c>
    </row>
    <row r="345" spans="1:12" x14ac:dyDescent="0.3">
      <c r="A345">
        <v>46</v>
      </c>
      <c r="B345" t="s">
        <v>18</v>
      </c>
      <c r="C345" s="1">
        <v>2</v>
      </c>
      <c r="D345" t="s">
        <v>13</v>
      </c>
      <c r="E345" t="s">
        <v>14</v>
      </c>
      <c r="F345" t="s">
        <v>27</v>
      </c>
      <c r="G345" t="s">
        <v>16</v>
      </c>
      <c r="H345" t="s">
        <v>24</v>
      </c>
      <c r="I345" s="3">
        <v>16841</v>
      </c>
      <c r="J345" t="b">
        <v>1</v>
      </c>
      <c r="K345" t="b">
        <v>0</v>
      </c>
      <c r="L345" t="b">
        <v>0</v>
      </c>
    </row>
    <row r="346" spans="1:12" x14ac:dyDescent="0.3">
      <c r="A346">
        <v>63</v>
      </c>
      <c r="B346" t="s">
        <v>18</v>
      </c>
      <c r="C346" s="1">
        <v>9</v>
      </c>
      <c r="D346" t="s">
        <v>13</v>
      </c>
      <c r="E346" t="s">
        <v>26</v>
      </c>
      <c r="F346" t="s">
        <v>22</v>
      </c>
      <c r="G346" t="s">
        <v>16</v>
      </c>
      <c r="H346" t="s">
        <v>17</v>
      </c>
      <c r="I346" s="3">
        <v>12032</v>
      </c>
      <c r="J346" t="b">
        <v>1</v>
      </c>
      <c r="K346" t="b">
        <v>0</v>
      </c>
      <c r="L346" t="b">
        <v>1</v>
      </c>
    </row>
    <row r="347" spans="1:12" x14ac:dyDescent="0.3">
      <c r="A347">
        <v>48</v>
      </c>
      <c r="B347" t="s">
        <v>25</v>
      </c>
      <c r="C347" s="1">
        <v>9</v>
      </c>
      <c r="D347" t="s">
        <v>19</v>
      </c>
      <c r="E347" t="s">
        <v>26</v>
      </c>
      <c r="F347" t="s">
        <v>27</v>
      </c>
      <c r="G347" t="s">
        <v>23</v>
      </c>
      <c r="H347" t="s">
        <v>21</v>
      </c>
      <c r="I347" s="3">
        <v>19699</v>
      </c>
      <c r="J347" t="b">
        <v>0</v>
      </c>
      <c r="K347" t="b">
        <v>0</v>
      </c>
      <c r="L347" t="b">
        <v>1</v>
      </c>
    </row>
    <row r="348" spans="1:12" x14ac:dyDescent="0.3">
      <c r="A348">
        <v>52</v>
      </c>
      <c r="B348" t="s">
        <v>18</v>
      </c>
      <c r="C348" s="1">
        <v>1</v>
      </c>
      <c r="D348" t="s">
        <v>28</v>
      </c>
      <c r="E348" t="s">
        <v>26</v>
      </c>
      <c r="F348" t="s">
        <v>15</v>
      </c>
      <c r="G348" t="s">
        <v>29</v>
      </c>
      <c r="H348" t="s">
        <v>17</v>
      </c>
      <c r="I348" s="3">
        <v>17129</v>
      </c>
      <c r="J348" t="b">
        <v>1</v>
      </c>
      <c r="K348" t="b">
        <v>0</v>
      </c>
      <c r="L348" t="b">
        <v>0</v>
      </c>
    </row>
    <row r="349" spans="1:12" x14ac:dyDescent="0.3">
      <c r="A349">
        <v>50</v>
      </c>
      <c r="B349" t="s">
        <v>18</v>
      </c>
      <c r="C349" s="1">
        <v>3</v>
      </c>
      <c r="D349" t="s">
        <v>13</v>
      </c>
      <c r="E349" t="s">
        <v>26</v>
      </c>
      <c r="F349" t="s">
        <v>27</v>
      </c>
      <c r="G349" t="s">
        <v>23</v>
      </c>
      <c r="H349" t="s">
        <v>17</v>
      </c>
      <c r="I349" s="3">
        <v>12705</v>
      </c>
      <c r="J349" t="b">
        <v>1</v>
      </c>
      <c r="K349" t="b">
        <v>0</v>
      </c>
      <c r="L349" t="b">
        <v>0</v>
      </c>
    </row>
    <row r="350" spans="1:12" x14ac:dyDescent="0.3">
      <c r="A350">
        <v>38</v>
      </c>
      <c r="B350" t="s">
        <v>18</v>
      </c>
      <c r="C350" s="1">
        <v>4</v>
      </c>
      <c r="D350" t="s">
        <v>28</v>
      </c>
      <c r="E350" t="s">
        <v>14</v>
      </c>
      <c r="F350" t="s">
        <v>27</v>
      </c>
      <c r="G350" t="s">
        <v>29</v>
      </c>
      <c r="H350" t="s">
        <v>24</v>
      </c>
      <c r="I350" s="3">
        <v>18788</v>
      </c>
      <c r="J350" t="b">
        <v>1</v>
      </c>
      <c r="K350" t="b">
        <v>0</v>
      </c>
      <c r="L350" t="b">
        <v>0</v>
      </c>
    </row>
    <row r="351" spans="1:12" x14ac:dyDescent="0.3">
      <c r="A351">
        <v>49</v>
      </c>
      <c r="B351" t="s">
        <v>12</v>
      </c>
      <c r="C351" s="1">
        <v>7</v>
      </c>
      <c r="D351" t="s">
        <v>28</v>
      </c>
      <c r="E351" t="s">
        <v>14</v>
      </c>
      <c r="F351" t="s">
        <v>27</v>
      </c>
      <c r="G351" t="s">
        <v>29</v>
      </c>
      <c r="H351" t="s">
        <v>21</v>
      </c>
      <c r="I351" s="3">
        <v>12147</v>
      </c>
      <c r="J351" t="b">
        <v>1</v>
      </c>
      <c r="K351" t="b">
        <v>1</v>
      </c>
      <c r="L351" t="b">
        <v>0</v>
      </c>
    </row>
    <row r="352" spans="1:12" x14ac:dyDescent="0.3">
      <c r="A352">
        <v>40</v>
      </c>
      <c r="B352" t="s">
        <v>12</v>
      </c>
      <c r="C352" s="1">
        <v>4</v>
      </c>
      <c r="D352" t="s">
        <v>28</v>
      </c>
      <c r="E352" t="s">
        <v>20</v>
      </c>
      <c r="F352" t="s">
        <v>22</v>
      </c>
      <c r="G352" t="s">
        <v>23</v>
      </c>
      <c r="H352" t="s">
        <v>24</v>
      </c>
      <c r="I352" s="3">
        <v>10615</v>
      </c>
      <c r="J352" t="b">
        <v>0</v>
      </c>
      <c r="K352" t="b">
        <v>1</v>
      </c>
      <c r="L352" t="b">
        <v>1</v>
      </c>
    </row>
    <row r="353" spans="1:12" x14ac:dyDescent="0.3">
      <c r="A353">
        <v>50</v>
      </c>
      <c r="B353" t="s">
        <v>18</v>
      </c>
      <c r="C353" s="1">
        <v>2</v>
      </c>
      <c r="D353" t="s">
        <v>13</v>
      </c>
      <c r="E353" t="s">
        <v>14</v>
      </c>
      <c r="F353" t="s">
        <v>15</v>
      </c>
      <c r="G353" t="s">
        <v>16</v>
      </c>
      <c r="H353" t="s">
        <v>17</v>
      </c>
      <c r="I353" s="3">
        <v>10947</v>
      </c>
      <c r="J353" t="b">
        <v>1</v>
      </c>
      <c r="K353" t="b">
        <v>0</v>
      </c>
      <c r="L353" t="b">
        <v>1</v>
      </c>
    </row>
    <row r="354" spans="1:12" x14ac:dyDescent="0.3">
      <c r="A354">
        <v>20</v>
      </c>
      <c r="B354" t="s">
        <v>25</v>
      </c>
      <c r="C354" s="1">
        <v>7</v>
      </c>
      <c r="D354" t="s">
        <v>28</v>
      </c>
      <c r="E354" t="s">
        <v>26</v>
      </c>
      <c r="F354" t="s">
        <v>27</v>
      </c>
      <c r="G354" t="s">
        <v>23</v>
      </c>
      <c r="H354" t="s">
        <v>24</v>
      </c>
      <c r="I354" s="3">
        <v>15677</v>
      </c>
      <c r="J354" t="b">
        <v>0</v>
      </c>
      <c r="K354" t="b">
        <v>1</v>
      </c>
      <c r="L354" t="b">
        <v>1</v>
      </c>
    </row>
    <row r="355" spans="1:12" x14ac:dyDescent="0.3">
      <c r="A355">
        <v>35</v>
      </c>
      <c r="B355" t="s">
        <v>12</v>
      </c>
      <c r="C355" s="1">
        <v>6</v>
      </c>
      <c r="D355" t="s">
        <v>13</v>
      </c>
      <c r="E355" t="s">
        <v>20</v>
      </c>
      <c r="F355" t="s">
        <v>22</v>
      </c>
      <c r="G355" t="s">
        <v>29</v>
      </c>
      <c r="H355" t="s">
        <v>21</v>
      </c>
      <c r="I355" s="3">
        <v>14651</v>
      </c>
      <c r="J355" t="b">
        <v>0</v>
      </c>
      <c r="K355" t="b">
        <v>0</v>
      </c>
      <c r="L355" t="b">
        <v>1</v>
      </c>
    </row>
    <row r="356" spans="1:12" x14ac:dyDescent="0.3">
      <c r="A356">
        <v>42</v>
      </c>
      <c r="B356" t="s">
        <v>25</v>
      </c>
      <c r="C356" s="1">
        <v>3</v>
      </c>
      <c r="D356" t="s">
        <v>28</v>
      </c>
      <c r="E356" t="s">
        <v>26</v>
      </c>
      <c r="F356" t="s">
        <v>15</v>
      </c>
      <c r="G356" t="s">
        <v>23</v>
      </c>
      <c r="H356" t="s">
        <v>24</v>
      </c>
      <c r="I356" s="3">
        <v>17866</v>
      </c>
      <c r="J356" t="b">
        <v>0</v>
      </c>
      <c r="K356" t="b">
        <v>1</v>
      </c>
      <c r="L356" t="b">
        <v>1</v>
      </c>
    </row>
    <row r="357" spans="1:12" x14ac:dyDescent="0.3">
      <c r="A357">
        <v>59</v>
      </c>
      <c r="B357" t="s">
        <v>18</v>
      </c>
      <c r="C357" s="1">
        <v>6</v>
      </c>
      <c r="D357" t="s">
        <v>13</v>
      </c>
      <c r="E357" t="s">
        <v>14</v>
      </c>
      <c r="F357" t="s">
        <v>22</v>
      </c>
      <c r="G357" t="s">
        <v>23</v>
      </c>
      <c r="H357" t="s">
        <v>21</v>
      </c>
      <c r="I357" s="3">
        <v>12013</v>
      </c>
      <c r="J357" t="b">
        <v>1</v>
      </c>
      <c r="K357" t="b">
        <v>1</v>
      </c>
      <c r="L357" t="b">
        <v>0</v>
      </c>
    </row>
    <row r="358" spans="1:12" x14ac:dyDescent="0.3">
      <c r="A358">
        <v>48</v>
      </c>
      <c r="B358" t="s">
        <v>18</v>
      </c>
      <c r="C358" s="1">
        <v>6</v>
      </c>
      <c r="D358" t="s">
        <v>28</v>
      </c>
      <c r="E358" t="s">
        <v>20</v>
      </c>
      <c r="F358" t="s">
        <v>22</v>
      </c>
      <c r="G358" t="s">
        <v>29</v>
      </c>
      <c r="H358" t="s">
        <v>21</v>
      </c>
      <c r="I358" s="3">
        <v>13697</v>
      </c>
      <c r="J358" t="b">
        <v>1</v>
      </c>
      <c r="K358" t="b">
        <v>1</v>
      </c>
      <c r="L358" t="b">
        <v>1</v>
      </c>
    </row>
    <row r="359" spans="1:12" x14ac:dyDescent="0.3">
      <c r="A359">
        <v>20</v>
      </c>
      <c r="B359" t="s">
        <v>12</v>
      </c>
      <c r="C359" s="1">
        <v>5</v>
      </c>
      <c r="D359" t="s">
        <v>19</v>
      </c>
      <c r="E359" t="s">
        <v>26</v>
      </c>
      <c r="F359" t="s">
        <v>15</v>
      </c>
      <c r="G359" t="s">
        <v>16</v>
      </c>
      <c r="H359" t="s">
        <v>24</v>
      </c>
      <c r="I359" s="3">
        <v>10490</v>
      </c>
      <c r="J359" t="b">
        <v>1</v>
      </c>
      <c r="K359" t="b">
        <v>0</v>
      </c>
      <c r="L359" t="b">
        <v>0</v>
      </c>
    </row>
    <row r="360" spans="1:12" x14ac:dyDescent="0.3">
      <c r="A360">
        <v>57</v>
      </c>
      <c r="B360" t="s">
        <v>18</v>
      </c>
      <c r="C360" s="1">
        <v>4</v>
      </c>
      <c r="D360" t="s">
        <v>28</v>
      </c>
      <c r="E360" t="s">
        <v>20</v>
      </c>
      <c r="F360" t="s">
        <v>27</v>
      </c>
      <c r="G360" t="s">
        <v>23</v>
      </c>
      <c r="H360" t="s">
        <v>17</v>
      </c>
      <c r="I360" s="3">
        <v>14350</v>
      </c>
      <c r="J360" t="b">
        <v>1</v>
      </c>
      <c r="K360" t="b">
        <v>1</v>
      </c>
      <c r="L360" t="b">
        <v>0</v>
      </c>
    </row>
    <row r="361" spans="1:12" x14ac:dyDescent="0.3">
      <c r="A361">
        <v>63</v>
      </c>
      <c r="B361" t="s">
        <v>12</v>
      </c>
      <c r="C361" s="1">
        <v>1</v>
      </c>
      <c r="D361" t="s">
        <v>28</v>
      </c>
      <c r="E361" t="s">
        <v>20</v>
      </c>
      <c r="F361" t="s">
        <v>22</v>
      </c>
      <c r="G361" t="s">
        <v>29</v>
      </c>
      <c r="H361" t="s">
        <v>24</v>
      </c>
      <c r="I361" s="3">
        <v>12428</v>
      </c>
      <c r="J361" t="b">
        <v>0</v>
      </c>
      <c r="K361" t="b">
        <v>0</v>
      </c>
      <c r="L361" t="b">
        <v>0</v>
      </c>
    </row>
    <row r="362" spans="1:12" x14ac:dyDescent="0.3">
      <c r="A362">
        <v>41</v>
      </c>
      <c r="B362" t="s">
        <v>18</v>
      </c>
      <c r="C362" s="1">
        <v>6</v>
      </c>
      <c r="D362" t="s">
        <v>13</v>
      </c>
      <c r="E362" t="s">
        <v>14</v>
      </c>
      <c r="F362" t="s">
        <v>22</v>
      </c>
      <c r="G362" t="s">
        <v>29</v>
      </c>
      <c r="H362" t="s">
        <v>17</v>
      </c>
      <c r="I362" s="3">
        <v>14987</v>
      </c>
      <c r="J362" t="b">
        <v>0</v>
      </c>
      <c r="K362" t="b">
        <v>0</v>
      </c>
      <c r="L362" t="b">
        <v>1</v>
      </c>
    </row>
    <row r="363" spans="1:12" x14ac:dyDescent="0.3">
      <c r="A363">
        <v>49</v>
      </c>
      <c r="B363" t="s">
        <v>18</v>
      </c>
      <c r="C363" s="1">
        <v>2</v>
      </c>
      <c r="D363" t="s">
        <v>13</v>
      </c>
      <c r="E363" t="s">
        <v>26</v>
      </c>
      <c r="F363" t="s">
        <v>27</v>
      </c>
      <c r="G363" t="s">
        <v>23</v>
      </c>
      <c r="H363" t="s">
        <v>17</v>
      </c>
      <c r="I363" s="3">
        <v>18733</v>
      </c>
      <c r="J363" t="b">
        <v>1</v>
      </c>
      <c r="K363" t="b">
        <v>0</v>
      </c>
      <c r="L363" t="b">
        <v>0</v>
      </c>
    </row>
    <row r="364" spans="1:12" x14ac:dyDescent="0.3">
      <c r="A364">
        <v>64</v>
      </c>
      <c r="B364" t="s">
        <v>12</v>
      </c>
      <c r="C364" s="1">
        <v>3</v>
      </c>
      <c r="D364" t="s">
        <v>28</v>
      </c>
      <c r="E364" t="s">
        <v>20</v>
      </c>
      <c r="F364" t="s">
        <v>27</v>
      </c>
      <c r="G364" t="s">
        <v>16</v>
      </c>
      <c r="H364" t="s">
        <v>24</v>
      </c>
      <c r="I364" s="3">
        <v>19479</v>
      </c>
      <c r="J364" t="b">
        <v>1</v>
      </c>
      <c r="K364" t="b">
        <v>1</v>
      </c>
      <c r="L364" t="b">
        <v>1</v>
      </c>
    </row>
    <row r="365" spans="1:12" x14ac:dyDescent="0.3">
      <c r="A365">
        <v>39</v>
      </c>
      <c r="B365" t="s">
        <v>12</v>
      </c>
      <c r="C365" s="1">
        <v>8</v>
      </c>
      <c r="D365" t="s">
        <v>19</v>
      </c>
      <c r="E365" t="s">
        <v>20</v>
      </c>
      <c r="F365" t="s">
        <v>15</v>
      </c>
      <c r="G365" t="s">
        <v>23</v>
      </c>
      <c r="H365" t="s">
        <v>17</v>
      </c>
      <c r="I365" s="3">
        <v>19825</v>
      </c>
      <c r="J365" t="b">
        <v>1</v>
      </c>
      <c r="K365" t="b">
        <v>1</v>
      </c>
      <c r="L365" t="b">
        <v>0</v>
      </c>
    </row>
    <row r="366" spans="1:12" x14ac:dyDescent="0.3">
      <c r="A366">
        <v>40</v>
      </c>
      <c r="B366" t="s">
        <v>12</v>
      </c>
      <c r="C366" s="1">
        <v>6</v>
      </c>
      <c r="D366" t="s">
        <v>19</v>
      </c>
      <c r="E366" t="s">
        <v>26</v>
      </c>
      <c r="F366" t="s">
        <v>15</v>
      </c>
      <c r="G366" t="s">
        <v>16</v>
      </c>
      <c r="H366" t="s">
        <v>17</v>
      </c>
      <c r="I366" s="3">
        <v>14920</v>
      </c>
      <c r="J366" t="b">
        <v>1</v>
      </c>
      <c r="K366" t="b">
        <v>1</v>
      </c>
      <c r="L366" t="b">
        <v>1</v>
      </c>
    </row>
    <row r="367" spans="1:12" x14ac:dyDescent="0.3">
      <c r="A367">
        <v>19</v>
      </c>
      <c r="B367" t="s">
        <v>18</v>
      </c>
      <c r="C367" s="1">
        <v>3</v>
      </c>
      <c r="D367" t="s">
        <v>13</v>
      </c>
      <c r="E367" t="s">
        <v>20</v>
      </c>
      <c r="F367" t="s">
        <v>15</v>
      </c>
      <c r="G367" t="s">
        <v>16</v>
      </c>
      <c r="H367" t="s">
        <v>24</v>
      </c>
      <c r="I367" s="3">
        <v>12926</v>
      </c>
      <c r="J367" t="b">
        <v>1</v>
      </c>
      <c r="K367" t="b">
        <v>0</v>
      </c>
      <c r="L367" t="b">
        <v>0</v>
      </c>
    </row>
    <row r="368" spans="1:12" x14ac:dyDescent="0.3">
      <c r="A368">
        <v>44</v>
      </c>
      <c r="B368" t="s">
        <v>18</v>
      </c>
      <c r="C368" s="1">
        <v>7</v>
      </c>
      <c r="D368" t="s">
        <v>19</v>
      </c>
      <c r="E368" t="s">
        <v>20</v>
      </c>
      <c r="F368" t="s">
        <v>27</v>
      </c>
      <c r="G368" t="s">
        <v>16</v>
      </c>
      <c r="H368" t="s">
        <v>24</v>
      </c>
      <c r="I368" s="3">
        <v>19544</v>
      </c>
      <c r="J368" t="b">
        <v>1</v>
      </c>
      <c r="K368" t="b">
        <v>0</v>
      </c>
      <c r="L368" t="b">
        <v>1</v>
      </c>
    </row>
    <row r="369" spans="1:12" x14ac:dyDescent="0.3">
      <c r="A369">
        <v>59</v>
      </c>
      <c r="B369" t="s">
        <v>25</v>
      </c>
      <c r="C369" s="1">
        <v>4</v>
      </c>
      <c r="D369" t="s">
        <v>28</v>
      </c>
      <c r="E369" t="s">
        <v>20</v>
      </c>
      <c r="F369" t="s">
        <v>22</v>
      </c>
      <c r="G369" t="s">
        <v>16</v>
      </c>
      <c r="H369" t="s">
        <v>24</v>
      </c>
      <c r="I369" s="3">
        <v>17282</v>
      </c>
      <c r="J369" t="b">
        <v>1</v>
      </c>
      <c r="K369" t="b">
        <v>1</v>
      </c>
      <c r="L369" t="b">
        <v>0</v>
      </c>
    </row>
    <row r="370" spans="1:12" x14ac:dyDescent="0.3">
      <c r="A370">
        <v>19</v>
      </c>
      <c r="B370" t="s">
        <v>12</v>
      </c>
      <c r="C370" s="1">
        <v>9</v>
      </c>
      <c r="D370" t="s">
        <v>13</v>
      </c>
      <c r="E370" t="s">
        <v>26</v>
      </c>
      <c r="F370" t="s">
        <v>22</v>
      </c>
      <c r="G370" t="s">
        <v>23</v>
      </c>
      <c r="H370" t="s">
        <v>17</v>
      </c>
      <c r="I370" s="3">
        <v>14376</v>
      </c>
      <c r="J370" t="b">
        <v>0</v>
      </c>
      <c r="K370" t="b">
        <v>0</v>
      </c>
      <c r="L370" t="b">
        <v>0</v>
      </c>
    </row>
    <row r="371" spans="1:12" x14ac:dyDescent="0.3">
      <c r="A371">
        <v>43</v>
      </c>
      <c r="B371" t="s">
        <v>18</v>
      </c>
      <c r="C371" s="1">
        <v>5</v>
      </c>
      <c r="D371" t="s">
        <v>28</v>
      </c>
      <c r="E371" t="s">
        <v>26</v>
      </c>
      <c r="F371" t="s">
        <v>15</v>
      </c>
      <c r="G371" t="s">
        <v>29</v>
      </c>
      <c r="H371" t="s">
        <v>21</v>
      </c>
      <c r="I371" s="3">
        <v>19490</v>
      </c>
      <c r="J371" t="b">
        <v>0</v>
      </c>
      <c r="K371" t="b">
        <v>1</v>
      </c>
      <c r="L371" t="b">
        <v>0</v>
      </c>
    </row>
    <row r="372" spans="1:12" x14ac:dyDescent="0.3">
      <c r="A372">
        <v>34</v>
      </c>
      <c r="B372" t="s">
        <v>18</v>
      </c>
      <c r="C372" s="1">
        <v>3</v>
      </c>
      <c r="D372" t="s">
        <v>13</v>
      </c>
      <c r="E372" t="s">
        <v>26</v>
      </c>
      <c r="F372" t="s">
        <v>27</v>
      </c>
      <c r="G372" t="s">
        <v>29</v>
      </c>
      <c r="H372" t="s">
        <v>17</v>
      </c>
      <c r="I372" s="3">
        <v>14868</v>
      </c>
      <c r="J372" t="b">
        <v>0</v>
      </c>
      <c r="K372" t="b">
        <v>1</v>
      </c>
      <c r="L372" t="b">
        <v>0</v>
      </c>
    </row>
    <row r="373" spans="1:12" x14ac:dyDescent="0.3">
      <c r="A373">
        <v>57</v>
      </c>
      <c r="B373" t="s">
        <v>12</v>
      </c>
      <c r="C373" s="1">
        <v>2</v>
      </c>
      <c r="D373" t="s">
        <v>13</v>
      </c>
      <c r="E373" t="s">
        <v>26</v>
      </c>
      <c r="F373" t="s">
        <v>22</v>
      </c>
      <c r="G373" t="s">
        <v>29</v>
      </c>
      <c r="H373" t="s">
        <v>21</v>
      </c>
      <c r="I373" s="3">
        <v>16986</v>
      </c>
      <c r="J373" t="b">
        <v>0</v>
      </c>
      <c r="K373" t="b">
        <v>1</v>
      </c>
      <c r="L373" t="b">
        <v>1</v>
      </c>
    </row>
    <row r="374" spans="1:12" x14ac:dyDescent="0.3">
      <c r="A374">
        <v>50</v>
      </c>
      <c r="B374" t="s">
        <v>25</v>
      </c>
      <c r="C374" s="1">
        <v>2</v>
      </c>
      <c r="D374" t="s">
        <v>13</v>
      </c>
      <c r="E374" t="s">
        <v>14</v>
      </c>
      <c r="F374" t="s">
        <v>15</v>
      </c>
      <c r="G374" t="s">
        <v>29</v>
      </c>
      <c r="H374" t="s">
        <v>24</v>
      </c>
      <c r="I374" s="3">
        <v>16862</v>
      </c>
      <c r="J374" t="b">
        <v>1</v>
      </c>
      <c r="K374" t="b">
        <v>1</v>
      </c>
      <c r="L374" t="b">
        <v>1</v>
      </c>
    </row>
    <row r="375" spans="1:12" x14ac:dyDescent="0.3">
      <c r="A375">
        <v>26</v>
      </c>
      <c r="B375" t="s">
        <v>12</v>
      </c>
      <c r="C375" s="1">
        <v>3</v>
      </c>
      <c r="D375" t="s">
        <v>13</v>
      </c>
      <c r="E375" t="s">
        <v>20</v>
      </c>
      <c r="F375" t="s">
        <v>22</v>
      </c>
      <c r="G375" t="s">
        <v>29</v>
      </c>
      <c r="H375" t="s">
        <v>21</v>
      </c>
      <c r="I375" s="3">
        <v>14423</v>
      </c>
      <c r="J375" t="b">
        <v>1</v>
      </c>
      <c r="K375" t="b">
        <v>0</v>
      </c>
      <c r="L375" t="b">
        <v>1</v>
      </c>
    </row>
    <row r="376" spans="1:12" x14ac:dyDescent="0.3">
      <c r="A376">
        <v>60</v>
      </c>
      <c r="B376" t="s">
        <v>25</v>
      </c>
      <c r="C376" s="1">
        <v>2</v>
      </c>
      <c r="D376" t="s">
        <v>19</v>
      </c>
      <c r="E376" t="s">
        <v>26</v>
      </c>
      <c r="F376" t="s">
        <v>22</v>
      </c>
      <c r="G376" t="s">
        <v>29</v>
      </c>
      <c r="H376" t="s">
        <v>24</v>
      </c>
      <c r="I376" s="3">
        <v>16870</v>
      </c>
      <c r="J376" t="b">
        <v>1</v>
      </c>
      <c r="K376" t="b">
        <v>1</v>
      </c>
      <c r="L376" t="b">
        <v>0</v>
      </c>
    </row>
    <row r="377" spans="1:12" x14ac:dyDescent="0.3">
      <c r="A377">
        <v>56</v>
      </c>
      <c r="B377" t="s">
        <v>18</v>
      </c>
      <c r="C377" s="1">
        <v>4</v>
      </c>
      <c r="D377" t="s">
        <v>28</v>
      </c>
      <c r="E377" t="s">
        <v>20</v>
      </c>
      <c r="F377" t="s">
        <v>27</v>
      </c>
      <c r="G377" t="s">
        <v>23</v>
      </c>
      <c r="H377" t="s">
        <v>24</v>
      </c>
      <c r="I377" s="3">
        <v>18159</v>
      </c>
      <c r="J377" t="b">
        <v>1</v>
      </c>
      <c r="K377" t="b">
        <v>1</v>
      </c>
      <c r="L377" t="b">
        <v>0</v>
      </c>
    </row>
    <row r="378" spans="1:12" x14ac:dyDescent="0.3">
      <c r="A378">
        <v>46</v>
      </c>
      <c r="B378" t="s">
        <v>25</v>
      </c>
      <c r="C378" s="1">
        <v>2</v>
      </c>
      <c r="D378" t="s">
        <v>28</v>
      </c>
      <c r="E378" t="s">
        <v>20</v>
      </c>
      <c r="F378" t="s">
        <v>27</v>
      </c>
      <c r="G378" t="s">
        <v>16</v>
      </c>
      <c r="H378" t="s">
        <v>21</v>
      </c>
      <c r="I378" s="3">
        <v>12073</v>
      </c>
      <c r="J378" t="b">
        <v>1</v>
      </c>
      <c r="K378" t="b">
        <v>1</v>
      </c>
      <c r="L378" t="b">
        <v>0</v>
      </c>
    </row>
    <row r="379" spans="1:12" x14ac:dyDescent="0.3">
      <c r="A379">
        <v>59</v>
      </c>
      <c r="B379" t="s">
        <v>18</v>
      </c>
      <c r="C379" s="1">
        <v>9</v>
      </c>
      <c r="D379" t="s">
        <v>28</v>
      </c>
      <c r="E379" t="s">
        <v>14</v>
      </c>
      <c r="F379" t="s">
        <v>22</v>
      </c>
      <c r="G379" t="s">
        <v>29</v>
      </c>
      <c r="H379" t="s">
        <v>24</v>
      </c>
      <c r="I379" s="3">
        <v>16170</v>
      </c>
      <c r="J379" t="b">
        <v>0</v>
      </c>
      <c r="K379" t="b">
        <v>1</v>
      </c>
      <c r="L379" t="b">
        <v>0</v>
      </c>
    </row>
    <row r="380" spans="1:12" x14ac:dyDescent="0.3">
      <c r="A380">
        <v>43</v>
      </c>
      <c r="B380" t="s">
        <v>12</v>
      </c>
      <c r="C380" s="1">
        <v>2</v>
      </c>
      <c r="D380" t="s">
        <v>13</v>
      </c>
      <c r="E380" t="s">
        <v>26</v>
      </c>
      <c r="F380" t="s">
        <v>15</v>
      </c>
      <c r="G380" t="s">
        <v>23</v>
      </c>
      <c r="H380" t="s">
        <v>21</v>
      </c>
      <c r="I380" s="3">
        <v>10701</v>
      </c>
      <c r="J380" t="b">
        <v>1</v>
      </c>
      <c r="K380" t="b">
        <v>1</v>
      </c>
      <c r="L380" t="b">
        <v>0</v>
      </c>
    </row>
    <row r="381" spans="1:12" x14ac:dyDescent="0.3">
      <c r="A381">
        <v>52</v>
      </c>
      <c r="B381" t="s">
        <v>12</v>
      </c>
      <c r="C381" s="1">
        <v>9</v>
      </c>
      <c r="D381" t="s">
        <v>19</v>
      </c>
      <c r="E381" t="s">
        <v>26</v>
      </c>
      <c r="F381" t="s">
        <v>27</v>
      </c>
      <c r="G381" t="s">
        <v>29</v>
      </c>
      <c r="H381" t="s">
        <v>24</v>
      </c>
      <c r="I381" s="3">
        <v>18113</v>
      </c>
      <c r="J381" t="b">
        <v>0</v>
      </c>
      <c r="K381" t="b">
        <v>1</v>
      </c>
      <c r="L381" t="b">
        <v>0</v>
      </c>
    </row>
    <row r="382" spans="1:12" x14ac:dyDescent="0.3">
      <c r="A382">
        <v>42</v>
      </c>
      <c r="B382" t="s">
        <v>12</v>
      </c>
      <c r="C382" s="1">
        <v>6</v>
      </c>
      <c r="D382" t="s">
        <v>28</v>
      </c>
      <c r="E382" t="s">
        <v>20</v>
      </c>
      <c r="F382" t="s">
        <v>22</v>
      </c>
      <c r="G382" t="s">
        <v>29</v>
      </c>
      <c r="H382" t="s">
        <v>17</v>
      </c>
      <c r="I382" s="3">
        <v>16825</v>
      </c>
      <c r="J382" t="b">
        <v>1</v>
      </c>
      <c r="K382" t="b">
        <v>1</v>
      </c>
      <c r="L382" t="b">
        <v>1</v>
      </c>
    </row>
    <row r="383" spans="1:12" x14ac:dyDescent="0.3">
      <c r="A383">
        <v>41</v>
      </c>
      <c r="B383" t="s">
        <v>25</v>
      </c>
      <c r="C383" s="1">
        <v>1</v>
      </c>
      <c r="D383" t="s">
        <v>19</v>
      </c>
      <c r="E383" t="s">
        <v>26</v>
      </c>
      <c r="F383" t="s">
        <v>27</v>
      </c>
      <c r="G383" t="s">
        <v>16</v>
      </c>
      <c r="H383" t="s">
        <v>17</v>
      </c>
      <c r="I383" s="3">
        <v>17867</v>
      </c>
      <c r="J383" t="b">
        <v>0</v>
      </c>
      <c r="K383" t="b">
        <v>0</v>
      </c>
      <c r="L383" t="b">
        <v>1</v>
      </c>
    </row>
    <row r="384" spans="1:12" x14ac:dyDescent="0.3">
      <c r="A384">
        <v>30</v>
      </c>
      <c r="B384" t="s">
        <v>18</v>
      </c>
      <c r="C384" s="1">
        <v>4</v>
      </c>
      <c r="D384" t="s">
        <v>13</v>
      </c>
      <c r="E384" t="s">
        <v>20</v>
      </c>
      <c r="F384" t="s">
        <v>27</v>
      </c>
      <c r="G384" t="s">
        <v>16</v>
      </c>
      <c r="H384" t="s">
        <v>24</v>
      </c>
      <c r="I384" s="3">
        <v>14264</v>
      </c>
      <c r="J384" t="b">
        <v>1</v>
      </c>
      <c r="K384" t="b">
        <v>0</v>
      </c>
      <c r="L384" t="b">
        <v>1</v>
      </c>
    </row>
    <row r="385" spans="1:12" x14ac:dyDescent="0.3">
      <c r="A385">
        <v>24</v>
      </c>
      <c r="B385" t="s">
        <v>12</v>
      </c>
      <c r="C385" s="1">
        <v>1</v>
      </c>
      <c r="D385" t="s">
        <v>28</v>
      </c>
      <c r="E385" t="s">
        <v>20</v>
      </c>
      <c r="F385" t="s">
        <v>27</v>
      </c>
      <c r="G385" t="s">
        <v>16</v>
      </c>
      <c r="H385" t="s">
        <v>24</v>
      </c>
      <c r="I385" s="3">
        <v>17968</v>
      </c>
      <c r="J385" t="b">
        <v>0</v>
      </c>
      <c r="K385" t="b">
        <v>0</v>
      </c>
      <c r="L385" t="b">
        <v>1</v>
      </c>
    </row>
    <row r="386" spans="1:12" x14ac:dyDescent="0.3">
      <c r="A386">
        <v>53</v>
      </c>
      <c r="B386" t="s">
        <v>12</v>
      </c>
      <c r="C386" s="1">
        <v>6</v>
      </c>
      <c r="D386" t="s">
        <v>19</v>
      </c>
      <c r="E386" t="s">
        <v>14</v>
      </c>
      <c r="F386" t="s">
        <v>22</v>
      </c>
      <c r="G386" t="s">
        <v>29</v>
      </c>
      <c r="H386" t="s">
        <v>21</v>
      </c>
      <c r="I386" s="3">
        <v>18146</v>
      </c>
      <c r="J386" t="b">
        <v>1</v>
      </c>
      <c r="K386" t="b">
        <v>0</v>
      </c>
      <c r="L386" t="b">
        <v>1</v>
      </c>
    </row>
    <row r="387" spans="1:12" x14ac:dyDescent="0.3">
      <c r="A387">
        <v>62</v>
      </c>
      <c r="B387" t="s">
        <v>18</v>
      </c>
      <c r="C387" s="1">
        <v>4</v>
      </c>
      <c r="D387" t="s">
        <v>13</v>
      </c>
      <c r="E387" t="s">
        <v>14</v>
      </c>
      <c r="F387" t="s">
        <v>15</v>
      </c>
      <c r="G387" t="s">
        <v>29</v>
      </c>
      <c r="H387" t="s">
        <v>17</v>
      </c>
      <c r="I387" s="3">
        <v>17776</v>
      </c>
      <c r="J387" t="b">
        <v>1</v>
      </c>
      <c r="K387" t="b">
        <v>1</v>
      </c>
      <c r="L387" t="b">
        <v>1</v>
      </c>
    </row>
    <row r="388" spans="1:12" x14ac:dyDescent="0.3">
      <c r="A388">
        <v>37</v>
      </c>
      <c r="B388" t="s">
        <v>12</v>
      </c>
      <c r="C388" s="1">
        <v>3</v>
      </c>
      <c r="D388" t="s">
        <v>19</v>
      </c>
      <c r="E388" t="s">
        <v>14</v>
      </c>
      <c r="F388" t="s">
        <v>15</v>
      </c>
      <c r="G388" t="s">
        <v>29</v>
      </c>
      <c r="H388" t="s">
        <v>21</v>
      </c>
      <c r="I388" s="3">
        <v>18558</v>
      </c>
      <c r="J388" t="b">
        <v>1</v>
      </c>
      <c r="K388" t="b">
        <v>0</v>
      </c>
      <c r="L388" t="b">
        <v>1</v>
      </c>
    </row>
    <row r="389" spans="1:12" x14ac:dyDescent="0.3">
      <c r="A389">
        <v>18</v>
      </c>
      <c r="B389" t="s">
        <v>18</v>
      </c>
      <c r="C389" s="1">
        <v>3</v>
      </c>
      <c r="D389" t="s">
        <v>28</v>
      </c>
      <c r="E389" t="s">
        <v>20</v>
      </c>
      <c r="F389" t="s">
        <v>15</v>
      </c>
      <c r="G389" t="s">
        <v>16</v>
      </c>
      <c r="H389" t="s">
        <v>24</v>
      </c>
      <c r="I389" s="3">
        <v>18719</v>
      </c>
      <c r="J389" t="b">
        <v>1</v>
      </c>
      <c r="K389" t="b">
        <v>0</v>
      </c>
      <c r="L389" t="b">
        <v>1</v>
      </c>
    </row>
    <row r="390" spans="1:12" x14ac:dyDescent="0.3">
      <c r="A390">
        <v>25</v>
      </c>
      <c r="B390" t="s">
        <v>18</v>
      </c>
      <c r="C390" s="1">
        <v>9</v>
      </c>
      <c r="D390" t="s">
        <v>28</v>
      </c>
      <c r="E390" t="s">
        <v>26</v>
      </c>
      <c r="F390" t="s">
        <v>27</v>
      </c>
      <c r="G390" t="s">
        <v>23</v>
      </c>
      <c r="H390" t="s">
        <v>24</v>
      </c>
      <c r="I390" s="3">
        <v>14886</v>
      </c>
      <c r="J390" t="b">
        <v>0</v>
      </c>
      <c r="K390" t="b">
        <v>0</v>
      </c>
      <c r="L390" t="b">
        <v>0</v>
      </c>
    </row>
    <row r="391" spans="1:12" x14ac:dyDescent="0.3">
      <c r="A391">
        <v>63</v>
      </c>
      <c r="B391" t="s">
        <v>18</v>
      </c>
      <c r="C391" s="1">
        <v>6</v>
      </c>
      <c r="D391" t="s">
        <v>13</v>
      </c>
      <c r="E391" t="s">
        <v>14</v>
      </c>
      <c r="F391" t="s">
        <v>22</v>
      </c>
      <c r="G391" t="s">
        <v>29</v>
      </c>
      <c r="H391" t="s">
        <v>21</v>
      </c>
      <c r="I391" s="3">
        <v>13935</v>
      </c>
      <c r="J391" t="b">
        <v>1</v>
      </c>
      <c r="K391" t="b">
        <v>1</v>
      </c>
      <c r="L391" t="b">
        <v>0</v>
      </c>
    </row>
    <row r="392" spans="1:12" x14ac:dyDescent="0.3">
      <c r="A392">
        <v>33</v>
      </c>
      <c r="B392" t="s">
        <v>18</v>
      </c>
      <c r="C392" s="1">
        <v>9</v>
      </c>
      <c r="D392" t="s">
        <v>13</v>
      </c>
      <c r="E392" t="s">
        <v>26</v>
      </c>
      <c r="F392" t="s">
        <v>27</v>
      </c>
      <c r="G392" t="s">
        <v>29</v>
      </c>
      <c r="H392" t="s">
        <v>24</v>
      </c>
      <c r="I392" s="3">
        <v>14619</v>
      </c>
      <c r="J392" t="b">
        <v>0</v>
      </c>
      <c r="K392" t="b">
        <v>0</v>
      </c>
      <c r="L392" t="b">
        <v>0</v>
      </c>
    </row>
    <row r="393" spans="1:12" x14ac:dyDescent="0.3">
      <c r="A393">
        <v>31</v>
      </c>
      <c r="B393" t="s">
        <v>18</v>
      </c>
      <c r="C393" s="1">
        <v>5</v>
      </c>
      <c r="D393" t="s">
        <v>13</v>
      </c>
      <c r="E393" t="s">
        <v>14</v>
      </c>
      <c r="F393" t="s">
        <v>15</v>
      </c>
      <c r="G393" t="s">
        <v>29</v>
      </c>
      <c r="H393" t="s">
        <v>17</v>
      </c>
      <c r="I393" s="3">
        <v>15191</v>
      </c>
      <c r="J393" t="b">
        <v>1</v>
      </c>
      <c r="K393" t="b">
        <v>0</v>
      </c>
      <c r="L393" t="b">
        <v>0</v>
      </c>
    </row>
    <row r="394" spans="1:12" x14ac:dyDescent="0.3">
      <c r="A394">
        <v>29</v>
      </c>
      <c r="B394" t="s">
        <v>25</v>
      </c>
      <c r="C394" s="1">
        <v>2</v>
      </c>
      <c r="D394" t="s">
        <v>19</v>
      </c>
      <c r="E394" t="s">
        <v>14</v>
      </c>
      <c r="F394" t="s">
        <v>15</v>
      </c>
      <c r="G394" t="s">
        <v>23</v>
      </c>
      <c r="H394" t="s">
        <v>21</v>
      </c>
      <c r="I394" s="3">
        <v>16875</v>
      </c>
      <c r="J394" t="b">
        <v>0</v>
      </c>
      <c r="K394" t="b">
        <v>1</v>
      </c>
      <c r="L394" t="b">
        <v>0</v>
      </c>
    </row>
    <row r="395" spans="1:12" x14ac:dyDescent="0.3">
      <c r="A395">
        <v>40</v>
      </c>
      <c r="B395" t="s">
        <v>12</v>
      </c>
      <c r="C395" s="1">
        <v>8</v>
      </c>
      <c r="D395" t="s">
        <v>19</v>
      </c>
      <c r="E395" t="s">
        <v>20</v>
      </c>
      <c r="F395" t="s">
        <v>22</v>
      </c>
      <c r="G395" t="s">
        <v>29</v>
      </c>
      <c r="H395" t="s">
        <v>17</v>
      </c>
      <c r="I395" s="3">
        <v>17856</v>
      </c>
      <c r="J395" t="b">
        <v>1</v>
      </c>
      <c r="K395" t="b">
        <v>0</v>
      </c>
      <c r="L395" t="b">
        <v>0</v>
      </c>
    </row>
    <row r="396" spans="1:12" x14ac:dyDescent="0.3">
      <c r="A396">
        <v>32</v>
      </c>
      <c r="B396" t="s">
        <v>25</v>
      </c>
      <c r="C396" s="1">
        <v>5</v>
      </c>
      <c r="D396" t="s">
        <v>19</v>
      </c>
      <c r="E396" t="s">
        <v>14</v>
      </c>
      <c r="F396" t="s">
        <v>27</v>
      </c>
      <c r="G396" t="s">
        <v>23</v>
      </c>
      <c r="H396" t="s">
        <v>17</v>
      </c>
      <c r="I396" s="3">
        <v>15401</v>
      </c>
      <c r="J396" t="b">
        <v>1</v>
      </c>
      <c r="K396" t="b">
        <v>1</v>
      </c>
      <c r="L396" t="b">
        <v>0</v>
      </c>
    </row>
    <row r="397" spans="1:12" x14ac:dyDescent="0.3">
      <c r="A397">
        <v>45</v>
      </c>
      <c r="B397" t="s">
        <v>12</v>
      </c>
      <c r="C397" s="1">
        <v>2</v>
      </c>
      <c r="D397" t="s">
        <v>13</v>
      </c>
      <c r="E397" t="s">
        <v>14</v>
      </c>
      <c r="F397" t="s">
        <v>15</v>
      </c>
      <c r="G397" t="s">
        <v>29</v>
      </c>
      <c r="H397" t="s">
        <v>17</v>
      </c>
      <c r="I397" s="3">
        <v>13022</v>
      </c>
      <c r="J397" t="b">
        <v>0</v>
      </c>
      <c r="K397" t="b">
        <v>0</v>
      </c>
      <c r="L397" t="b">
        <v>1</v>
      </c>
    </row>
    <row r="398" spans="1:12" x14ac:dyDescent="0.3">
      <c r="A398">
        <v>51</v>
      </c>
      <c r="B398" t="s">
        <v>25</v>
      </c>
      <c r="C398" s="1">
        <v>4</v>
      </c>
      <c r="D398" t="s">
        <v>28</v>
      </c>
      <c r="E398" t="s">
        <v>20</v>
      </c>
      <c r="F398" t="s">
        <v>22</v>
      </c>
      <c r="G398" t="s">
        <v>23</v>
      </c>
      <c r="H398" t="s">
        <v>21</v>
      </c>
      <c r="I398" s="3">
        <v>15738</v>
      </c>
      <c r="J398" t="b">
        <v>1</v>
      </c>
      <c r="K398" t="b">
        <v>1</v>
      </c>
      <c r="L398" t="b">
        <v>1</v>
      </c>
    </row>
    <row r="399" spans="1:12" x14ac:dyDescent="0.3">
      <c r="A399">
        <v>19</v>
      </c>
      <c r="B399" t="s">
        <v>18</v>
      </c>
      <c r="C399" s="1">
        <v>9</v>
      </c>
      <c r="D399" t="s">
        <v>28</v>
      </c>
      <c r="E399" t="s">
        <v>26</v>
      </c>
      <c r="F399" t="s">
        <v>27</v>
      </c>
      <c r="G399" t="s">
        <v>29</v>
      </c>
      <c r="H399" t="s">
        <v>24</v>
      </c>
      <c r="I399" s="3">
        <v>15984</v>
      </c>
      <c r="J399" t="b">
        <v>1</v>
      </c>
      <c r="K399" t="b">
        <v>0</v>
      </c>
      <c r="L399" t="b">
        <v>0</v>
      </c>
    </row>
    <row r="400" spans="1:12" x14ac:dyDescent="0.3">
      <c r="A400">
        <v>49</v>
      </c>
      <c r="B400" t="s">
        <v>12</v>
      </c>
      <c r="C400" s="1">
        <v>4</v>
      </c>
      <c r="D400" t="s">
        <v>19</v>
      </c>
      <c r="E400" t="s">
        <v>14</v>
      </c>
      <c r="F400" t="s">
        <v>27</v>
      </c>
      <c r="G400" t="s">
        <v>16</v>
      </c>
      <c r="H400" t="s">
        <v>17</v>
      </c>
      <c r="I400" s="3">
        <v>11770</v>
      </c>
      <c r="J400" t="b">
        <v>0</v>
      </c>
      <c r="K400" t="b">
        <v>0</v>
      </c>
      <c r="L400" t="b">
        <v>1</v>
      </c>
    </row>
    <row r="401" spans="1:12" x14ac:dyDescent="0.3">
      <c r="A401">
        <v>40</v>
      </c>
      <c r="B401" t="s">
        <v>12</v>
      </c>
      <c r="C401" s="1">
        <v>4</v>
      </c>
      <c r="D401" t="s">
        <v>19</v>
      </c>
      <c r="E401" t="s">
        <v>20</v>
      </c>
      <c r="F401" t="s">
        <v>15</v>
      </c>
      <c r="G401" t="s">
        <v>16</v>
      </c>
      <c r="H401" t="s">
        <v>17</v>
      </c>
      <c r="I401" s="3">
        <v>19969</v>
      </c>
      <c r="J401" t="b">
        <v>1</v>
      </c>
      <c r="K401" t="b">
        <v>0</v>
      </c>
      <c r="L401" t="b">
        <v>1</v>
      </c>
    </row>
    <row r="402" spans="1:12" x14ac:dyDescent="0.3">
      <c r="A402">
        <v>39</v>
      </c>
      <c r="B402" t="s">
        <v>25</v>
      </c>
      <c r="C402" s="1">
        <v>2</v>
      </c>
      <c r="D402" t="s">
        <v>28</v>
      </c>
      <c r="E402" t="s">
        <v>14</v>
      </c>
      <c r="F402" t="s">
        <v>15</v>
      </c>
      <c r="G402" t="s">
        <v>16</v>
      </c>
      <c r="H402" t="s">
        <v>17</v>
      </c>
      <c r="I402" s="3">
        <v>18989</v>
      </c>
      <c r="J402" t="b">
        <v>0</v>
      </c>
      <c r="K402" t="b">
        <v>1</v>
      </c>
      <c r="L402" t="b">
        <v>1</v>
      </c>
    </row>
    <row r="403" spans="1:12" x14ac:dyDescent="0.3">
      <c r="A403">
        <v>42</v>
      </c>
      <c r="B403" t="s">
        <v>25</v>
      </c>
      <c r="C403" s="1">
        <v>6</v>
      </c>
      <c r="D403" t="s">
        <v>28</v>
      </c>
      <c r="E403" t="s">
        <v>20</v>
      </c>
      <c r="F403" t="s">
        <v>27</v>
      </c>
      <c r="G403" t="s">
        <v>16</v>
      </c>
      <c r="H403" t="s">
        <v>24</v>
      </c>
      <c r="I403" s="3">
        <v>13215</v>
      </c>
      <c r="J403" t="b">
        <v>1</v>
      </c>
      <c r="K403" t="b">
        <v>0</v>
      </c>
      <c r="L403" t="b">
        <v>1</v>
      </c>
    </row>
    <row r="404" spans="1:12" x14ac:dyDescent="0.3">
      <c r="A404">
        <v>39</v>
      </c>
      <c r="B404" t="s">
        <v>12</v>
      </c>
      <c r="C404" s="1">
        <v>2</v>
      </c>
      <c r="D404" t="s">
        <v>19</v>
      </c>
      <c r="E404" t="s">
        <v>26</v>
      </c>
      <c r="F404" t="s">
        <v>27</v>
      </c>
      <c r="G404" t="s">
        <v>29</v>
      </c>
      <c r="H404" t="s">
        <v>24</v>
      </c>
      <c r="I404" s="3">
        <v>16694</v>
      </c>
      <c r="J404" t="b">
        <v>0</v>
      </c>
      <c r="K404" t="b">
        <v>1</v>
      </c>
      <c r="L404" t="b">
        <v>1</v>
      </c>
    </row>
    <row r="405" spans="1:12" x14ac:dyDescent="0.3">
      <c r="A405">
        <v>39</v>
      </c>
      <c r="B405" t="s">
        <v>25</v>
      </c>
      <c r="C405" s="1">
        <v>7</v>
      </c>
      <c r="D405" t="s">
        <v>19</v>
      </c>
      <c r="E405" t="s">
        <v>26</v>
      </c>
      <c r="F405" t="s">
        <v>15</v>
      </c>
      <c r="G405" t="s">
        <v>16</v>
      </c>
      <c r="H405" t="s">
        <v>21</v>
      </c>
      <c r="I405" s="3">
        <v>12976</v>
      </c>
      <c r="J405" t="b">
        <v>0</v>
      </c>
      <c r="K405" t="b">
        <v>1</v>
      </c>
      <c r="L405" t="b">
        <v>0</v>
      </c>
    </row>
    <row r="406" spans="1:12" x14ac:dyDescent="0.3">
      <c r="A406">
        <v>59</v>
      </c>
      <c r="B406" t="s">
        <v>25</v>
      </c>
      <c r="C406" s="1">
        <v>3</v>
      </c>
      <c r="D406" t="s">
        <v>28</v>
      </c>
      <c r="E406" t="s">
        <v>20</v>
      </c>
      <c r="F406" t="s">
        <v>27</v>
      </c>
      <c r="G406" t="s">
        <v>23</v>
      </c>
      <c r="H406" t="s">
        <v>24</v>
      </c>
      <c r="I406" s="3">
        <v>13737</v>
      </c>
      <c r="J406" t="b">
        <v>0</v>
      </c>
      <c r="K406" t="b">
        <v>1</v>
      </c>
      <c r="L406" t="b">
        <v>1</v>
      </c>
    </row>
    <row r="407" spans="1:12" x14ac:dyDescent="0.3">
      <c r="A407">
        <v>23</v>
      </c>
      <c r="B407" t="s">
        <v>25</v>
      </c>
      <c r="C407" s="1">
        <v>3</v>
      </c>
      <c r="D407" t="s">
        <v>13</v>
      </c>
      <c r="E407" t="s">
        <v>20</v>
      </c>
      <c r="F407" t="s">
        <v>15</v>
      </c>
      <c r="G407" t="s">
        <v>16</v>
      </c>
      <c r="H407" t="s">
        <v>21</v>
      </c>
      <c r="I407" s="3">
        <v>19903</v>
      </c>
      <c r="J407" t="b">
        <v>0</v>
      </c>
      <c r="K407" t="b">
        <v>1</v>
      </c>
      <c r="L407" t="b">
        <v>0</v>
      </c>
    </row>
    <row r="408" spans="1:12" x14ac:dyDescent="0.3">
      <c r="A408">
        <v>32</v>
      </c>
      <c r="B408" t="s">
        <v>18</v>
      </c>
      <c r="C408" s="1">
        <v>5</v>
      </c>
      <c r="D408" t="s">
        <v>19</v>
      </c>
      <c r="E408" t="s">
        <v>20</v>
      </c>
      <c r="F408" t="s">
        <v>27</v>
      </c>
      <c r="G408" t="s">
        <v>16</v>
      </c>
      <c r="H408" t="s">
        <v>21</v>
      </c>
      <c r="I408" s="3">
        <v>10752</v>
      </c>
      <c r="J408" t="b">
        <v>1</v>
      </c>
      <c r="K408" t="b">
        <v>0</v>
      </c>
      <c r="L408" t="b">
        <v>0</v>
      </c>
    </row>
    <row r="409" spans="1:12" x14ac:dyDescent="0.3">
      <c r="A409">
        <v>60</v>
      </c>
      <c r="B409" t="s">
        <v>18</v>
      </c>
      <c r="C409" s="1">
        <v>3</v>
      </c>
      <c r="D409" t="s">
        <v>28</v>
      </c>
      <c r="E409" t="s">
        <v>26</v>
      </c>
      <c r="F409" t="s">
        <v>15</v>
      </c>
      <c r="G409" t="s">
        <v>16</v>
      </c>
      <c r="H409" t="s">
        <v>21</v>
      </c>
      <c r="I409" s="3">
        <v>11392</v>
      </c>
      <c r="J409" t="b">
        <v>1</v>
      </c>
      <c r="K409" t="b">
        <v>0</v>
      </c>
      <c r="L409" t="b">
        <v>0</v>
      </c>
    </row>
    <row r="410" spans="1:12" x14ac:dyDescent="0.3">
      <c r="A410">
        <v>54</v>
      </c>
      <c r="B410" t="s">
        <v>25</v>
      </c>
      <c r="C410" s="1">
        <v>2</v>
      </c>
      <c r="D410" t="s">
        <v>28</v>
      </c>
      <c r="E410" t="s">
        <v>14</v>
      </c>
      <c r="F410" t="s">
        <v>22</v>
      </c>
      <c r="G410" t="s">
        <v>29</v>
      </c>
      <c r="H410" t="s">
        <v>21</v>
      </c>
      <c r="I410" s="3">
        <v>16789</v>
      </c>
      <c r="J410" t="b">
        <v>0</v>
      </c>
      <c r="K410" t="b">
        <v>0</v>
      </c>
      <c r="L410" t="b">
        <v>1</v>
      </c>
    </row>
    <row r="411" spans="1:12" x14ac:dyDescent="0.3">
      <c r="A411">
        <v>50</v>
      </c>
      <c r="B411" t="s">
        <v>25</v>
      </c>
      <c r="C411" s="1">
        <v>9</v>
      </c>
      <c r="D411" t="s">
        <v>28</v>
      </c>
      <c r="E411" t="s">
        <v>26</v>
      </c>
      <c r="F411" t="s">
        <v>15</v>
      </c>
      <c r="G411" t="s">
        <v>16</v>
      </c>
      <c r="H411" t="s">
        <v>21</v>
      </c>
      <c r="I411" s="3">
        <v>10677</v>
      </c>
      <c r="J411" t="b">
        <v>1</v>
      </c>
      <c r="K411" t="b">
        <v>1</v>
      </c>
      <c r="L411" t="b">
        <v>0</v>
      </c>
    </row>
    <row r="412" spans="1:12" x14ac:dyDescent="0.3">
      <c r="A412">
        <v>25</v>
      </c>
      <c r="B412" t="s">
        <v>18</v>
      </c>
      <c r="C412" s="1">
        <v>2</v>
      </c>
      <c r="D412" t="s">
        <v>28</v>
      </c>
      <c r="E412" t="s">
        <v>20</v>
      </c>
      <c r="F412" t="s">
        <v>15</v>
      </c>
      <c r="G412" t="s">
        <v>23</v>
      </c>
      <c r="H412" t="s">
        <v>17</v>
      </c>
      <c r="I412" s="3">
        <v>10105</v>
      </c>
      <c r="J412" t="b">
        <v>1</v>
      </c>
      <c r="K412" t="b">
        <v>0</v>
      </c>
      <c r="L412" t="b">
        <v>0</v>
      </c>
    </row>
    <row r="413" spans="1:12" x14ac:dyDescent="0.3">
      <c r="A413">
        <v>61</v>
      </c>
      <c r="B413" t="s">
        <v>18</v>
      </c>
      <c r="C413" s="1">
        <v>2</v>
      </c>
      <c r="D413" t="s">
        <v>13</v>
      </c>
      <c r="E413" t="s">
        <v>20</v>
      </c>
      <c r="F413" t="s">
        <v>22</v>
      </c>
      <c r="G413" t="s">
        <v>16</v>
      </c>
      <c r="H413" t="s">
        <v>24</v>
      </c>
      <c r="I413" s="3">
        <v>14753</v>
      </c>
      <c r="J413" t="b">
        <v>1</v>
      </c>
      <c r="K413" t="b">
        <v>1</v>
      </c>
      <c r="L413" t="b">
        <v>0</v>
      </c>
    </row>
    <row r="414" spans="1:12" x14ac:dyDescent="0.3">
      <c r="A414">
        <v>61</v>
      </c>
      <c r="B414" t="s">
        <v>12</v>
      </c>
      <c r="C414" s="1">
        <v>8</v>
      </c>
      <c r="D414" t="s">
        <v>28</v>
      </c>
      <c r="E414" t="s">
        <v>26</v>
      </c>
      <c r="F414" t="s">
        <v>27</v>
      </c>
      <c r="G414" t="s">
        <v>16</v>
      </c>
      <c r="H414" t="s">
        <v>17</v>
      </c>
      <c r="I414" s="3">
        <v>11946</v>
      </c>
      <c r="J414" t="b">
        <v>0</v>
      </c>
      <c r="K414" t="b">
        <v>1</v>
      </c>
      <c r="L414" t="b">
        <v>0</v>
      </c>
    </row>
    <row r="415" spans="1:12" x14ac:dyDescent="0.3">
      <c r="A415">
        <v>22</v>
      </c>
      <c r="B415" t="s">
        <v>12</v>
      </c>
      <c r="C415" s="1">
        <v>9</v>
      </c>
      <c r="D415" t="s">
        <v>19</v>
      </c>
      <c r="E415" t="s">
        <v>20</v>
      </c>
      <c r="F415" t="s">
        <v>22</v>
      </c>
      <c r="G415" t="s">
        <v>16</v>
      </c>
      <c r="H415" t="s">
        <v>21</v>
      </c>
      <c r="I415" s="3">
        <v>15544</v>
      </c>
      <c r="J415" t="b">
        <v>1</v>
      </c>
      <c r="K415" t="b">
        <v>1</v>
      </c>
      <c r="L415" t="b">
        <v>1</v>
      </c>
    </row>
    <row r="416" spans="1:12" x14ac:dyDescent="0.3">
      <c r="A416">
        <v>56</v>
      </c>
      <c r="B416" t="s">
        <v>18</v>
      </c>
      <c r="C416" s="1">
        <v>7</v>
      </c>
      <c r="D416" t="s">
        <v>13</v>
      </c>
      <c r="E416" t="s">
        <v>26</v>
      </c>
      <c r="F416" t="s">
        <v>15</v>
      </c>
      <c r="G416" t="s">
        <v>23</v>
      </c>
      <c r="H416" t="s">
        <v>24</v>
      </c>
      <c r="I416" s="3">
        <v>11095</v>
      </c>
      <c r="J416" t="b">
        <v>1</v>
      </c>
      <c r="K416" t="b">
        <v>0</v>
      </c>
      <c r="L416" t="b">
        <v>0</v>
      </c>
    </row>
    <row r="417" spans="1:12" x14ac:dyDescent="0.3">
      <c r="A417">
        <v>21</v>
      </c>
      <c r="B417" t="s">
        <v>25</v>
      </c>
      <c r="C417" s="1">
        <v>3</v>
      </c>
      <c r="D417" t="s">
        <v>28</v>
      </c>
      <c r="E417" t="s">
        <v>20</v>
      </c>
      <c r="F417" t="s">
        <v>27</v>
      </c>
      <c r="G417" t="s">
        <v>16</v>
      </c>
      <c r="H417" t="s">
        <v>17</v>
      </c>
      <c r="I417" s="3">
        <v>16985</v>
      </c>
      <c r="J417" t="b">
        <v>0</v>
      </c>
      <c r="K417" t="b">
        <v>0</v>
      </c>
      <c r="L417" t="b">
        <v>0</v>
      </c>
    </row>
    <row r="418" spans="1:12" x14ac:dyDescent="0.3">
      <c r="A418">
        <v>23</v>
      </c>
      <c r="B418" t="s">
        <v>25</v>
      </c>
      <c r="C418" s="1">
        <v>9</v>
      </c>
      <c r="D418" t="s">
        <v>13</v>
      </c>
      <c r="E418" t="s">
        <v>14</v>
      </c>
      <c r="F418" t="s">
        <v>22</v>
      </c>
      <c r="G418" t="s">
        <v>23</v>
      </c>
      <c r="H418" t="s">
        <v>17</v>
      </c>
      <c r="I418" s="3">
        <v>11782</v>
      </c>
      <c r="J418" t="b">
        <v>1</v>
      </c>
      <c r="K418" t="b">
        <v>1</v>
      </c>
      <c r="L418" t="b">
        <v>0</v>
      </c>
    </row>
    <row r="419" spans="1:12" x14ac:dyDescent="0.3">
      <c r="A419">
        <v>62</v>
      </c>
      <c r="B419" t="s">
        <v>25</v>
      </c>
      <c r="C419" s="1">
        <v>3</v>
      </c>
      <c r="D419" t="s">
        <v>19</v>
      </c>
      <c r="E419" t="s">
        <v>14</v>
      </c>
      <c r="F419" t="s">
        <v>27</v>
      </c>
      <c r="G419" t="s">
        <v>23</v>
      </c>
      <c r="H419" t="s">
        <v>21</v>
      </c>
      <c r="I419" s="3">
        <v>14541</v>
      </c>
      <c r="J419" t="b">
        <v>0</v>
      </c>
      <c r="K419" t="b">
        <v>0</v>
      </c>
      <c r="L419" t="b">
        <v>0</v>
      </c>
    </row>
    <row r="420" spans="1:12" x14ac:dyDescent="0.3">
      <c r="A420">
        <v>49</v>
      </c>
      <c r="B420" t="s">
        <v>25</v>
      </c>
      <c r="C420" s="1">
        <v>5</v>
      </c>
      <c r="D420" t="s">
        <v>28</v>
      </c>
      <c r="E420" t="s">
        <v>20</v>
      </c>
      <c r="F420" t="s">
        <v>27</v>
      </c>
      <c r="G420" t="s">
        <v>16</v>
      </c>
      <c r="H420" t="s">
        <v>17</v>
      </c>
      <c r="I420" s="3">
        <v>13257</v>
      </c>
      <c r="J420" t="b">
        <v>0</v>
      </c>
      <c r="K420" t="b">
        <v>0</v>
      </c>
      <c r="L420" t="b">
        <v>1</v>
      </c>
    </row>
    <row r="421" spans="1:12" x14ac:dyDescent="0.3">
      <c r="A421">
        <v>47</v>
      </c>
      <c r="B421" t="s">
        <v>12</v>
      </c>
      <c r="C421" s="1">
        <v>9</v>
      </c>
      <c r="D421" t="s">
        <v>19</v>
      </c>
      <c r="E421" t="s">
        <v>26</v>
      </c>
      <c r="F421" t="s">
        <v>22</v>
      </c>
      <c r="G421" t="s">
        <v>23</v>
      </c>
      <c r="H421" t="s">
        <v>17</v>
      </c>
      <c r="I421" s="3">
        <v>16213</v>
      </c>
      <c r="J421" t="b">
        <v>0</v>
      </c>
      <c r="K421" t="b">
        <v>1</v>
      </c>
      <c r="L421" t="b">
        <v>0</v>
      </c>
    </row>
    <row r="422" spans="1:12" x14ac:dyDescent="0.3">
      <c r="A422">
        <v>64</v>
      </c>
      <c r="B422" t="s">
        <v>18</v>
      </c>
      <c r="C422" s="1">
        <v>3</v>
      </c>
      <c r="D422" t="s">
        <v>28</v>
      </c>
      <c r="E422" t="s">
        <v>14</v>
      </c>
      <c r="F422" t="s">
        <v>27</v>
      </c>
      <c r="G422" t="s">
        <v>29</v>
      </c>
      <c r="H422" t="s">
        <v>17</v>
      </c>
      <c r="I422" s="3">
        <v>14869</v>
      </c>
      <c r="J422" t="b">
        <v>1</v>
      </c>
      <c r="K422" t="b">
        <v>1</v>
      </c>
      <c r="L422" t="b">
        <v>0</v>
      </c>
    </row>
    <row r="423" spans="1:12" x14ac:dyDescent="0.3">
      <c r="A423">
        <v>52</v>
      </c>
      <c r="B423" t="s">
        <v>25</v>
      </c>
      <c r="C423" s="1">
        <v>7</v>
      </c>
      <c r="D423" t="s">
        <v>28</v>
      </c>
      <c r="E423" t="s">
        <v>26</v>
      </c>
      <c r="F423" t="s">
        <v>22</v>
      </c>
      <c r="G423" t="s">
        <v>16</v>
      </c>
      <c r="H423" t="s">
        <v>17</v>
      </c>
      <c r="I423" s="3">
        <v>11561</v>
      </c>
      <c r="J423" t="b">
        <v>1</v>
      </c>
      <c r="K423" t="b">
        <v>0</v>
      </c>
      <c r="L423" t="b">
        <v>0</v>
      </c>
    </row>
    <row r="424" spans="1:12" x14ac:dyDescent="0.3">
      <c r="A424">
        <v>57</v>
      </c>
      <c r="B424" t="s">
        <v>12</v>
      </c>
      <c r="C424" s="1">
        <v>1</v>
      </c>
      <c r="D424" t="s">
        <v>28</v>
      </c>
      <c r="E424" t="s">
        <v>20</v>
      </c>
      <c r="F424" t="s">
        <v>15</v>
      </c>
      <c r="G424" t="s">
        <v>16</v>
      </c>
      <c r="H424" t="s">
        <v>17</v>
      </c>
      <c r="I424" s="3">
        <v>14006</v>
      </c>
      <c r="J424" t="b">
        <v>0</v>
      </c>
      <c r="K424" t="b">
        <v>1</v>
      </c>
      <c r="L424" t="b">
        <v>0</v>
      </c>
    </row>
    <row r="425" spans="1:12" x14ac:dyDescent="0.3">
      <c r="A425">
        <v>33</v>
      </c>
      <c r="B425" t="s">
        <v>25</v>
      </c>
      <c r="C425" s="1">
        <v>4</v>
      </c>
      <c r="D425" t="s">
        <v>28</v>
      </c>
      <c r="E425" t="s">
        <v>26</v>
      </c>
      <c r="F425" t="s">
        <v>27</v>
      </c>
      <c r="G425" t="s">
        <v>23</v>
      </c>
      <c r="H425" t="s">
        <v>21</v>
      </c>
      <c r="I425" s="3">
        <v>19867</v>
      </c>
      <c r="J425" t="b">
        <v>0</v>
      </c>
      <c r="K425" t="b">
        <v>1</v>
      </c>
      <c r="L425" t="b">
        <v>0</v>
      </c>
    </row>
    <row r="426" spans="1:12" x14ac:dyDescent="0.3">
      <c r="A426">
        <v>30</v>
      </c>
      <c r="B426" t="s">
        <v>18</v>
      </c>
      <c r="C426" s="1">
        <v>4</v>
      </c>
      <c r="D426" t="s">
        <v>28</v>
      </c>
      <c r="E426" t="s">
        <v>14</v>
      </c>
      <c r="F426" t="s">
        <v>15</v>
      </c>
      <c r="G426" t="s">
        <v>23</v>
      </c>
      <c r="H426" t="s">
        <v>21</v>
      </c>
      <c r="I426" s="3">
        <v>19314</v>
      </c>
      <c r="J426" t="b">
        <v>0</v>
      </c>
      <c r="K426" t="b">
        <v>0</v>
      </c>
      <c r="L426" t="b">
        <v>0</v>
      </c>
    </row>
    <row r="427" spans="1:12" x14ac:dyDescent="0.3">
      <c r="A427">
        <v>59</v>
      </c>
      <c r="B427" t="s">
        <v>12</v>
      </c>
      <c r="C427" s="1">
        <v>7</v>
      </c>
      <c r="D427" t="s">
        <v>13</v>
      </c>
      <c r="E427" t="s">
        <v>26</v>
      </c>
      <c r="F427" t="s">
        <v>15</v>
      </c>
      <c r="G427" t="s">
        <v>16</v>
      </c>
      <c r="H427" t="s">
        <v>17</v>
      </c>
      <c r="I427" s="3">
        <v>13981</v>
      </c>
      <c r="J427" t="b">
        <v>0</v>
      </c>
      <c r="K427" t="b">
        <v>0</v>
      </c>
      <c r="L427" t="b">
        <v>1</v>
      </c>
    </row>
    <row r="428" spans="1:12" x14ac:dyDescent="0.3">
      <c r="A428">
        <v>47</v>
      </c>
      <c r="B428" t="s">
        <v>18</v>
      </c>
      <c r="C428" s="1">
        <v>8</v>
      </c>
      <c r="D428" t="s">
        <v>28</v>
      </c>
      <c r="E428" t="s">
        <v>26</v>
      </c>
      <c r="F428" t="s">
        <v>27</v>
      </c>
      <c r="G428" t="s">
        <v>29</v>
      </c>
      <c r="H428" t="s">
        <v>21</v>
      </c>
      <c r="I428" s="3">
        <v>19493</v>
      </c>
      <c r="J428" t="b">
        <v>0</v>
      </c>
      <c r="K428" t="b">
        <v>1</v>
      </c>
      <c r="L428" t="b">
        <v>0</v>
      </c>
    </row>
    <row r="429" spans="1:12" x14ac:dyDescent="0.3">
      <c r="A429">
        <v>36</v>
      </c>
      <c r="B429" t="s">
        <v>18</v>
      </c>
      <c r="C429" s="1">
        <v>1</v>
      </c>
      <c r="D429" t="s">
        <v>28</v>
      </c>
      <c r="E429" t="s">
        <v>20</v>
      </c>
      <c r="F429" t="s">
        <v>22</v>
      </c>
      <c r="G429" t="s">
        <v>23</v>
      </c>
      <c r="H429" t="s">
        <v>21</v>
      </c>
      <c r="I429" s="3">
        <v>15682</v>
      </c>
      <c r="J429" t="b">
        <v>0</v>
      </c>
      <c r="K429" t="b">
        <v>0</v>
      </c>
      <c r="L429" t="b">
        <v>1</v>
      </c>
    </row>
    <row r="430" spans="1:12" x14ac:dyDescent="0.3">
      <c r="A430">
        <v>34</v>
      </c>
      <c r="B430" t="s">
        <v>12</v>
      </c>
      <c r="C430" s="1">
        <v>5</v>
      </c>
      <c r="D430" t="s">
        <v>13</v>
      </c>
      <c r="E430" t="s">
        <v>20</v>
      </c>
      <c r="F430" t="s">
        <v>27</v>
      </c>
      <c r="G430" t="s">
        <v>23</v>
      </c>
      <c r="H430" t="s">
        <v>24</v>
      </c>
      <c r="I430" s="3">
        <v>15782</v>
      </c>
      <c r="J430" t="b">
        <v>1</v>
      </c>
      <c r="K430" t="b">
        <v>1</v>
      </c>
      <c r="L430" t="b">
        <v>1</v>
      </c>
    </row>
    <row r="431" spans="1:12" x14ac:dyDescent="0.3">
      <c r="A431">
        <v>36</v>
      </c>
      <c r="B431" t="s">
        <v>12</v>
      </c>
      <c r="C431" s="1">
        <v>7</v>
      </c>
      <c r="D431" t="s">
        <v>13</v>
      </c>
      <c r="E431" t="s">
        <v>20</v>
      </c>
      <c r="F431" t="s">
        <v>15</v>
      </c>
      <c r="G431" t="s">
        <v>29</v>
      </c>
      <c r="H431" t="s">
        <v>17</v>
      </c>
      <c r="I431" s="3">
        <v>10943</v>
      </c>
      <c r="J431" t="b">
        <v>0</v>
      </c>
      <c r="K431" t="b">
        <v>1</v>
      </c>
      <c r="L431" t="b">
        <v>0</v>
      </c>
    </row>
    <row r="432" spans="1:12" x14ac:dyDescent="0.3">
      <c r="A432">
        <v>45</v>
      </c>
      <c r="B432" t="s">
        <v>12</v>
      </c>
      <c r="C432" s="1">
        <v>4</v>
      </c>
      <c r="D432" t="s">
        <v>13</v>
      </c>
      <c r="E432" t="s">
        <v>14</v>
      </c>
      <c r="F432" t="s">
        <v>15</v>
      </c>
      <c r="G432" t="s">
        <v>29</v>
      </c>
      <c r="H432" t="s">
        <v>21</v>
      </c>
      <c r="I432" s="3">
        <v>14550</v>
      </c>
      <c r="J432" t="b">
        <v>0</v>
      </c>
      <c r="K432" t="b">
        <v>0</v>
      </c>
      <c r="L432" t="b">
        <v>1</v>
      </c>
    </row>
    <row r="433" spans="1:12" x14ac:dyDescent="0.3">
      <c r="A433">
        <v>43</v>
      </c>
      <c r="B433" t="s">
        <v>12</v>
      </c>
      <c r="C433" s="1">
        <v>4</v>
      </c>
      <c r="D433" t="s">
        <v>13</v>
      </c>
      <c r="E433" t="s">
        <v>14</v>
      </c>
      <c r="F433" t="s">
        <v>22</v>
      </c>
      <c r="G433" t="s">
        <v>16</v>
      </c>
      <c r="H433" t="s">
        <v>21</v>
      </c>
      <c r="I433" s="3">
        <v>19137</v>
      </c>
      <c r="J433" t="b">
        <v>0</v>
      </c>
      <c r="K433" t="b">
        <v>1</v>
      </c>
      <c r="L433" t="b">
        <v>0</v>
      </c>
    </row>
    <row r="434" spans="1:12" x14ac:dyDescent="0.3">
      <c r="A434">
        <v>54</v>
      </c>
      <c r="B434" t="s">
        <v>12</v>
      </c>
      <c r="C434" s="1">
        <v>4</v>
      </c>
      <c r="D434" t="s">
        <v>13</v>
      </c>
      <c r="E434" t="s">
        <v>20</v>
      </c>
      <c r="F434" t="s">
        <v>27</v>
      </c>
      <c r="G434" t="s">
        <v>29</v>
      </c>
      <c r="H434" t="s">
        <v>17</v>
      </c>
      <c r="I434" s="3">
        <v>10600</v>
      </c>
      <c r="J434" t="b">
        <v>1</v>
      </c>
      <c r="K434" t="b">
        <v>1</v>
      </c>
      <c r="L434" t="b">
        <v>1</v>
      </c>
    </row>
    <row r="435" spans="1:12" x14ac:dyDescent="0.3">
      <c r="A435">
        <v>43</v>
      </c>
      <c r="B435" t="s">
        <v>12</v>
      </c>
      <c r="C435" s="1">
        <v>6</v>
      </c>
      <c r="D435" t="s">
        <v>13</v>
      </c>
      <c r="E435" t="s">
        <v>20</v>
      </c>
      <c r="F435" t="s">
        <v>15</v>
      </c>
      <c r="G435" t="s">
        <v>16</v>
      </c>
      <c r="H435" t="s">
        <v>24</v>
      </c>
      <c r="I435" s="3">
        <v>16376</v>
      </c>
      <c r="J435" t="b">
        <v>1</v>
      </c>
      <c r="K435" t="b">
        <v>1</v>
      </c>
      <c r="L435" t="b">
        <v>0</v>
      </c>
    </row>
    <row r="436" spans="1:12" x14ac:dyDescent="0.3">
      <c r="A436">
        <v>40</v>
      </c>
      <c r="B436" t="s">
        <v>12</v>
      </c>
      <c r="C436" s="1">
        <v>7</v>
      </c>
      <c r="D436" t="s">
        <v>28</v>
      </c>
      <c r="E436" t="s">
        <v>14</v>
      </c>
      <c r="F436" t="s">
        <v>15</v>
      </c>
      <c r="G436" t="s">
        <v>29</v>
      </c>
      <c r="H436" t="s">
        <v>17</v>
      </c>
      <c r="I436" s="3">
        <v>19609</v>
      </c>
      <c r="J436" t="b">
        <v>1</v>
      </c>
      <c r="K436" t="b">
        <v>0</v>
      </c>
      <c r="L436" t="b">
        <v>1</v>
      </c>
    </row>
    <row r="437" spans="1:12" x14ac:dyDescent="0.3">
      <c r="A437">
        <v>26</v>
      </c>
      <c r="B437" t="s">
        <v>25</v>
      </c>
      <c r="C437" s="1">
        <v>2</v>
      </c>
      <c r="D437" t="s">
        <v>28</v>
      </c>
      <c r="E437" t="s">
        <v>14</v>
      </c>
      <c r="F437" t="s">
        <v>15</v>
      </c>
      <c r="G437" t="s">
        <v>23</v>
      </c>
      <c r="H437" t="s">
        <v>24</v>
      </c>
      <c r="I437" s="3">
        <v>11524</v>
      </c>
      <c r="J437" t="b">
        <v>1</v>
      </c>
      <c r="K437" t="b">
        <v>0</v>
      </c>
      <c r="L437" t="b">
        <v>1</v>
      </c>
    </row>
    <row r="438" spans="1:12" x14ac:dyDescent="0.3">
      <c r="A438">
        <v>29</v>
      </c>
      <c r="B438" t="s">
        <v>18</v>
      </c>
      <c r="C438" s="1">
        <v>5</v>
      </c>
      <c r="D438" t="s">
        <v>19</v>
      </c>
      <c r="E438" t="s">
        <v>14</v>
      </c>
      <c r="F438" t="s">
        <v>22</v>
      </c>
      <c r="G438" t="s">
        <v>16</v>
      </c>
      <c r="H438" t="s">
        <v>17</v>
      </c>
      <c r="I438" s="3">
        <v>13766</v>
      </c>
      <c r="J438" t="b">
        <v>0</v>
      </c>
      <c r="K438" t="b">
        <v>0</v>
      </c>
      <c r="L438" t="b">
        <v>0</v>
      </c>
    </row>
    <row r="439" spans="1:12" x14ac:dyDescent="0.3">
      <c r="A439">
        <v>18</v>
      </c>
      <c r="B439" t="s">
        <v>12</v>
      </c>
      <c r="C439" s="1">
        <v>4</v>
      </c>
      <c r="D439" t="s">
        <v>28</v>
      </c>
      <c r="E439" t="s">
        <v>14</v>
      </c>
      <c r="F439" t="s">
        <v>15</v>
      </c>
      <c r="G439" t="s">
        <v>16</v>
      </c>
      <c r="H439" t="s">
        <v>17</v>
      </c>
      <c r="I439" s="3">
        <v>10250</v>
      </c>
      <c r="J439" t="b">
        <v>1</v>
      </c>
      <c r="K439" t="b">
        <v>1</v>
      </c>
      <c r="L439" t="b">
        <v>1</v>
      </c>
    </row>
    <row r="440" spans="1:12" x14ac:dyDescent="0.3">
      <c r="A440">
        <v>18</v>
      </c>
      <c r="B440" t="s">
        <v>25</v>
      </c>
      <c r="C440" s="1">
        <v>3</v>
      </c>
      <c r="D440" t="s">
        <v>28</v>
      </c>
      <c r="E440" t="s">
        <v>20</v>
      </c>
      <c r="F440" t="s">
        <v>15</v>
      </c>
      <c r="G440" t="s">
        <v>16</v>
      </c>
      <c r="H440" t="s">
        <v>17</v>
      </c>
      <c r="I440" s="3">
        <v>19736</v>
      </c>
      <c r="J440" t="b">
        <v>0</v>
      </c>
      <c r="K440" t="b">
        <v>1</v>
      </c>
      <c r="L440" t="b">
        <v>1</v>
      </c>
    </row>
    <row r="441" spans="1:12" x14ac:dyDescent="0.3">
      <c r="A441">
        <v>64</v>
      </c>
      <c r="B441" t="s">
        <v>25</v>
      </c>
      <c r="C441" s="1">
        <v>7</v>
      </c>
      <c r="D441" t="s">
        <v>13</v>
      </c>
      <c r="E441" t="s">
        <v>14</v>
      </c>
      <c r="F441" t="s">
        <v>27</v>
      </c>
      <c r="G441" t="s">
        <v>29</v>
      </c>
      <c r="H441" t="s">
        <v>17</v>
      </c>
      <c r="I441" s="3">
        <v>10078</v>
      </c>
      <c r="J441" t="b">
        <v>0</v>
      </c>
      <c r="K441" t="b">
        <v>0</v>
      </c>
      <c r="L441" t="b">
        <v>1</v>
      </c>
    </row>
    <row r="442" spans="1:12" x14ac:dyDescent="0.3">
      <c r="A442">
        <v>51</v>
      </c>
      <c r="B442" t="s">
        <v>25</v>
      </c>
      <c r="C442" s="1">
        <v>6</v>
      </c>
      <c r="D442" t="s">
        <v>13</v>
      </c>
      <c r="E442" t="s">
        <v>20</v>
      </c>
      <c r="F442" t="s">
        <v>27</v>
      </c>
      <c r="G442" t="s">
        <v>23</v>
      </c>
      <c r="H442" t="s">
        <v>24</v>
      </c>
      <c r="I442" s="3">
        <v>13123</v>
      </c>
      <c r="J442" t="b">
        <v>0</v>
      </c>
      <c r="K442" t="b">
        <v>0</v>
      </c>
      <c r="L442" t="b">
        <v>1</v>
      </c>
    </row>
    <row r="443" spans="1:12" x14ac:dyDescent="0.3">
      <c r="A443">
        <v>49</v>
      </c>
      <c r="B443" t="s">
        <v>18</v>
      </c>
      <c r="C443" s="1">
        <v>7</v>
      </c>
      <c r="D443" t="s">
        <v>28</v>
      </c>
      <c r="E443" t="s">
        <v>26</v>
      </c>
      <c r="F443" t="s">
        <v>15</v>
      </c>
      <c r="G443" t="s">
        <v>16</v>
      </c>
      <c r="H443" t="s">
        <v>24</v>
      </c>
      <c r="I443" s="3">
        <v>19089</v>
      </c>
      <c r="J443" t="b">
        <v>0</v>
      </c>
      <c r="K443" t="b">
        <v>0</v>
      </c>
      <c r="L443" t="b">
        <v>1</v>
      </c>
    </row>
    <row r="444" spans="1:12" x14ac:dyDescent="0.3">
      <c r="A444">
        <v>42</v>
      </c>
      <c r="B444" t="s">
        <v>12</v>
      </c>
      <c r="C444" s="1">
        <v>5</v>
      </c>
      <c r="D444" t="s">
        <v>19</v>
      </c>
      <c r="E444" t="s">
        <v>26</v>
      </c>
      <c r="F444" t="s">
        <v>15</v>
      </c>
      <c r="G444" t="s">
        <v>16</v>
      </c>
      <c r="H444" t="s">
        <v>21</v>
      </c>
      <c r="I444" s="3">
        <v>17064</v>
      </c>
      <c r="J444" t="b">
        <v>0</v>
      </c>
      <c r="K444" t="b">
        <v>1</v>
      </c>
      <c r="L444" t="b">
        <v>0</v>
      </c>
    </row>
    <row r="445" spans="1:12" x14ac:dyDescent="0.3">
      <c r="A445">
        <v>57</v>
      </c>
      <c r="B445" t="s">
        <v>25</v>
      </c>
      <c r="C445" s="1">
        <v>6</v>
      </c>
      <c r="D445" t="s">
        <v>13</v>
      </c>
      <c r="E445" t="s">
        <v>14</v>
      </c>
      <c r="F445" t="s">
        <v>27</v>
      </c>
      <c r="G445" t="s">
        <v>16</v>
      </c>
      <c r="H445" t="s">
        <v>17</v>
      </c>
      <c r="I445" s="3">
        <v>18417</v>
      </c>
      <c r="J445" t="b">
        <v>0</v>
      </c>
      <c r="K445" t="b">
        <v>0</v>
      </c>
      <c r="L445" t="b">
        <v>1</v>
      </c>
    </row>
    <row r="446" spans="1:12" x14ac:dyDescent="0.3">
      <c r="A446">
        <v>62</v>
      </c>
      <c r="B446" t="s">
        <v>18</v>
      </c>
      <c r="C446" s="1">
        <v>5</v>
      </c>
      <c r="D446" t="s">
        <v>28</v>
      </c>
      <c r="E446" t="s">
        <v>26</v>
      </c>
      <c r="F446" t="s">
        <v>22</v>
      </c>
      <c r="G446" t="s">
        <v>16</v>
      </c>
      <c r="H446" t="s">
        <v>24</v>
      </c>
      <c r="I446" s="3">
        <v>11209</v>
      </c>
      <c r="J446" t="b">
        <v>1</v>
      </c>
      <c r="K446" t="b">
        <v>1</v>
      </c>
      <c r="L446" t="b">
        <v>1</v>
      </c>
    </row>
    <row r="447" spans="1:12" x14ac:dyDescent="0.3">
      <c r="A447">
        <v>18</v>
      </c>
      <c r="B447" t="s">
        <v>18</v>
      </c>
      <c r="C447" s="1">
        <v>7</v>
      </c>
      <c r="D447" t="s">
        <v>28</v>
      </c>
      <c r="E447" t="s">
        <v>26</v>
      </c>
      <c r="F447" t="s">
        <v>22</v>
      </c>
      <c r="G447" t="s">
        <v>23</v>
      </c>
      <c r="H447" t="s">
        <v>24</v>
      </c>
      <c r="I447" s="3">
        <v>15153</v>
      </c>
      <c r="J447" t="b">
        <v>1</v>
      </c>
      <c r="K447" t="b">
        <v>0</v>
      </c>
      <c r="L447" t="b">
        <v>0</v>
      </c>
    </row>
    <row r="448" spans="1:12" x14ac:dyDescent="0.3">
      <c r="A448">
        <v>33</v>
      </c>
      <c r="B448" t="s">
        <v>18</v>
      </c>
      <c r="C448" s="1">
        <v>2</v>
      </c>
      <c r="D448" t="s">
        <v>19</v>
      </c>
      <c r="E448" t="s">
        <v>26</v>
      </c>
      <c r="F448" t="s">
        <v>22</v>
      </c>
      <c r="G448" t="s">
        <v>29</v>
      </c>
      <c r="H448" t="s">
        <v>24</v>
      </c>
      <c r="I448" s="3">
        <v>14898</v>
      </c>
      <c r="J448" t="b">
        <v>1</v>
      </c>
      <c r="K448" t="b">
        <v>1</v>
      </c>
      <c r="L448" t="b">
        <v>0</v>
      </c>
    </row>
    <row r="449" spans="1:12" x14ac:dyDescent="0.3">
      <c r="A449">
        <v>56</v>
      </c>
      <c r="B449" t="s">
        <v>25</v>
      </c>
      <c r="C449" s="1">
        <v>5</v>
      </c>
      <c r="D449" t="s">
        <v>19</v>
      </c>
      <c r="E449" t="s">
        <v>14</v>
      </c>
      <c r="F449" t="s">
        <v>22</v>
      </c>
      <c r="G449" t="s">
        <v>23</v>
      </c>
      <c r="H449" t="s">
        <v>17</v>
      </c>
      <c r="I449" s="3">
        <v>12178</v>
      </c>
      <c r="J449" t="b">
        <v>1</v>
      </c>
      <c r="K449" t="b">
        <v>1</v>
      </c>
      <c r="L449" t="b">
        <v>0</v>
      </c>
    </row>
    <row r="450" spans="1:12" x14ac:dyDescent="0.3">
      <c r="A450">
        <v>22</v>
      </c>
      <c r="B450" t="s">
        <v>12</v>
      </c>
      <c r="C450" s="1">
        <v>6</v>
      </c>
      <c r="D450" t="s">
        <v>13</v>
      </c>
      <c r="E450" t="s">
        <v>14</v>
      </c>
      <c r="F450" t="s">
        <v>22</v>
      </c>
      <c r="G450" t="s">
        <v>16</v>
      </c>
      <c r="H450" t="s">
        <v>21</v>
      </c>
      <c r="I450" s="3">
        <v>17610</v>
      </c>
      <c r="J450" t="b">
        <v>1</v>
      </c>
      <c r="K450" t="b">
        <v>0</v>
      </c>
      <c r="L450" t="b">
        <v>1</v>
      </c>
    </row>
    <row r="451" spans="1:12" x14ac:dyDescent="0.3">
      <c r="A451">
        <v>39</v>
      </c>
      <c r="B451" t="s">
        <v>25</v>
      </c>
      <c r="C451" s="1">
        <v>6</v>
      </c>
      <c r="D451" t="s">
        <v>19</v>
      </c>
      <c r="E451" t="s">
        <v>26</v>
      </c>
      <c r="F451" t="s">
        <v>22</v>
      </c>
      <c r="G451" t="s">
        <v>23</v>
      </c>
      <c r="H451" t="s">
        <v>24</v>
      </c>
      <c r="I451" s="3">
        <v>18895</v>
      </c>
      <c r="J451" t="b">
        <v>0</v>
      </c>
      <c r="K451" t="b">
        <v>1</v>
      </c>
      <c r="L451" t="b">
        <v>1</v>
      </c>
    </row>
    <row r="452" spans="1:12" x14ac:dyDescent="0.3">
      <c r="A452">
        <v>46</v>
      </c>
      <c r="B452" t="s">
        <v>25</v>
      </c>
      <c r="C452" s="1">
        <v>5</v>
      </c>
      <c r="D452" t="s">
        <v>28</v>
      </c>
      <c r="E452" t="s">
        <v>20</v>
      </c>
      <c r="F452" t="s">
        <v>22</v>
      </c>
      <c r="G452" t="s">
        <v>16</v>
      </c>
      <c r="H452" t="s">
        <v>17</v>
      </c>
      <c r="I452" s="3">
        <v>12544</v>
      </c>
      <c r="J452" t="b">
        <v>1</v>
      </c>
      <c r="K452" t="b">
        <v>0</v>
      </c>
      <c r="L452" t="b">
        <v>1</v>
      </c>
    </row>
    <row r="453" spans="1:12" x14ac:dyDescent="0.3">
      <c r="A453">
        <v>20</v>
      </c>
      <c r="B453" t="s">
        <v>12</v>
      </c>
      <c r="C453" s="1">
        <v>7</v>
      </c>
      <c r="D453" t="s">
        <v>28</v>
      </c>
      <c r="E453" t="s">
        <v>26</v>
      </c>
      <c r="F453" t="s">
        <v>22</v>
      </c>
      <c r="G453" t="s">
        <v>29</v>
      </c>
      <c r="H453" t="s">
        <v>24</v>
      </c>
      <c r="I453" s="3">
        <v>15522</v>
      </c>
      <c r="J453" t="b">
        <v>1</v>
      </c>
      <c r="K453" t="b">
        <v>1</v>
      </c>
      <c r="L453" t="b">
        <v>1</v>
      </c>
    </row>
    <row r="454" spans="1:12" x14ac:dyDescent="0.3">
      <c r="A454">
        <v>29</v>
      </c>
      <c r="B454" t="s">
        <v>12</v>
      </c>
      <c r="C454" s="1">
        <v>8</v>
      </c>
      <c r="D454" t="s">
        <v>19</v>
      </c>
      <c r="E454" t="s">
        <v>14</v>
      </c>
      <c r="F454" t="s">
        <v>27</v>
      </c>
      <c r="G454" t="s">
        <v>29</v>
      </c>
      <c r="H454" t="s">
        <v>24</v>
      </c>
      <c r="I454" s="3">
        <v>12370</v>
      </c>
      <c r="J454" t="b">
        <v>1</v>
      </c>
      <c r="K454" t="b">
        <v>1</v>
      </c>
      <c r="L454" t="b">
        <v>0</v>
      </c>
    </row>
    <row r="455" spans="1:12" x14ac:dyDescent="0.3">
      <c r="A455">
        <v>43</v>
      </c>
      <c r="B455" t="s">
        <v>12</v>
      </c>
      <c r="C455" s="1">
        <v>7</v>
      </c>
      <c r="D455" t="s">
        <v>19</v>
      </c>
      <c r="E455" t="s">
        <v>14</v>
      </c>
      <c r="F455" t="s">
        <v>22</v>
      </c>
      <c r="G455" t="s">
        <v>29</v>
      </c>
      <c r="H455" t="s">
        <v>21</v>
      </c>
      <c r="I455" s="3">
        <v>13281</v>
      </c>
      <c r="J455" t="b">
        <v>0</v>
      </c>
      <c r="K455" t="b">
        <v>0</v>
      </c>
      <c r="L455" t="b">
        <v>0</v>
      </c>
    </row>
    <row r="456" spans="1:12" x14ac:dyDescent="0.3">
      <c r="A456">
        <v>33</v>
      </c>
      <c r="B456" t="s">
        <v>18</v>
      </c>
      <c r="C456" s="1">
        <v>5</v>
      </c>
      <c r="D456" t="s">
        <v>19</v>
      </c>
      <c r="E456" t="s">
        <v>14</v>
      </c>
      <c r="F456" t="s">
        <v>22</v>
      </c>
      <c r="G456" t="s">
        <v>16</v>
      </c>
      <c r="H456" t="s">
        <v>24</v>
      </c>
      <c r="I456" s="3">
        <v>14710</v>
      </c>
      <c r="J456" t="b">
        <v>0</v>
      </c>
      <c r="K456" t="b">
        <v>1</v>
      </c>
      <c r="L456" t="b">
        <v>1</v>
      </c>
    </row>
    <row r="457" spans="1:12" x14ac:dyDescent="0.3">
      <c r="A457">
        <v>54</v>
      </c>
      <c r="B457" t="s">
        <v>12</v>
      </c>
      <c r="C457" s="1">
        <v>1</v>
      </c>
      <c r="D457" t="s">
        <v>19</v>
      </c>
      <c r="E457" t="s">
        <v>26</v>
      </c>
      <c r="F457" t="s">
        <v>22</v>
      </c>
      <c r="G457" t="s">
        <v>23</v>
      </c>
      <c r="H457" t="s">
        <v>24</v>
      </c>
      <c r="I457" s="3">
        <v>10328</v>
      </c>
      <c r="J457" t="b">
        <v>0</v>
      </c>
      <c r="K457" t="b">
        <v>0</v>
      </c>
      <c r="L457" t="b">
        <v>1</v>
      </c>
    </row>
    <row r="458" spans="1:12" x14ac:dyDescent="0.3">
      <c r="A458">
        <v>39</v>
      </c>
      <c r="B458" t="s">
        <v>25</v>
      </c>
      <c r="C458" s="1">
        <v>5</v>
      </c>
      <c r="D458" t="s">
        <v>13</v>
      </c>
      <c r="E458" t="s">
        <v>20</v>
      </c>
      <c r="F458" t="s">
        <v>15</v>
      </c>
      <c r="G458" t="s">
        <v>29</v>
      </c>
      <c r="H458" t="s">
        <v>17</v>
      </c>
      <c r="I458" s="3">
        <v>15579</v>
      </c>
      <c r="J458" t="b">
        <v>1</v>
      </c>
      <c r="K458" t="b">
        <v>0</v>
      </c>
      <c r="L458" t="b">
        <v>1</v>
      </c>
    </row>
    <row r="459" spans="1:12" x14ac:dyDescent="0.3">
      <c r="A459">
        <v>46</v>
      </c>
      <c r="B459" t="s">
        <v>12</v>
      </c>
      <c r="C459" s="1">
        <v>2</v>
      </c>
      <c r="D459" t="s">
        <v>19</v>
      </c>
      <c r="E459" t="s">
        <v>14</v>
      </c>
      <c r="F459" t="s">
        <v>27</v>
      </c>
      <c r="G459" t="s">
        <v>16</v>
      </c>
      <c r="H459" t="s">
        <v>17</v>
      </c>
      <c r="I459" s="3">
        <v>14228</v>
      </c>
      <c r="J459" t="b">
        <v>1</v>
      </c>
      <c r="K459" t="b">
        <v>0</v>
      </c>
      <c r="L459" t="b">
        <v>1</v>
      </c>
    </row>
    <row r="460" spans="1:12" x14ac:dyDescent="0.3">
      <c r="A460">
        <v>31</v>
      </c>
      <c r="B460" t="s">
        <v>25</v>
      </c>
      <c r="C460" s="1">
        <v>5</v>
      </c>
      <c r="D460" t="s">
        <v>13</v>
      </c>
      <c r="E460" t="s">
        <v>14</v>
      </c>
      <c r="F460" t="s">
        <v>27</v>
      </c>
      <c r="G460" t="s">
        <v>16</v>
      </c>
      <c r="H460" t="s">
        <v>21</v>
      </c>
      <c r="I460" s="3">
        <v>16794</v>
      </c>
      <c r="J460" t="b">
        <v>1</v>
      </c>
      <c r="K460" t="b">
        <v>1</v>
      </c>
      <c r="L460" t="b">
        <v>0</v>
      </c>
    </row>
    <row r="461" spans="1:12" x14ac:dyDescent="0.3">
      <c r="A461">
        <v>45</v>
      </c>
      <c r="B461" t="s">
        <v>18</v>
      </c>
      <c r="C461" s="1">
        <v>5</v>
      </c>
      <c r="D461" t="s">
        <v>28</v>
      </c>
      <c r="E461" t="s">
        <v>26</v>
      </c>
      <c r="F461" t="s">
        <v>27</v>
      </c>
      <c r="G461" t="s">
        <v>23</v>
      </c>
      <c r="H461" t="s">
        <v>17</v>
      </c>
      <c r="I461" s="3">
        <v>10120</v>
      </c>
      <c r="J461" t="b">
        <v>1</v>
      </c>
      <c r="K461" t="b">
        <v>1</v>
      </c>
      <c r="L461" t="b">
        <v>0</v>
      </c>
    </row>
    <row r="462" spans="1:12" x14ac:dyDescent="0.3">
      <c r="A462">
        <v>22</v>
      </c>
      <c r="B462" t="s">
        <v>25</v>
      </c>
      <c r="C462" s="1">
        <v>2</v>
      </c>
      <c r="D462" t="s">
        <v>19</v>
      </c>
      <c r="E462" t="s">
        <v>20</v>
      </c>
      <c r="F462" t="s">
        <v>22</v>
      </c>
      <c r="G462" t="s">
        <v>29</v>
      </c>
      <c r="H462" t="s">
        <v>17</v>
      </c>
      <c r="I462" s="3">
        <v>16749</v>
      </c>
      <c r="J462" t="b">
        <v>1</v>
      </c>
      <c r="K462" t="b">
        <v>1</v>
      </c>
      <c r="L462" t="b">
        <v>1</v>
      </c>
    </row>
    <row r="463" spans="1:12" x14ac:dyDescent="0.3">
      <c r="A463">
        <v>64</v>
      </c>
      <c r="B463" t="s">
        <v>25</v>
      </c>
      <c r="C463" s="1">
        <v>5</v>
      </c>
      <c r="D463" t="s">
        <v>13</v>
      </c>
      <c r="E463" t="s">
        <v>26</v>
      </c>
      <c r="F463" t="s">
        <v>22</v>
      </c>
      <c r="G463" t="s">
        <v>16</v>
      </c>
      <c r="H463" t="s">
        <v>21</v>
      </c>
      <c r="I463" s="3">
        <v>10964</v>
      </c>
      <c r="J463" t="b">
        <v>0</v>
      </c>
      <c r="K463" t="b">
        <v>0</v>
      </c>
      <c r="L463" t="b">
        <v>0</v>
      </c>
    </row>
    <row r="464" spans="1:12" x14ac:dyDescent="0.3">
      <c r="A464">
        <v>47</v>
      </c>
      <c r="B464" t="s">
        <v>12</v>
      </c>
      <c r="C464" s="1">
        <v>4</v>
      </c>
      <c r="D464" t="s">
        <v>19</v>
      </c>
      <c r="E464" t="s">
        <v>14</v>
      </c>
      <c r="F464" t="s">
        <v>15</v>
      </c>
      <c r="G464" t="s">
        <v>23</v>
      </c>
      <c r="H464" t="s">
        <v>24</v>
      </c>
      <c r="I464" s="3">
        <v>14224</v>
      </c>
      <c r="J464" t="b">
        <v>1</v>
      </c>
      <c r="K464" t="b">
        <v>0</v>
      </c>
      <c r="L464" t="b">
        <v>1</v>
      </c>
    </row>
    <row r="465" spans="1:12" x14ac:dyDescent="0.3">
      <c r="A465">
        <v>63</v>
      </c>
      <c r="B465" t="s">
        <v>12</v>
      </c>
      <c r="C465" s="1">
        <v>1</v>
      </c>
      <c r="D465" t="s">
        <v>28</v>
      </c>
      <c r="E465" t="s">
        <v>20</v>
      </c>
      <c r="F465" t="s">
        <v>27</v>
      </c>
      <c r="G465" t="s">
        <v>29</v>
      </c>
      <c r="H465" t="s">
        <v>21</v>
      </c>
      <c r="I465" s="3">
        <v>13675</v>
      </c>
      <c r="J465" t="b">
        <v>0</v>
      </c>
      <c r="K465" t="b">
        <v>1</v>
      </c>
      <c r="L465" t="b">
        <v>1</v>
      </c>
    </row>
    <row r="466" spans="1:12" x14ac:dyDescent="0.3">
      <c r="A466">
        <v>22</v>
      </c>
      <c r="B466" t="s">
        <v>25</v>
      </c>
      <c r="C466" s="1">
        <v>3</v>
      </c>
      <c r="D466" t="s">
        <v>28</v>
      </c>
      <c r="E466" t="s">
        <v>20</v>
      </c>
      <c r="F466" t="s">
        <v>22</v>
      </c>
      <c r="G466" t="s">
        <v>23</v>
      </c>
      <c r="H466" t="s">
        <v>17</v>
      </c>
      <c r="I466" s="3">
        <v>15694</v>
      </c>
      <c r="J466" t="b">
        <v>1</v>
      </c>
      <c r="K466" t="b">
        <v>1</v>
      </c>
      <c r="L466" t="b">
        <v>0</v>
      </c>
    </row>
    <row r="467" spans="1:12" x14ac:dyDescent="0.3">
      <c r="A467">
        <v>29</v>
      </c>
      <c r="B467" t="s">
        <v>12</v>
      </c>
      <c r="C467" s="1">
        <v>1</v>
      </c>
      <c r="D467" t="s">
        <v>28</v>
      </c>
      <c r="E467" t="s">
        <v>14</v>
      </c>
      <c r="F467" t="s">
        <v>27</v>
      </c>
      <c r="G467" t="s">
        <v>23</v>
      </c>
      <c r="H467" t="s">
        <v>21</v>
      </c>
      <c r="I467" s="3">
        <v>12076</v>
      </c>
      <c r="J467" t="b">
        <v>0</v>
      </c>
      <c r="K467" t="b">
        <v>0</v>
      </c>
      <c r="L467" t="b">
        <v>1</v>
      </c>
    </row>
    <row r="468" spans="1:12" x14ac:dyDescent="0.3">
      <c r="A468">
        <v>33</v>
      </c>
      <c r="B468" t="s">
        <v>18</v>
      </c>
      <c r="C468" s="1">
        <v>5</v>
      </c>
      <c r="D468" t="s">
        <v>19</v>
      </c>
      <c r="E468" t="s">
        <v>20</v>
      </c>
      <c r="F468" t="s">
        <v>15</v>
      </c>
      <c r="G468" t="s">
        <v>16</v>
      </c>
      <c r="H468" t="s">
        <v>24</v>
      </c>
      <c r="I468" s="3">
        <v>16865</v>
      </c>
      <c r="J468" t="b">
        <v>0</v>
      </c>
      <c r="K468" t="b">
        <v>1</v>
      </c>
      <c r="L468" t="b">
        <v>0</v>
      </c>
    </row>
    <row r="469" spans="1:12" x14ac:dyDescent="0.3">
      <c r="A469">
        <v>43</v>
      </c>
      <c r="B469" t="s">
        <v>18</v>
      </c>
      <c r="C469" s="1">
        <v>4</v>
      </c>
      <c r="D469" t="s">
        <v>19</v>
      </c>
      <c r="E469" t="s">
        <v>20</v>
      </c>
      <c r="F469" t="s">
        <v>15</v>
      </c>
      <c r="G469" t="s">
        <v>16</v>
      </c>
      <c r="H469" t="s">
        <v>21</v>
      </c>
      <c r="I469" s="3">
        <v>15643</v>
      </c>
      <c r="J469" t="b">
        <v>0</v>
      </c>
      <c r="K469" t="b">
        <v>0</v>
      </c>
      <c r="L469" t="b">
        <v>1</v>
      </c>
    </row>
    <row r="470" spans="1:12" x14ac:dyDescent="0.3">
      <c r="A470">
        <v>43</v>
      </c>
      <c r="B470" t="s">
        <v>12</v>
      </c>
      <c r="C470" s="1">
        <v>7</v>
      </c>
      <c r="D470" t="s">
        <v>13</v>
      </c>
      <c r="E470" t="s">
        <v>26</v>
      </c>
      <c r="F470" t="s">
        <v>15</v>
      </c>
      <c r="G470" t="s">
        <v>16</v>
      </c>
      <c r="H470" t="s">
        <v>17</v>
      </c>
      <c r="I470" s="3">
        <v>18524</v>
      </c>
      <c r="J470" t="b">
        <v>0</v>
      </c>
      <c r="K470" t="b">
        <v>1</v>
      </c>
      <c r="L470" t="b">
        <v>0</v>
      </c>
    </row>
    <row r="471" spans="1:12" x14ac:dyDescent="0.3">
      <c r="A471">
        <v>38</v>
      </c>
      <c r="B471" t="s">
        <v>18</v>
      </c>
      <c r="C471" s="1">
        <v>5</v>
      </c>
      <c r="D471" t="s">
        <v>28</v>
      </c>
      <c r="E471" t="s">
        <v>14</v>
      </c>
      <c r="F471" t="s">
        <v>27</v>
      </c>
      <c r="G471" t="s">
        <v>23</v>
      </c>
      <c r="H471" t="s">
        <v>17</v>
      </c>
      <c r="I471" s="3">
        <v>15249</v>
      </c>
      <c r="J471" t="b">
        <v>1</v>
      </c>
      <c r="K471" t="b">
        <v>0</v>
      </c>
      <c r="L471" t="b">
        <v>1</v>
      </c>
    </row>
    <row r="472" spans="1:12" x14ac:dyDescent="0.3">
      <c r="A472">
        <v>56</v>
      </c>
      <c r="B472" t="s">
        <v>12</v>
      </c>
      <c r="C472" s="1">
        <v>4</v>
      </c>
      <c r="D472" t="s">
        <v>19</v>
      </c>
      <c r="E472" t="s">
        <v>14</v>
      </c>
      <c r="F472" t="s">
        <v>22</v>
      </c>
      <c r="G472" t="s">
        <v>16</v>
      </c>
      <c r="H472" t="s">
        <v>21</v>
      </c>
      <c r="I472" s="3">
        <v>11316</v>
      </c>
      <c r="J472" t="b">
        <v>1</v>
      </c>
      <c r="K472" t="b">
        <v>1</v>
      </c>
      <c r="L472" t="b">
        <v>0</v>
      </c>
    </row>
    <row r="473" spans="1:12" x14ac:dyDescent="0.3">
      <c r="A473">
        <v>53</v>
      </c>
      <c r="B473" t="s">
        <v>25</v>
      </c>
      <c r="C473" s="1">
        <v>2</v>
      </c>
      <c r="D473" t="s">
        <v>28</v>
      </c>
      <c r="E473" t="s">
        <v>14</v>
      </c>
      <c r="F473" t="s">
        <v>22</v>
      </c>
      <c r="G473" t="s">
        <v>23</v>
      </c>
      <c r="H473" t="s">
        <v>24</v>
      </c>
      <c r="I473" s="3">
        <v>11196</v>
      </c>
      <c r="J473" t="b">
        <v>1</v>
      </c>
      <c r="K473" t="b">
        <v>1</v>
      </c>
      <c r="L473" t="b">
        <v>1</v>
      </c>
    </row>
    <row r="474" spans="1:12" x14ac:dyDescent="0.3">
      <c r="A474">
        <v>50</v>
      </c>
      <c r="B474" t="s">
        <v>25</v>
      </c>
      <c r="C474" s="1">
        <v>4</v>
      </c>
      <c r="D474" t="s">
        <v>28</v>
      </c>
      <c r="E474" t="s">
        <v>14</v>
      </c>
      <c r="F474" t="s">
        <v>15</v>
      </c>
      <c r="G474" t="s">
        <v>23</v>
      </c>
      <c r="H474" t="s">
        <v>21</v>
      </c>
      <c r="I474" s="3">
        <v>13170</v>
      </c>
      <c r="J474" t="b">
        <v>0</v>
      </c>
      <c r="K474" t="b">
        <v>0</v>
      </c>
      <c r="L474" t="b">
        <v>1</v>
      </c>
    </row>
    <row r="475" spans="1:12" x14ac:dyDescent="0.3">
      <c r="A475">
        <v>47</v>
      </c>
      <c r="B475" t="s">
        <v>18</v>
      </c>
      <c r="C475" s="1">
        <v>2</v>
      </c>
      <c r="D475" t="s">
        <v>13</v>
      </c>
      <c r="E475" t="s">
        <v>14</v>
      </c>
      <c r="F475" t="s">
        <v>22</v>
      </c>
      <c r="G475" t="s">
        <v>16</v>
      </c>
      <c r="H475" t="s">
        <v>24</v>
      </c>
      <c r="I475" s="3">
        <v>19621</v>
      </c>
      <c r="J475" t="b">
        <v>1</v>
      </c>
      <c r="K475" t="b">
        <v>0</v>
      </c>
      <c r="L475" t="b">
        <v>0</v>
      </c>
    </row>
    <row r="476" spans="1:12" x14ac:dyDescent="0.3">
      <c r="A476">
        <v>54</v>
      </c>
      <c r="B476" t="s">
        <v>12</v>
      </c>
      <c r="C476" s="1">
        <v>8</v>
      </c>
      <c r="D476" t="s">
        <v>13</v>
      </c>
      <c r="E476" t="s">
        <v>20</v>
      </c>
      <c r="F476" t="s">
        <v>15</v>
      </c>
      <c r="G476" t="s">
        <v>29</v>
      </c>
      <c r="H476" t="s">
        <v>24</v>
      </c>
      <c r="I476" s="3">
        <v>10355</v>
      </c>
      <c r="J476" t="b">
        <v>1</v>
      </c>
      <c r="K476" t="b">
        <v>0</v>
      </c>
      <c r="L476" t="b">
        <v>1</v>
      </c>
    </row>
    <row r="477" spans="1:12" x14ac:dyDescent="0.3">
      <c r="A477">
        <v>40</v>
      </c>
      <c r="B477" t="s">
        <v>12</v>
      </c>
      <c r="C477" s="1">
        <v>3</v>
      </c>
      <c r="D477" t="s">
        <v>13</v>
      </c>
      <c r="E477" t="s">
        <v>26</v>
      </c>
      <c r="F477" t="s">
        <v>27</v>
      </c>
      <c r="G477" t="s">
        <v>29</v>
      </c>
      <c r="H477" t="s">
        <v>21</v>
      </c>
      <c r="I477" s="3">
        <v>19718</v>
      </c>
      <c r="J477" t="b">
        <v>1</v>
      </c>
      <c r="K477" t="b">
        <v>1</v>
      </c>
      <c r="L477" t="b">
        <v>0</v>
      </c>
    </row>
    <row r="478" spans="1:12" x14ac:dyDescent="0.3">
      <c r="A478">
        <v>27</v>
      </c>
      <c r="B478" t="s">
        <v>18</v>
      </c>
      <c r="C478" s="1">
        <v>9</v>
      </c>
      <c r="D478" t="s">
        <v>13</v>
      </c>
      <c r="E478" t="s">
        <v>14</v>
      </c>
      <c r="F478" t="s">
        <v>15</v>
      </c>
      <c r="G478" t="s">
        <v>29</v>
      </c>
      <c r="H478" t="s">
        <v>24</v>
      </c>
      <c r="I478" s="3">
        <v>10028</v>
      </c>
      <c r="J478" t="b">
        <v>1</v>
      </c>
      <c r="K478" t="b">
        <v>0</v>
      </c>
      <c r="L478" t="b">
        <v>0</v>
      </c>
    </row>
    <row r="479" spans="1:12" x14ac:dyDescent="0.3">
      <c r="A479">
        <v>22</v>
      </c>
      <c r="B479" t="s">
        <v>25</v>
      </c>
      <c r="C479" s="1">
        <v>4</v>
      </c>
      <c r="D479" t="s">
        <v>28</v>
      </c>
      <c r="E479" t="s">
        <v>26</v>
      </c>
      <c r="F479" t="s">
        <v>27</v>
      </c>
      <c r="G479" t="s">
        <v>23</v>
      </c>
      <c r="H479" t="s">
        <v>17</v>
      </c>
      <c r="I479" s="3">
        <v>11013</v>
      </c>
      <c r="J479" t="b">
        <v>0</v>
      </c>
      <c r="K479" t="b">
        <v>0</v>
      </c>
      <c r="L479" t="b">
        <v>1</v>
      </c>
    </row>
    <row r="480" spans="1:12" x14ac:dyDescent="0.3">
      <c r="A480">
        <v>53</v>
      </c>
      <c r="B480" t="s">
        <v>18</v>
      </c>
      <c r="C480" s="1">
        <v>6</v>
      </c>
      <c r="D480" t="s">
        <v>13</v>
      </c>
      <c r="E480" t="s">
        <v>26</v>
      </c>
      <c r="F480" t="s">
        <v>15</v>
      </c>
      <c r="G480" t="s">
        <v>23</v>
      </c>
      <c r="H480" t="s">
        <v>21</v>
      </c>
      <c r="I480" s="3">
        <v>19019</v>
      </c>
      <c r="J480" t="b">
        <v>0</v>
      </c>
      <c r="K480" t="b">
        <v>1</v>
      </c>
      <c r="L480" t="b">
        <v>1</v>
      </c>
    </row>
    <row r="481" spans="1:12" x14ac:dyDescent="0.3">
      <c r="A481">
        <v>51</v>
      </c>
      <c r="B481" t="s">
        <v>25</v>
      </c>
      <c r="C481" s="1">
        <v>5</v>
      </c>
      <c r="D481" t="s">
        <v>13</v>
      </c>
      <c r="E481" t="s">
        <v>20</v>
      </c>
      <c r="F481" t="s">
        <v>22</v>
      </c>
      <c r="G481" t="s">
        <v>23</v>
      </c>
      <c r="H481" t="s">
        <v>24</v>
      </c>
      <c r="I481" s="3">
        <v>12024</v>
      </c>
      <c r="J481" t="b">
        <v>1</v>
      </c>
      <c r="K481" t="b">
        <v>0</v>
      </c>
      <c r="L481" t="b">
        <v>1</v>
      </c>
    </row>
    <row r="482" spans="1:12" x14ac:dyDescent="0.3">
      <c r="A482">
        <v>48</v>
      </c>
      <c r="B482" t="s">
        <v>12</v>
      </c>
      <c r="C482" s="1">
        <v>1</v>
      </c>
      <c r="D482" t="s">
        <v>13</v>
      </c>
      <c r="E482" t="s">
        <v>14</v>
      </c>
      <c r="F482" t="s">
        <v>22</v>
      </c>
      <c r="G482" t="s">
        <v>16</v>
      </c>
      <c r="H482" t="s">
        <v>17</v>
      </c>
      <c r="I482" s="3">
        <v>18490</v>
      </c>
      <c r="J482" t="b">
        <v>1</v>
      </c>
      <c r="K482" t="b">
        <v>0</v>
      </c>
      <c r="L482" t="b">
        <v>1</v>
      </c>
    </row>
    <row r="483" spans="1:12" x14ac:dyDescent="0.3">
      <c r="A483">
        <v>27</v>
      </c>
      <c r="B483" t="s">
        <v>25</v>
      </c>
      <c r="C483" s="1">
        <v>9</v>
      </c>
      <c r="D483" t="s">
        <v>13</v>
      </c>
      <c r="E483" t="s">
        <v>20</v>
      </c>
      <c r="F483" t="s">
        <v>15</v>
      </c>
      <c r="G483" t="s">
        <v>23</v>
      </c>
      <c r="H483" t="s">
        <v>21</v>
      </c>
      <c r="I483" s="3">
        <v>15839</v>
      </c>
      <c r="J483" t="b">
        <v>1</v>
      </c>
      <c r="K483" t="b">
        <v>0</v>
      </c>
      <c r="L483" t="b">
        <v>0</v>
      </c>
    </row>
    <row r="484" spans="1:12" x14ac:dyDescent="0.3">
      <c r="A484">
        <v>36</v>
      </c>
      <c r="B484" t="s">
        <v>18</v>
      </c>
      <c r="C484" s="1">
        <v>1</v>
      </c>
      <c r="D484" t="s">
        <v>28</v>
      </c>
      <c r="E484" t="s">
        <v>14</v>
      </c>
      <c r="F484" t="s">
        <v>22</v>
      </c>
      <c r="G484" t="s">
        <v>16</v>
      </c>
      <c r="H484" t="s">
        <v>17</v>
      </c>
      <c r="I484" s="3">
        <v>15791</v>
      </c>
      <c r="J484" t="b">
        <v>0</v>
      </c>
      <c r="K484" t="b">
        <v>1</v>
      </c>
      <c r="L484" t="b">
        <v>1</v>
      </c>
    </row>
    <row r="485" spans="1:12" x14ac:dyDescent="0.3">
      <c r="A485">
        <v>49</v>
      </c>
      <c r="B485" t="s">
        <v>12</v>
      </c>
      <c r="C485" s="1">
        <v>8</v>
      </c>
      <c r="D485" t="s">
        <v>13</v>
      </c>
      <c r="E485" t="s">
        <v>20</v>
      </c>
      <c r="F485" t="s">
        <v>22</v>
      </c>
      <c r="G485" t="s">
        <v>16</v>
      </c>
      <c r="H485" t="s">
        <v>17</v>
      </c>
      <c r="I485" s="3">
        <v>10754</v>
      </c>
      <c r="J485" t="b">
        <v>0</v>
      </c>
      <c r="K485" t="b">
        <v>1</v>
      </c>
      <c r="L485" t="b">
        <v>1</v>
      </c>
    </row>
    <row r="486" spans="1:12" x14ac:dyDescent="0.3">
      <c r="A486">
        <v>18</v>
      </c>
      <c r="B486" t="s">
        <v>18</v>
      </c>
      <c r="C486" s="1">
        <v>9</v>
      </c>
      <c r="D486" t="s">
        <v>28</v>
      </c>
      <c r="E486" t="s">
        <v>26</v>
      </c>
      <c r="F486" t="s">
        <v>22</v>
      </c>
      <c r="G486" t="s">
        <v>29</v>
      </c>
      <c r="H486" t="s">
        <v>17</v>
      </c>
      <c r="I486" s="3">
        <v>18961</v>
      </c>
      <c r="J486" t="b">
        <v>0</v>
      </c>
      <c r="K486" t="b">
        <v>1</v>
      </c>
      <c r="L486" t="b">
        <v>1</v>
      </c>
    </row>
    <row r="487" spans="1:12" x14ac:dyDescent="0.3">
      <c r="A487">
        <v>22</v>
      </c>
      <c r="B487" t="s">
        <v>18</v>
      </c>
      <c r="C487" s="1">
        <v>9</v>
      </c>
      <c r="D487" t="s">
        <v>19</v>
      </c>
      <c r="E487" t="s">
        <v>14</v>
      </c>
      <c r="F487" t="s">
        <v>27</v>
      </c>
      <c r="G487" t="s">
        <v>29</v>
      </c>
      <c r="H487" t="s">
        <v>24</v>
      </c>
      <c r="I487" s="3">
        <v>13735</v>
      </c>
      <c r="J487" t="b">
        <v>1</v>
      </c>
      <c r="K487" t="b">
        <v>0</v>
      </c>
      <c r="L487" t="b">
        <v>0</v>
      </c>
    </row>
    <row r="488" spans="1:12" x14ac:dyDescent="0.3">
      <c r="A488">
        <v>62</v>
      </c>
      <c r="B488" t="s">
        <v>25</v>
      </c>
      <c r="C488" s="1">
        <v>1</v>
      </c>
      <c r="D488" t="s">
        <v>28</v>
      </c>
      <c r="E488" t="s">
        <v>26</v>
      </c>
      <c r="F488" t="s">
        <v>22</v>
      </c>
      <c r="G488" t="s">
        <v>29</v>
      </c>
      <c r="H488" t="s">
        <v>21</v>
      </c>
      <c r="I488" s="3">
        <v>11238</v>
      </c>
      <c r="J488" t="b">
        <v>0</v>
      </c>
      <c r="K488" t="b">
        <v>1</v>
      </c>
      <c r="L488" t="b">
        <v>1</v>
      </c>
    </row>
    <row r="489" spans="1:12" x14ac:dyDescent="0.3">
      <c r="A489">
        <v>21</v>
      </c>
      <c r="B489" t="s">
        <v>18</v>
      </c>
      <c r="C489" s="1">
        <v>2</v>
      </c>
      <c r="D489" t="s">
        <v>28</v>
      </c>
      <c r="E489" t="s">
        <v>26</v>
      </c>
      <c r="F489" t="s">
        <v>27</v>
      </c>
      <c r="G489" t="s">
        <v>16</v>
      </c>
      <c r="H489" t="s">
        <v>21</v>
      </c>
      <c r="I489" s="3">
        <v>11906</v>
      </c>
      <c r="J489" t="b">
        <v>0</v>
      </c>
      <c r="K489" t="b">
        <v>0</v>
      </c>
      <c r="L489" t="b">
        <v>0</v>
      </c>
    </row>
    <row r="490" spans="1:12" x14ac:dyDescent="0.3">
      <c r="A490">
        <v>33</v>
      </c>
      <c r="B490" t="s">
        <v>25</v>
      </c>
      <c r="C490" s="1">
        <v>1</v>
      </c>
      <c r="D490" t="s">
        <v>13</v>
      </c>
      <c r="E490" t="s">
        <v>20</v>
      </c>
      <c r="F490" t="s">
        <v>15</v>
      </c>
      <c r="G490" t="s">
        <v>16</v>
      </c>
      <c r="H490" t="s">
        <v>24</v>
      </c>
      <c r="I490" s="3">
        <v>17399</v>
      </c>
      <c r="J490" t="b">
        <v>0</v>
      </c>
      <c r="K490" t="b">
        <v>0</v>
      </c>
      <c r="L490" t="b">
        <v>1</v>
      </c>
    </row>
    <row r="491" spans="1:12" x14ac:dyDescent="0.3">
      <c r="A491">
        <v>41</v>
      </c>
      <c r="B491" t="s">
        <v>12</v>
      </c>
      <c r="C491" s="1">
        <v>2</v>
      </c>
      <c r="D491" t="s">
        <v>19</v>
      </c>
      <c r="E491" t="s">
        <v>14</v>
      </c>
      <c r="F491" t="s">
        <v>22</v>
      </c>
      <c r="G491" t="s">
        <v>16</v>
      </c>
      <c r="H491" t="s">
        <v>21</v>
      </c>
      <c r="I491" s="3">
        <v>17961</v>
      </c>
      <c r="J491" t="b">
        <v>0</v>
      </c>
      <c r="K491" t="b">
        <v>0</v>
      </c>
      <c r="L491" t="b">
        <v>0</v>
      </c>
    </row>
    <row r="492" spans="1:12" x14ac:dyDescent="0.3">
      <c r="A492">
        <v>33</v>
      </c>
      <c r="B492" t="s">
        <v>25</v>
      </c>
      <c r="C492" s="1">
        <v>8</v>
      </c>
      <c r="D492" t="s">
        <v>19</v>
      </c>
      <c r="E492" t="s">
        <v>26</v>
      </c>
      <c r="F492" t="s">
        <v>22</v>
      </c>
      <c r="G492" t="s">
        <v>23</v>
      </c>
      <c r="H492" t="s">
        <v>17</v>
      </c>
      <c r="I492" s="3">
        <v>19756</v>
      </c>
      <c r="J492" t="b">
        <v>0</v>
      </c>
      <c r="K492" t="b">
        <v>1</v>
      </c>
      <c r="L492" t="b">
        <v>1</v>
      </c>
    </row>
    <row r="493" spans="1:12" x14ac:dyDescent="0.3">
      <c r="A493">
        <v>19</v>
      </c>
      <c r="B493" t="s">
        <v>12</v>
      </c>
      <c r="C493" s="1">
        <v>5</v>
      </c>
      <c r="D493" t="s">
        <v>19</v>
      </c>
      <c r="E493" t="s">
        <v>20</v>
      </c>
      <c r="F493" t="s">
        <v>22</v>
      </c>
      <c r="G493" t="s">
        <v>16</v>
      </c>
      <c r="H493" t="s">
        <v>21</v>
      </c>
      <c r="I493" s="3">
        <v>19410</v>
      </c>
      <c r="J493" t="b">
        <v>1</v>
      </c>
      <c r="K493" t="b">
        <v>1</v>
      </c>
      <c r="L493" t="b">
        <v>1</v>
      </c>
    </row>
    <row r="494" spans="1:12" x14ac:dyDescent="0.3">
      <c r="A494">
        <v>45</v>
      </c>
      <c r="B494" t="s">
        <v>25</v>
      </c>
      <c r="C494" s="1">
        <v>7</v>
      </c>
      <c r="D494" t="s">
        <v>19</v>
      </c>
      <c r="E494" t="s">
        <v>14</v>
      </c>
      <c r="F494" t="s">
        <v>15</v>
      </c>
      <c r="G494" t="s">
        <v>29</v>
      </c>
      <c r="H494" t="s">
        <v>24</v>
      </c>
      <c r="I494" s="3">
        <v>14601</v>
      </c>
      <c r="J494" t="b">
        <v>1</v>
      </c>
      <c r="K494" t="b">
        <v>0</v>
      </c>
      <c r="L494" t="b">
        <v>0</v>
      </c>
    </row>
    <row r="495" spans="1:12" x14ac:dyDescent="0.3">
      <c r="A495">
        <v>49</v>
      </c>
      <c r="B495" t="s">
        <v>18</v>
      </c>
      <c r="C495" s="1">
        <v>2</v>
      </c>
      <c r="D495" t="s">
        <v>28</v>
      </c>
      <c r="E495" t="s">
        <v>14</v>
      </c>
      <c r="F495" t="s">
        <v>27</v>
      </c>
      <c r="G495" t="s">
        <v>29</v>
      </c>
      <c r="H495" t="s">
        <v>17</v>
      </c>
      <c r="I495" s="3">
        <v>19549</v>
      </c>
      <c r="J495" t="b">
        <v>1</v>
      </c>
      <c r="K495" t="b">
        <v>0</v>
      </c>
      <c r="L495" t="b">
        <v>1</v>
      </c>
    </row>
    <row r="496" spans="1:12" x14ac:dyDescent="0.3">
      <c r="A496">
        <v>44</v>
      </c>
      <c r="B496" t="s">
        <v>25</v>
      </c>
      <c r="C496" s="1">
        <v>8</v>
      </c>
      <c r="D496" t="s">
        <v>19</v>
      </c>
      <c r="E496" t="s">
        <v>26</v>
      </c>
      <c r="F496" t="s">
        <v>27</v>
      </c>
      <c r="G496" t="s">
        <v>16</v>
      </c>
      <c r="H496" t="s">
        <v>24</v>
      </c>
      <c r="I496" s="3">
        <v>11460</v>
      </c>
      <c r="J496" t="b">
        <v>1</v>
      </c>
      <c r="K496" t="b">
        <v>1</v>
      </c>
      <c r="L496" t="b">
        <v>1</v>
      </c>
    </row>
    <row r="497" spans="1:12" x14ac:dyDescent="0.3">
      <c r="A497">
        <v>37</v>
      </c>
      <c r="B497" t="s">
        <v>25</v>
      </c>
      <c r="C497" s="1">
        <v>6</v>
      </c>
      <c r="D497" t="s">
        <v>28</v>
      </c>
      <c r="E497" t="s">
        <v>14</v>
      </c>
      <c r="F497" t="s">
        <v>22</v>
      </c>
      <c r="G497" t="s">
        <v>16</v>
      </c>
      <c r="H497" t="s">
        <v>17</v>
      </c>
      <c r="I497" s="3">
        <v>17669</v>
      </c>
      <c r="J497" t="b">
        <v>0</v>
      </c>
      <c r="K497" t="b">
        <v>1</v>
      </c>
      <c r="L497" t="b">
        <v>1</v>
      </c>
    </row>
    <row r="498" spans="1:12" x14ac:dyDescent="0.3">
      <c r="A498">
        <v>41</v>
      </c>
      <c r="B498" t="s">
        <v>12</v>
      </c>
      <c r="C498" s="1">
        <v>8</v>
      </c>
      <c r="D498" t="s">
        <v>28</v>
      </c>
      <c r="E498" t="s">
        <v>26</v>
      </c>
      <c r="F498" t="s">
        <v>15</v>
      </c>
      <c r="G498" t="s">
        <v>29</v>
      </c>
      <c r="H498" t="s">
        <v>17</v>
      </c>
      <c r="I498" s="3">
        <v>11416</v>
      </c>
      <c r="J498" t="b">
        <v>1</v>
      </c>
      <c r="K498" t="b">
        <v>1</v>
      </c>
      <c r="L498" t="b">
        <v>0</v>
      </c>
    </row>
    <row r="499" spans="1:12" x14ac:dyDescent="0.3">
      <c r="A499">
        <v>29</v>
      </c>
      <c r="B499" t="s">
        <v>18</v>
      </c>
      <c r="C499" s="1">
        <v>1</v>
      </c>
      <c r="D499" t="s">
        <v>28</v>
      </c>
      <c r="E499" t="s">
        <v>14</v>
      </c>
      <c r="F499" t="s">
        <v>15</v>
      </c>
      <c r="G499" t="s">
        <v>16</v>
      </c>
      <c r="H499" t="s">
        <v>21</v>
      </c>
      <c r="I499" s="3">
        <v>17766</v>
      </c>
      <c r="J499" t="b">
        <v>1</v>
      </c>
      <c r="K499" t="b">
        <v>0</v>
      </c>
      <c r="L499" t="b">
        <v>1</v>
      </c>
    </row>
    <row r="500" spans="1:12" x14ac:dyDescent="0.3">
      <c r="A500">
        <v>52</v>
      </c>
      <c r="B500" t="s">
        <v>25</v>
      </c>
      <c r="C500" s="1">
        <v>1</v>
      </c>
      <c r="D500" t="s">
        <v>19</v>
      </c>
      <c r="E500" t="s">
        <v>20</v>
      </c>
      <c r="F500" t="s">
        <v>15</v>
      </c>
      <c r="G500" t="s">
        <v>29</v>
      </c>
      <c r="H500" t="s">
        <v>17</v>
      </c>
      <c r="I500" s="3">
        <v>11428</v>
      </c>
      <c r="J500" t="b">
        <v>1</v>
      </c>
      <c r="K500" t="b">
        <v>1</v>
      </c>
      <c r="L500" t="b">
        <v>0</v>
      </c>
    </row>
    <row r="501" spans="1:12" x14ac:dyDescent="0.3">
      <c r="A501">
        <v>50</v>
      </c>
      <c r="B501" t="s">
        <v>18</v>
      </c>
      <c r="C501" s="1">
        <v>7</v>
      </c>
      <c r="D501" t="s">
        <v>13</v>
      </c>
      <c r="E501" t="s">
        <v>26</v>
      </c>
      <c r="F501" t="s">
        <v>15</v>
      </c>
      <c r="G501" t="s">
        <v>23</v>
      </c>
      <c r="H501" t="s">
        <v>24</v>
      </c>
      <c r="I501" s="3">
        <v>14378</v>
      </c>
      <c r="J501" t="b">
        <v>0</v>
      </c>
      <c r="K501" t="b">
        <v>1</v>
      </c>
      <c r="L501" t="b">
        <v>0</v>
      </c>
    </row>
    <row r="502" spans="1:12" x14ac:dyDescent="0.3">
      <c r="A502">
        <v>50</v>
      </c>
      <c r="B502" t="s">
        <v>25</v>
      </c>
      <c r="C502" s="1">
        <v>8</v>
      </c>
      <c r="D502" t="s">
        <v>13</v>
      </c>
      <c r="E502" t="s">
        <v>26</v>
      </c>
      <c r="F502" t="s">
        <v>15</v>
      </c>
      <c r="G502" t="s">
        <v>29</v>
      </c>
      <c r="H502" t="s">
        <v>21</v>
      </c>
      <c r="I502" s="3">
        <v>17529</v>
      </c>
      <c r="J502" t="b">
        <v>1</v>
      </c>
      <c r="K502" t="b">
        <v>1</v>
      </c>
      <c r="L502" t="b">
        <v>0</v>
      </c>
    </row>
    <row r="503" spans="1:12" x14ac:dyDescent="0.3">
      <c r="A503">
        <v>60</v>
      </c>
      <c r="B503" t="s">
        <v>25</v>
      </c>
      <c r="C503" s="1">
        <v>3</v>
      </c>
      <c r="D503" t="s">
        <v>19</v>
      </c>
      <c r="E503" t="s">
        <v>14</v>
      </c>
      <c r="F503" t="s">
        <v>27</v>
      </c>
      <c r="G503" t="s">
        <v>23</v>
      </c>
      <c r="H503" t="s">
        <v>24</v>
      </c>
      <c r="I503" s="3">
        <v>14474</v>
      </c>
      <c r="J503" t="b">
        <v>0</v>
      </c>
      <c r="K503" t="b">
        <v>0</v>
      </c>
      <c r="L503" t="b">
        <v>1</v>
      </c>
    </row>
    <row r="504" spans="1:12" x14ac:dyDescent="0.3">
      <c r="A504">
        <v>54</v>
      </c>
      <c r="B504" t="s">
        <v>18</v>
      </c>
      <c r="C504" s="1">
        <v>5</v>
      </c>
      <c r="D504" t="s">
        <v>13</v>
      </c>
      <c r="E504" t="s">
        <v>14</v>
      </c>
      <c r="F504" t="s">
        <v>27</v>
      </c>
      <c r="G504" t="s">
        <v>16</v>
      </c>
      <c r="H504" t="s">
        <v>17</v>
      </c>
      <c r="I504" s="3">
        <v>13071</v>
      </c>
      <c r="J504" t="b">
        <v>0</v>
      </c>
      <c r="K504" t="b">
        <v>1</v>
      </c>
      <c r="L504" t="b">
        <v>0</v>
      </c>
    </row>
    <row r="505" spans="1:12" x14ac:dyDescent="0.3">
      <c r="A505">
        <v>29</v>
      </c>
      <c r="B505" t="s">
        <v>25</v>
      </c>
      <c r="C505" s="1">
        <v>1</v>
      </c>
      <c r="D505" t="s">
        <v>13</v>
      </c>
      <c r="E505" t="s">
        <v>26</v>
      </c>
      <c r="F505" t="s">
        <v>27</v>
      </c>
      <c r="G505" t="s">
        <v>16</v>
      </c>
      <c r="H505" t="s">
        <v>24</v>
      </c>
      <c r="I505" s="3">
        <v>10555</v>
      </c>
      <c r="J505" t="b">
        <v>0</v>
      </c>
      <c r="K505" t="b">
        <v>0</v>
      </c>
      <c r="L505" t="b">
        <v>0</v>
      </c>
    </row>
    <row r="506" spans="1:12" x14ac:dyDescent="0.3">
      <c r="A506">
        <v>20</v>
      </c>
      <c r="B506" t="s">
        <v>18</v>
      </c>
      <c r="C506" s="1">
        <v>7</v>
      </c>
      <c r="D506" t="s">
        <v>28</v>
      </c>
      <c r="E506" t="s">
        <v>14</v>
      </c>
      <c r="F506" t="s">
        <v>22</v>
      </c>
      <c r="G506" t="s">
        <v>23</v>
      </c>
      <c r="H506" t="s">
        <v>24</v>
      </c>
      <c r="I506" s="3">
        <v>18547</v>
      </c>
      <c r="J506" t="b">
        <v>1</v>
      </c>
      <c r="K506" t="b">
        <v>0</v>
      </c>
      <c r="L506" t="b">
        <v>1</v>
      </c>
    </row>
    <row r="507" spans="1:12" x14ac:dyDescent="0.3">
      <c r="A507">
        <v>18</v>
      </c>
      <c r="B507" t="s">
        <v>25</v>
      </c>
      <c r="C507" s="1">
        <v>5</v>
      </c>
      <c r="D507" t="s">
        <v>28</v>
      </c>
      <c r="E507" t="s">
        <v>20</v>
      </c>
      <c r="F507" t="s">
        <v>15</v>
      </c>
      <c r="G507" t="s">
        <v>16</v>
      </c>
      <c r="H507" t="s">
        <v>17</v>
      </c>
      <c r="I507" s="3">
        <v>11563</v>
      </c>
      <c r="J507" t="b">
        <v>0</v>
      </c>
      <c r="K507" t="b">
        <v>0</v>
      </c>
      <c r="L507" t="b">
        <v>0</v>
      </c>
    </row>
    <row r="508" spans="1:12" x14ac:dyDescent="0.3">
      <c r="A508">
        <v>50</v>
      </c>
      <c r="B508" t="s">
        <v>12</v>
      </c>
      <c r="C508" s="1">
        <v>8</v>
      </c>
      <c r="D508" t="s">
        <v>19</v>
      </c>
      <c r="E508" t="s">
        <v>14</v>
      </c>
      <c r="F508" t="s">
        <v>22</v>
      </c>
      <c r="G508" t="s">
        <v>23</v>
      </c>
      <c r="H508" t="s">
        <v>21</v>
      </c>
      <c r="I508" s="3">
        <v>11040</v>
      </c>
      <c r="J508" t="b">
        <v>1</v>
      </c>
      <c r="K508" t="b">
        <v>1</v>
      </c>
      <c r="L508" t="b">
        <v>0</v>
      </c>
    </row>
    <row r="509" spans="1:12" x14ac:dyDescent="0.3">
      <c r="A509">
        <v>57</v>
      </c>
      <c r="B509" t="s">
        <v>18</v>
      </c>
      <c r="C509" s="1">
        <v>8</v>
      </c>
      <c r="D509" t="s">
        <v>19</v>
      </c>
      <c r="E509" t="s">
        <v>20</v>
      </c>
      <c r="F509" t="s">
        <v>15</v>
      </c>
      <c r="G509" t="s">
        <v>16</v>
      </c>
      <c r="H509" t="s">
        <v>24</v>
      </c>
      <c r="I509" s="3">
        <v>12686</v>
      </c>
      <c r="J509" t="b">
        <v>1</v>
      </c>
      <c r="K509" t="b">
        <v>1</v>
      </c>
      <c r="L509" t="b">
        <v>1</v>
      </c>
    </row>
    <row r="510" spans="1:12" x14ac:dyDescent="0.3">
      <c r="A510">
        <v>27</v>
      </c>
      <c r="B510" t="s">
        <v>25</v>
      </c>
      <c r="C510" s="1">
        <v>9</v>
      </c>
      <c r="D510" t="s">
        <v>13</v>
      </c>
      <c r="E510" t="s">
        <v>20</v>
      </c>
      <c r="F510" t="s">
        <v>27</v>
      </c>
      <c r="G510" t="s">
        <v>29</v>
      </c>
      <c r="H510" t="s">
        <v>17</v>
      </c>
      <c r="I510" s="3">
        <v>12553</v>
      </c>
      <c r="J510" t="b">
        <v>1</v>
      </c>
      <c r="K510" t="b">
        <v>1</v>
      </c>
      <c r="L510" t="b">
        <v>1</v>
      </c>
    </row>
    <row r="511" spans="1:12" x14ac:dyDescent="0.3">
      <c r="A511">
        <v>60</v>
      </c>
      <c r="B511" t="s">
        <v>25</v>
      </c>
      <c r="C511" s="1">
        <v>7</v>
      </c>
      <c r="D511" t="s">
        <v>28</v>
      </c>
      <c r="E511" t="s">
        <v>20</v>
      </c>
      <c r="F511" t="s">
        <v>22</v>
      </c>
      <c r="G511" t="s">
        <v>16</v>
      </c>
      <c r="H511" t="s">
        <v>21</v>
      </c>
      <c r="I511" s="3">
        <v>11779</v>
      </c>
      <c r="J511" t="b">
        <v>0</v>
      </c>
      <c r="K511" t="b">
        <v>0</v>
      </c>
      <c r="L511" t="b">
        <v>0</v>
      </c>
    </row>
    <row r="512" spans="1:12" x14ac:dyDescent="0.3">
      <c r="A512">
        <v>61</v>
      </c>
      <c r="B512" t="s">
        <v>12</v>
      </c>
      <c r="C512" s="1">
        <v>1</v>
      </c>
      <c r="D512" t="s">
        <v>19</v>
      </c>
      <c r="E512" t="s">
        <v>20</v>
      </c>
      <c r="F512" t="s">
        <v>27</v>
      </c>
      <c r="G512" t="s">
        <v>29</v>
      </c>
      <c r="H512" t="s">
        <v>21</v>
      </c>
      <c r="I512" s="3">
        <v>10075</v>
      </c>
      <c r="J512" t="b">
        <v>0</v>
      </c>
      <c r="K512" t="b">
        <v>1</v>
      </c>
      <c r="L512" t="b">
        <v>1</v>
      </c>
    </row>
    <row r="513" spans="1:12" x14ac:dyDescent="0.3">
      <c r="A513">
        <v>46</v>
      </c>
      <c r="B513" t="s">
        <v>18</v>
      </c>
      <c r="C513" s="1">
        <v>3</v>
      </c>
      <c r="D513" t="s">
        <v>19</v>
      </c>
      <c r="E513" t="s">
        <v>20</v>
      </c>
      <c r="F513" t="s">
        <v>15</v>
      </c>
      <c r="G513" t="s">
        <v>29</v>
      </c>
      <c r="H513" t="s">
        <v>21</v>
      </c>
      <c r="I513" s="3">
        <v>14326</v>
      </c>
      <c r="J513" t="b">
        <v>1</v>
      </c>
      <c r="K513" t="b">
        <v>0</v>
      </c>
      <c r="L513" t="b">
        <v>1</v>
      </c>
    </row>
    <row r="514" spans="1:12" x14ac:dyDescent="0.3">
      <c r="A514">
        <v>30</v>
      </c>
      <c r="B514" t="s">
        <v>25</v>
      </c>
      <c r="C514" s="1">
        <v>8</v>
      </c>
      <c r="D514" t="s">
        <v>19</v>
      </c>
      <c r="E514" t="s">
        <v>14</v>
      </c>
      <c r="F514" t="s">
        <v>15</v>
      </c>
      <c r="G514" t="s">
        <v>23</v>
      </c>
      <c r="H514" t="s">
        <v>24</v>
      </c>
      <c r="I514" s="3">
        <v>15835</v>
      </c>
      <c r="J514" t="b">
        <v>0</v>
      </c>
      <c r="K514" t="b">
        <v>1</v>
      </c>
      <c r="L514" t="b">
        <v>1</v>
      </c>
    </row>
    <row r="515" spans="1:12" x14ac:dyDescent="0.3">
      <c r="A515">
        <v>29</v>
      </c>
      <c r="B515" t="s">
        <v>12</v>
      </c>
      <c r="C515" s="1">
        <v>3</v>
      </c>
      <c r="D515" t="s">
        <v>19</v>
      </c>
      <c r="E515" t="s">
        <v>20</v>
      </c>
      <c r="F515" t="s">
        <v>15</v>
      </c>
      <c r="G515" t="s">
        <v>16</v>
      </c>
      <c r="H515" t="s">
        <v>24</v>
      </c>
      <c r="I515" s="3">
        <v>15057</v>
      </c>
      <c r="J515" t="b">
        <v>0</v>
      </c>
      <c r="K515" t="b">
        <v>1</v>
      </c>
      <c r="L515" t="b">
        <v>0</v>
      </c>
    </row>
    <row r="516" spans="1:12" x14ac:dyDescent="0.3">
      <c r="A516">
        <v>48</v>
      </c>
      <c r="B516" t="s">
        <v>25</v>
      </c>
      <c r="C516" s="1">
        <v>8</v>
      </c>
      <c r="D516" t="s">
        <v>19</v>
      </c>
      <c r="E516" t="s">
        <v>14</v>
      </c>
      <c r="F516" t="s">
        <v>27</v>
      </c>
      <c r="G516" t="s">
        <v>23</v>
      </c>
      <c r="H516" t="s">
        <v>24</v>
      </c>
      <c r="I516" s="3">
        <v>12349</v>
      </c>
      <c r="J516" t="b">
        <v>0</v>
      </c>
      <c r="K516" t="b">
        <v>1</v>
      </c>
      <c r="L516" t="b">
        <v>0</v>
      </c>
    </row>
    <row r="517" spans="1:12" x14ac:dyDescent="0.3">
      <c r="A517">
        <v>63</v>
      </c>
      <c r="B517" t="s">
        <v>18</v>
      </c>
      <c r="C517" s="1">
        <v>1</v>
      </c>
      <c r="D517" t="s">
        <v>19</v>
      </c>
      <c r="E517" t="s">
        <v>20</v>
      </c>
      <c r="F517" t="s">
        <v>15</v>
      </c>
      <c r="G517" t="s">
        <v>16</v>
      </c>
      <c r="H517" t="s">
        <v>21</v>
      </c>
      <c r="I517" s="3">
        <v>12773</v>
      </c>
      <c r="J517" t="b">
        <v>1</v>
      </c>
      <c r="K517" t="b">
        <v>1</v>
      </c>
      <c r="L517" t="b">
        <v>1</v>
      </c>
    </row>
    <row r="518" spans="1:12" x14ac:dyDescent="0.3">
      <c r="A518">
        <v>19</v>
      </c>
      <c r="B518" t="s">
        <v>25</v>
      </c>
      <c r="C518" s="1">
        <v>5</v>
      </c>
      <c r="D518" t="s">
        <v>13</v>
      </c>
      <c r="E518" t="s">
        <v>26</v>
      </c>
      <c r="F518" t="s">
        <v>27</v>
      </c>
      <c r="G518" t="s">
        <v>29</v>
      </c>
      <c r="H518" t="s">
        <v>24</v>
      </c>
      <c r="I518" s="3">
        <v>12262</v>
      </c>
      <c r="J518" t="b">
        <v>0</v>
      </c>
      <c r="K518" t="b">
        <v>0</v>
      </c>
      <c r="L518" t="b">
        <v>0</v>
      </c>
    </row>
    <row r="519" spans="1:12" x14ac:dyDescent="0.3">
      <c r="A519">
        <v>52</v>
      </c>
      <c r="B519" t="s">
        <v>25</v>
      </c>
      <c r="C519" s="1">
        <v>4</v>
      </c>
      <c r="D519" t="s">
        <v>28</v>
      </c>
      <c r="E519" t="s">
        <v>20</v>
      </c>
      <c r="F519" t="s">
        <v>22</v>
      </c>
      <c r="G519" t="s">
        <v>29</v>
      </c>
      <c r="H519" t="s">
        <v>17</v>
      </c>
      <c r="I519" s="3">
        <v>13229</v>
      </c>
      <c r="J519" t="b">
        <v>0</v>
      </c>
      <c r="K519" t="b">
        <v>0</v>
      </c>
      <c r="L519" t="b">
        <v>1</v>
      </c>
    </row>
    <row r="520" spans="1:12" x14ac:dyDescent="0.3">
      <c r="A520">
        <v>40</v>
      </c>
      <c r="B520" t="s">
        <v>25</v>
      </c>
      <c r="C520" s="1">
        <v>5</v>
      </c>
      <c r="D520" t="s">
        <v>28</v>
      </c>
      <c r="E520" t="s">
        <v>26</v>
      </c>
      <c r="F520" t="s">
        <v>15</v>
      </c>
      <c r="G520" t="s">
        <v>16</v>
      </c>
      <c r="H520" t="s">
        <v>24</v>
      </c>
      <c r="I520" s="3">
        <v>10392</v>
      </c>
      <c r="J520" t="b">
        <v>1</v>
      </c>
      <c r="K520" t="b">
        <v>0</v>
      </c>
      <c r="L520" t="b">
        <v>1</v>
      </c>
    </row>
    <row r="521" spans="1:12" x14ac:dyDescent="0.3">
      <c r="A521">
        <v>34</v>
      </c>
      <c r="B521" t="s">
        <v>25</v>
      </c>
      <c r="C521" s="1">
        <v>8</v>
      </c>
      <c r="D521" t="s">
        <v>19</v>
      </c>
      <c r="E521" t="s">
        <v>20</v>
      </c>
      <c r="F521" t="s">
        <v>15</v>
      </c>
      <c r="G521" t="s">
        <v>16</v>
      </c>
      <c r="H521" t="s">
        <v>24</v>
      </c>
      <c r="I521" s="3">
        <v>11108</v>
      </c>
      <c r="J521" t="b">
        <v>0</v>
      </c>
      <c r="K521" t="b">
        <v>0</v>
      </c>
      <c r="L521" t="b">
        <v>1</v>
      </c>
    </row>
    <row r="522" spans="1:12" x14ac:dyDescent="0.3">
      <c r="A522">
        <v>43</v>
      </c>
      <c r="B522" t="s">
        <v>12</v>
      </c>
      <c r="C522" s="1">
        <v>4</v>
      </c>
      <c r="D522" t="s">
        <v>28</v>
      </c>
      <c r="E522" t="s">
        <v>20</v>
      </c>
      <c r="F522" t="s">
        <v>15</v>
      </c>
      <c r="G522" t="s">
        <v>23</v>
      </c>
      <c r="H522" t="s">
        <v>21</v>
      </c>
      <c r="I522" s="3">
        <v>14362</v>
      </c>
      <c r="J522" t="b">
        <v>1</v>
      </c>
      <c r="K522" t="b">
        <v>1</v>
      </c>
      <c r="L522" t="b">
        <v>1</v>
      </c>
    </row>
    <row r="523" spans="1:12" x14ac:dyDescent="0.3">
      <c r="A523">
        <v>25</v>
      </c>
      <c r="B523" t="s">
        <v>12</v>
      </c>
      <c r="C523" s="1">
        <v>4</v>
      </c>
      <c r="D523" t="s">
        <v>28</v>
      </c>
      <c r="E523" t="s">
        <v>20</v>
      </c>
      <c r="F523" t="s">
        <v>22</v>
      </c>
      <c r="G523" t="s">
        <v>16</v>
      </c>
      <c r="H523" t="s">
        <v>24</v>
      </c>
      <c r="I523" s="3">
        <v>15188</v>
      </c>
      <c r="J523" t="b">
        <v>0</v>
      </c>
      <c r="K523" t="b">
        <v>0</v>
      </c>
      <c r="L523" t="b">
        <v>1</v>
      </c>
    </row>
    <row r="524" spans="1:12" x14ac:dyDescent="0.3">
      <c r="A524">
        <v>46</v>
      </c>
      <c r="B524" t="s">
        <v>18</v>
      </c>
      <c r="C524" s="1">
        <v>3</v>
      </c>
      <c r="D524" t="s">
        <v>28</v>
      </c>
      <c r="E524" t="s">
        <v>26</v>
      </c>
      <c r="F524" t="s">
        <v>15</v>
      </c>
      <c r="G524" t="s">
        <v>16</v>
      </c>
      <c r="H524" t="s">
        <v>17</v>
      </c>
      <c r="I524" s="3">
        <v>18802</v>
      </c>
      <c r="J524" t="b">
        <v>0</v>
      </c>
      <c r="K524" t="b">
        <v>0</v>
      </c>
      <c r="L524" t="b">
        <v>0</v>
      </c>
    </row>
    <row r="525" spans="1:12" x14ac:dyDescent="0.3">
      <c r="A525">
        <v>43</v>
      </c>
      <c r="B525" t="s">
        <v>12</v>
      </c>
      <c r="C525" s="1">
        <v>7</v>
      </c>
      <c r="D525" t="s">
        <v>19</v>
      </c>
      <c r="E525" t="s">
        <v>26</v>
      </c>
      <c r="F525" t="s">
        <v>27</v>
      </c>
      <c r="G525" t="s">
        <v>16</v>
      </c>
      <c r="H525" t="s">
        <v>21</v>
      </c>
      <c r="I525" s="3">
        <v>15057</v>
      </c>
      <c r="J525" t="b">
        <v>0</v>
      </c>
      <c r="K525" t="b">
        <v>0</v>
      </c>
      <c r="L525" t="b">
        <v>0</v>
      </c>
    </row>
    <row r="526" spans="1:12" x14ac:dyDescent="0.3">
      <c r="A526">
        <v>27</v>
      </c>
      <c r="B526" t="s">
        <v>12</v>
      </c>
      <c r="C526" s="1">
        <v>3</v>
      </c>
      <c r="D526" t="s">
        <v>19</v>
      </c>
      <c r="E526" t="s">
        <v>20</v>
      </c>
      <c r="F526" t="s">
        <v>27</v>
      </c>
      <c r="G526" t="s">
        <v>23</v>
      </c>
      <c r="H526" t="s">
        <v>17</v>
      </c>
      <c r="I526" s="3">
        <v>13998</v>
      </c>
      <c r="J526" t="b">
        <v>0</v>
      </c>
      <c r="K526" t="b">
        <v>1</v>
      </c>
      <c r="L526" t="b">
        <v>0</v>
      </c>
    </row>
    <row r="527" spans="1:12" x14ac:dyDescent="0.3">
      <c r="A527">
        <v>43</v>
      </c>
      <c r="B527" t="s">
        <v>18</v>
      </c>
      <c r="C527" s="1">
        <v>3</v>
      </c>
      <c r="D527" t="s">
        <v>28</v>
      </c>
      <c r="E527" t="s">
        <v>14</v>
      </c>
      <c r="F527" t="s">
        <v>15</v>
      </c>
      <c r="G527" t="s">
        <v>16</v>
      </c>
      <c r="H527" t="s">
        <v>21</v>
      </c>
      <c r="I527" s="3">
        <v>18864</v>
      </c>
      <c r="J527" t="b">
        <v>0</v>
      </c>
      <c r="K527" t="b">
        <v>0</v>
      </c>
      <c r="L527" t="b">
        <v>0</v>
      </c>
    </row>
    <row r="528" spans="1:12" x14ac:dyDescent="0.3">
      <c r="A528">
        <v>51</v>
      </c>
      <c r="B528" t="s">
        <v>12</v>
      </c>
      <c r="C528" s="1">
        <v>5</v>
      </c>
      <c r="D528" t="s">
        <v>28</v>
      </c>
      <c r="E528" t="s">
        <v>20</v>
      </c>
      <c r="F528" t="s">
        <v>15</v>
      </c>
      <c r="G528" t="s">
        <v>29</v>
      </c>
      <c r="H528" t="s">
        <v>21</v>
      </c>
      <c r="I528" s="3">
        <v>16566</v>
      </c>
      <c r="J528" t="b">
        <v>0</v>
      </c>
      <c r="K528" t="b">
        <v>0</v>
      </c>
      <c r="L528" t="b">
        <v>1</v>
      </c>
    </row>
    <row r="529" spans="1:12" x14ac:dyDescent="0.3">
      <c r="A529">
        <v>58</v>
      </c>
      <c r="B529" t="s">
        <v>12</v>
      </c>
      <c r="C529" s="1">
        <v>5</v>
      </c>
      <c r="D529" t="s">
        <v>19</v>
      </c>
      <c r="E529" t="s">
        <v>26</v>
      </c>
      <c r="F529" t="s">
        <v>22</v>
      </c>
      <c r="G529" t="s">
        <v>23</v>
      </c>
      <c r="H529" t="s">
        <v>24</v>
      </c>
      <c r="I529" s="3">
        <v>13677</v>
      </c>
      <c r="J529" t="b">
        <v>1</v>
      </c>
      <c r="K529" t="b">
        <v>1</v>
      </c>
      <c r="L529" t="b">
        <v>1</v>
      </c>
    </row>
    <row r="530" spans="1:12" x14ac:dyDescent="0.3">
      <c r="A530">
        <v>24</v>
      </c>
      <c r="B530" t="s">
        <v>18</v>
      </c>
      <c r="C530" s="1">
        <v>6</v>
      </c>
      <c r="D530" t="s">
        <v>13</v>
      </c>
      <c r="E530" t="s">
        <v>20</v>
      </c>
      <c r="F530" t="s">
        <v>22</v>
      </c>
      <c r="G530" t="s">
        <v>23</v>
      </c>
      <c r="H530" t="s">
        <v>17</v>
      </c>
      <c r="I530" s="3">
        <v>15796</v>
      </c>
      <c r="J530" t="b">
        <v>0</v>
      </c>
      <c r="K530" t="b">
        <v>1</v>
      </c>
      <c r="L530" t="b">
        <v>0</v>
      </c>
    </row>
    <row r="531" spans="1:12" x14ac:dyDescent="0.3">
      <c r="A531">
        <v>21</v>
      </c>
      <c r="B531" t="s">
        <v>18</v>
      </c>
      <c r="C531" s="1">
        <v>8</v>
      </c>
      <c r="D531" t="s">
        <v>28</v>
      </c>
      <c r="E531" t="s">
        <v>26</v>
      </c>
      <c r="F531" t="s">
        <v>22</v>
      </c>
      <c r="G531" t="s">
        <v>29</v>
      </c>
      <c r="H531" t="s">
        <v>21</v>
      </c>
      <c r="I531" s="3">
        <v>16363</v>
      </c>
      <c r="J531" t="b">
        <v>0</v>
      </c>
      <c r="K531" t="b">
        <v>0</v>
      </c>
      <c r="L531" t="b">
        <v>0</v>
      </c>
    </row>
    <row r="532" spans="1:12" x14ac:dyDescent="0.3">
      <c r="A532">
        <v>62</v>
      </c>
      <c r="B532" t="s">
        <v>18</v>
      </c>
      <c r="C532" s="1">
        <v>6</v>
      </c>
      <c r="D532" t="s">
        <v>13</v>
      </c>
      <c r="E532" t="s">
        <v>26</v>
      </c>
      <c r="F532" t="s">
        <v>15</v>
      </c>
      <c r="G532" t="s">
        <v>29</v>
      </c>
      <c r="H532" t="s">
        <v>24</v>
      </c>
      <c r="I532" s="3">
        <v>18123</v>
      </c>
      <c r="J532" t="b">
        <v>0</v>
      </c>
      <c r="K532" t="b">
        <v>0</v>
      </c>
      <c r="L532" t="b">
        <v>1</v>
      </c>
    </row>
    <row r="533" spans="1:12" x14ac:dyDescent="0.3">
      <c r="A533">
        <v>28</v>
      </c>
      <c r="B533" t="s">
        <v>25</v>
      </c>
      <c r="C533" s="1">
        <v>1</v>
      </c>
      <c r="D533" t="s">
        <v>28</v>
      </c>
      <c r="E533" t="s">
        <v>26</v>
      </c>
      <c r="F533" t="s">
        <v>22</v>
      </c>
      <c r="G533" t="s">
        <v>29</v>
      </c>
      <c r="H533" t="s">
        <v>21</v>
      </c>
      <c r="I533" s="3">
        <v>18222</v>
      </c>
      <c r="J533" t="b">
        <v>1</v>
      </c>
      <c r="K533" t="b">
        <v>1</v>
      </c>
      <c r="L533" t="b">
        <v>1</v>
      </c>
    </row>
    <row r="534" spans="1:12" x14ac:dyDescent="0.3">
      <c r="A534">
        <v>46</v>
      </c>
      <c r="B534" t="s">
        <v>25</v>
      </c>
      <c r="C534" s="1">
        <v>8</v>
      </c>
      <c r="D534" t="s">
        <v>13</v>
      </c>
      <c r="E534" t="s">
        <v>20</v>
      </c>
      <c r="F534" t="s">
        <v>22</v>
      </c>
      <c r="G534" t="s">
        <v>16</v>
      </c>
      <c r="H534" t="s">
        <v>21</v>
      </c>
      <c r="I534" s="3">
        <v>17690</v>
      </c>
      <c r="J534" t="b">
        <v>1</v>
      </c>
      <c r="K534" t="b">
        <v>0</v>
      </c>
      <c r="L534" t="b">
        <v>1</v>
      </c>
    </row>
    <row r="535" spans="1:12" x14ac:dyDescent="0.3">
      <c r="A535">
        <v>53</v>
      </c>
      <c r="B535" t="s">
        <v>18</v>
      </c>
      <c r="C535" s="1">
        <v>8</v>
      </c>
      <c r="D535" t="s">
        <v>13</v>
      </c>
      <c r="E535" t="s">
        <v>26</v>
      </c>
      <c r="F535" t="s">
        <v>27</v>
      </c>
      <c r="G535" t="s">
        <v>29</v>
      </c>
      <c r="H535" t="s">
        <v>21</v>
      </c>
      <c r="I535" s="3">
        <v>11400</v>
      </c>
      <c r="J535" t="b">
        <v>1</v>
      </c>
      <c r="K535" t="b">
        <v>1</v>
      </c>
      <c r="L535" t="b">
        <v>0</v>
      </c>
    </row>
    <row r="536" spans="1:12" x14ac:dyDescent="0.3">
      <c r="A536">
        <v>42</v>
      </c>
      <c r="B536" t="s">
        <v>18</v>
      </c>
      <c r="C536" s="1">
        <v>9</v>
      </c>
      <c r="D536" t="s">
        <v>13</v>
      </c>
      <c r="E536" t="s">
        <v>26</v>
      </c>
      <c r="F536" t="s">
        <v>22</v>
      </c>
      <c r="G536" t="s">
        <v>16</v>
      </c>
      <c r="H536" t="s">
        <v>21</v>
      </c>
      <c r="I536" s="3">
        <v>14071</v>
      </c>
      <c r="J536" t="b">
        <v>0</v>
      </c>
      <c r="K536" t="b">
        <v>0</v>
      </c>
      <c r="L536" t="b">
        <v>1</v>
      </c>
    </row>
    <row r="537" spans="1:12" x14ac:dyDescent="0.3">
      <c r="A537">
        <v>38</v>
      </c>
      <c r="B537" t="s">
        <v>18</v>
      </c>
      <c r="C537" s="1">
        <v>9</v>
      </c>
      <c r="D537" t="s">
        <v>19</v>
      </c>
      <c r="E537" t="s">
        <v>20</v>
      </c>
      <c r="F537" t="s">
        <v>27</v>
      </c>
      <c r="G537" t="s">
        <v>23</v>
      </c>
      <c r="H537" t="s">
        <v>21</v>
      </c>
      <c r="I537" s="3">
        <v>18808</v>
      </c>
      <c r="J537" t="b">
        <v>0</v>
      </c>
      <c r="K537" t="b">
        <v>0</v>
      </c>
      <c r="L537" t="b">
        <v>1</v>
      </c>
    </row>
    <row r="538" spans="1:12" x14ac:dyDescent="0.3">
      <c r="A538">
        <v>53</v>
      </c>
      <c r="B538" t="s">
        <v>25</v>
      </c>
      <c r="C538" s="1">
        <v>2</v>
      </c>
      <c r="D538" t="s">
        <v>13</v>
      </c>
      <c r="E538" t="s">
        <v>26</v>
      </c>
      <c r="F538" t="s">
        <v>27</v>
      </c>
      <c r="G538" t="s">
        <v>23</v>
      </c>
      <c r="H538" t="s">
        <v>21</v>
      </c>
      <c r="I538" s="3">
        <v>12786</v>
      </c>
      <c r="J538" t="b">
        <v>1</v>
      </c>
      <c r="K538" t="b">
        <v>0</v>
      </c>
      <c r="L538" t="b">
        <v>0</v>
      </c>
    </row>
    <row r="539" spans="1:12" x14ac:dyDescent="0.3">
      <c r="A539">
        <v>27</v>
      </c>
      <c r="B539" t="s">
        <v>25</v>
      </c>
      <c r="C539" s="1">
        <v>2</v>
      </c>
      <c r="D539" t="s">
        <v>13</v>
      </c>
      <c r="E539" t="s">
        <v>20</v>
      </c>
      <c r="F539" t="s">
        <v>22</v>
      </c>
      <c r="G539" t="s">
        <v>29</v>
      </c>
      <c r="H539" t="s">
        <v>24</v>
      </c>
      <c r="I539" s="3">
        <v>17169</v>
      </c>
      <c r="J539" t="b">
        <v>1</v>
      </c>
      <c r="K539" t="b">
        <v>0</v>
      </c>
      <c r="L539" t="b">
        <v>0</v>
      </c>
    </row>
    <row r="540" spans="1:12" x14ac:dyDescent="0.3">
      <c r="A540">
        <v>54</v>
      </c>
      <c r="B540" t="s">
        <v>12</v>
      </c>
      <c r="C540" s="1">
        <v>3</v>
      </c>
      <c r="D540" t="s">
        <v>13</v>
      </c>
      <c r="E540" t="s">
        <v>26</v>
      </c>
      <c r="F540" t="s">
        <v>27</v>
      </c>
      <c r="G540" t="s">
        <v>16</v>
      </c>
      <c r="H540" t="s">
        <v>21</v>
      </c>
      <c r="I540" s="3">
        <v>10870</v>
      </c>
      <c r="J540" t="b">
        <v>1</v>
      </c>
      <c r="K540" t="b">
        <v>0</v>
      </c>
      <c r="L540" t="b">
        <v>0</v>
      </c>
    </row>
    <row r="541" spans="1:12" x14ac:dyDescent="0.3">
      <c r="A541">
        <v>26</v>
      </c>
      <c r="B541" t="s">
        <v>12</v>
      </c>
      <c r="C541" s="1">
        <v>1</v>
      </c>
      <c r="D541" t="s">
        <v>28</v>
      </c>
      <c r="E541" t="s">
        <v>14</v>
      </c>
      <c r="F541" t="s">
        <v>15</v>
      </c>
      <c r="G541" t="s">
        <v>29</v>
      </c>
      <c r="H541" t="s">
        <v>17</v>
      </c>
      <c r="I541" s="3">
        <v>14196</v>
      </c>
      <c r="J541" t="b">
        <v>0</v>
      </c>
      <c r="K541" t="b">
        <v>1</v>
      </c>
      <c r="L541" t="b">
        <v>1</v>
      </c>
    </row>
    <row r="542" spans="1:12" x14ac:dyDescent="0.3">
      <c r="A542">
        <v>41</v>
      </c>
      <c r="B542" t="s">
        <v>18</v>
      </c>
      <c r="C542" s="1">
        <v>4</v>
      </c>
      <c r="D542" t="s">
        <v>13</v>
      </c>
      <c r="E542" t="s">
        <v>14</v>
      </c>
      <c r="F542" t="s">
        <v>15</v>
      </c>
      <c r="G542" t="s">
        <v>29</v>
      </c>
      <c r="H542" t="s">
        <v>24</v>
      </c>
      <c r="I542" s="3">
        <v>19604</v>
      </c>
      <c r="J542" t="b">
        <v>1</v>
      </c>
      <c r="K542" t="b">
        <v>1</v>
      </c>
      <c r="L542" t="b">
        <v>1</v>
      </c>
    </row>
    <row r="543" spans="1:12" x14ac:dyDescent="0.3">
      <c r="A543">
        <v>52</v>
      </c>
      <c r="B543" t="s">
        <v>25</v>
      </c>
      <c r="C543" s="1">
        <v>4</v>
      </c>
      <c r="D543" t="s">
        <v>28</v>
      </c>
      <c r="E543" t="s">
        <v>26</v>
      </c>
      <c r="F543" t="s">
        <v>22</v>
      </c>
      <c r="G543" t="s">
        <v>16</v>
      </c>
      <c r="H543" t="s">
        <v>17</v>
      </c>
      <c r="I543" s="3">
        <v>12739</v>
      </c>
      <c r="J543" t="b">
        <v>0</v>
      </c>
      <c r="K543" t="b">
        <v>0</v>
      </c>
      <c r="L543" t="b">
        <v>0</v>
      </c>
    </row>
    <row r="544" spans="1:12" x14ac:dyDescent="0.3">
      <c r="A544">
        <v>52</v>
      </c>
      <c r="B544" t="s">
        <v>25</v>
      </c>
      <c r="C544" s="1">
        <v>9</v>
      </c>
      <c r="D544" t="s">
        <v>13</v>
      </c>
      <c r="E544" t="s">
        <v>14</v>
      </c>
      <c r="F544" t="s">
        <v>15</v>
      </c>
      <c r="G544" t="s">
        <v>29</v>
      </c>
      <c r="H544" t="s">
        <v>21</v>
      </c>
      <c r="I544" s="3">
        <v>10940</v>
      </c>
      <c r="J544" t="b">
        <v>0</v>
      </c>
      <c r="K544" t="b">
        <v>0</v>
      </c>
      <c r="L544" t="b">
        <v>1</v>
      </c>
    </row>
    <row r="545" spans="1:12" x14ac:dyDescent="0.3">
      <c r="A545">
        <v>53</v>
      </c>
      <c r="B545" t="s">
        <v>25</v>
      </c>
      <c r="C545" s="1">
        <v>9</v>
      </c>
      <c r="D545" t="s">
        <v>13</v>
      </c>
      <c r="E545" t="s">
        <v>20</v>
      </c>
      <c r="F545" t="s">
        <v>27</v>
      </c>
      <c r="G545" t="s">
        <v>23</v>
      </c>
      <c r="H545" t="s">
        <v>17</v>
      </c>
      <c r="I545" s="3">
        <v>10340</v>
      </c>
      <c r="J545" t="b">
        <v>0</v>
      </c>
      <c r="K545" t="b">
        <v>0</v>
      </c>
      <c r="L545" t="b">
        <v>1</v>
      </c>
    </row>
    <row r="546" spans="1:12" x14ac:dyDescent="0.3">
      <c r="A546">
        <v>35</v>
      </c>
      <c r="B546" t="s">
        <v>18</v>
      </c>
      <c r="C546" s="1">
        <v>9</v>
      </c>
      <c r="D546" t="s">
        <v>19</v>
      </c>
      <c r="E546" t="s">
        <v>14</v>
      </c>
      <c r="F546" t="s">
        <v>15</v>
      </c>
      <c r="G546" t="s">
        <v>29</v>
      </c>
      <c r="H546" t="s">
        <v>21</v>
      </c>
      <c r="I546" s="3">
        <v>17422</v>
      </c>
      <c r="J546" t="b">
        <v>1</v>
      </c>
      <c r="K546" t="b">
        <v>1</v>
      </c>
      <c r="L546" t="b">
        <v>1</v>
      </c>
    </row>
    <row r="547" spans="1:12" x14ac:dyDescent="0.3">
      <c r="A547">
        <v>56</v>
      </c>
      <c r="B547" t="s">
        <v>12</v>
      </c>
      <c r="C547" s="1">
        <v>7</v>
      </c>
      <c r="D547" t="s">
        <v>28</v>
      </c>
      <c r="E547" t="s">
        <v>26</v>
      </c>
      <c r="F547" t="s">
        <v>22</v>
      </c>
      <c r="G547" t="s">
        <v>16</v>
      </c>
      <c r="H547" t="s">
        <v>21</v>
      </c>
      <c r="I547" s="3">
        <v>14133</v>
      </c>
      <c r="J547" t="b">
        <v>0</v>
      </c>
      <c r="K547" t="b">
        <v>1</v>
      </c>
      <c r="L547" t="b">
        <v>0</v>
      </c>
    </row>
    <row r="548" spans="1:12" x14ac:dyDescent="0.3">
      <c r="A548">
        <v>49</v>
      </c>
      <c r="B548" t="s">
        <v>18</v>
      </c>
      <c r="C548" s="1">
        <v>2</v>
      </c>
      <c r="D548" t="s">
        <v>13</v>
      </c>
      <c r="E548" t="s">
        <v>26</v>
      </c>
      <c r="F548" t="s">
        <v>22</v>
      </c>
      <c r="G548" t="s">
        <v>16</v>
      </c>
      <c r="H548" t="s">
        <v>24</v>
      </c>
      <c r="I548" s="3">
        <v>10659</v>
      </c>
      <c r="J548" t="b">
        <v>1</v>
      </c>
      <c r="K548" t="b">
        <v>1</v>
      </c>
      <c r="L548" t="b">
        <v>0</v>
      </c>
    </row>
    <row r="549" spans="1:12" x14ac:dyDescent="0.3">
      <c r="A549">
        <v>41</v>
      </c>
      <c r="B549" t="s">
        <v>12</v>
      </c>
      <c r="C549" s="1">
        <v>5</v>
      </c>
      <c r="D549" t="s">
        <v>28</v>
      </c>
      <c r="E549" t="s">
        <v>20</v>
      </c>
      <c r="F549" t="s">
        <v>27</v>
      </c>
      <c r="G549" t="s">
        <v>23</v>
      </c>
      <c r="H549" t="s">
        <v>24</v>
      </c>
      <c r="I549" s="3">
        <v>19752</v>
      </c>
      <c r="J549" t="b">
        <v>1</v>
      </c>
      <c r="K549" t="b">
        <v>1</v>
      </c>
      <c r="L549" t="b">
        <v>1</v>
      </c>
    </row>
    <row r="550" spans="1:12" x14ac:dyDescent="0.3">
      <c r="A550">
        <v>40</v>
      </c>
      <c r="B550" t="s">
        <v>12</v>
      </c>
      <c r="C550" s="1">
        <v>4</v>
      </c>
      <c r="D550" t="s">
        <v>28</v>
      </c>
      <c r="E550" t="s">
        <v>26</v>
      </c>
      <c r="F550" t="s">
        <v>22</v>
      </c>
      <c r="G550" t="s">
        <v>16</v>
      </c>
      <c r="H550" t="s">
        <v>21</v>
      </c>
      <c r="I550" s="3">
        <v>13457</v>
      </c>
      <c r="J550" t="b">
        <v>1</v>
      </c>
      <c r="K550" t="b">
        <v>1</v>
      </c>
      <c r="L550" t="b">
        <v>1</v>
      </c>
    </row>
    <row r="551" spans="1:12" x14ac:dyDescent="0.3">
      <c r="A551">
        <v>49</v>
      </c>
      <c r="B551" t="s">
        <v>18</v>
      </c>
      <c r="C551" s="1">
        <v>8</v>
      </c>
      <c r="D551" t="s">
        <v>19</v>
      </c>
      <c r="E551" t="s">
        <v>20</v>
      </c>
      <c r="F551" t="s">
        <v>15</v>
      </c>
      <c r="G551" t="s">
        <v>16</v>
      </c>
      <c r="H551" t="s">
        <v>24</v>
      </c>
      <c r="I551" s="3">
        <v>19848</v>
      </c>
      <c r="J551" t="b">
        <v>1</v>
      </c>
      <c r="K551" t="b">
        <v>1</v>
      </c>
      <c r="L551" t="b">
        <v>1</v>
      </c>
    </row>
    <row r="552" spans="1:12" x14ac:dyDescent="0.3">
      <c r="A552">
        <v>54</v>
      </c>
      <c r="B552" t="s">
        <v>12</v>
      </c>
      <c r="C552" s="1">
        <v>2</v>
      </c>
      <c r="D552" t="s">
        <v>19</v>
      </c>
      <c r="E552" t="s">
        <v>14</v>
      </c>
      <c r="F552" t="s">
        <v>22</v>
      </c>
      <c r="G552" t="s">
        <v>23</v>
      </c>
      <c r="H552" t="s">
        <v>17</v>
      </c>
      <c r="I552" s="3">
        <v>12975</v>
      </c>
      <c r="J552" t="b">
        <v>0</v>
      </c>
      <c r="K552" t="b">
        <v>1</v>
      </c>
      <c r="L552" t="b">
        <v>1</v>
      </c>
    </row>
    <row r="553" spans="1:12" x14ac:dyDescent="0.3">
      <c r="A553">
        <v>29</v>
      </c>
      <c r="B553" t="s">
        <v>12</v>
      </c>
      <c r="C553" s="1">
        <v>6</v>
      </c>
      <c r="D553" t="s">
        <v>19</v>
      </c>
      <c r="E553" t="s">
        <v>14</v>
      </c>
      <c r="F553" t="s">
        <v>27</v>
      </c>
      <c r="G553" t="s">
        <v>29</v>
      </c>
      <c r="H553" t="s">
        <v>24</v>
      </c>
      <c r="I553" s="3">
        <v>19241</v>
      </c>
      <c r="J553" t="b">
        <v>0</v>
      </c>
      <c r="K553" t="b">
        <v>1</v>
      </c>
      <c r="L553" t="b">
        <v>0</v>
      </c>
    </row>
    <row r="554" spans="1:12" x14ac:dyDescent="0.3">
      <c r="A554">
        <v>30</v>
      </c>
      <c r="B554" t="s">
        <v>25</v>
      </c>
      <c r="C554" s="1">
        <v>5</v>
      </c>
      <c r="D554" t="s">
        <v>19</v>
      </c>
      <c r="E554" t="s">
        <v>20</v>
      </c>
      <c r="F554" t="s">
        <v>22</v>
      </c>
      <c r="G554" t="s">
        <v>23</v>
      </c>
      <c r="H554" t="s">
        <v>24</v>
      </c>
      <c r="I554" s="3">
        <v>10453</v>
      </c>
      <c r="J554" t="b">
        <v>0</v>
      </c>
      <c r="K554" t="b">
        <v>0</v>
      </c>
      <c r="L554" t="b">
        <v>0</v>
      </c>
    </row>
    <row r="555" spans="1:12" x14ac:dyDescent="0.3">
      <c r="A555">
        <v>40</v>
      </c>
      <c r="B555" t="s">
        <v>12</v>
      </c>
      <c r="C555" s="1">
        <v>2</v>
      </c>
      <c r="D555" t="s">
        <v>19</v>
      </c>
      <c r="E555" t="s">
        <v>20</v>
      </c>
      <c r="F555" t="s">
        <v>15</v>
      </c>
      <c r="G555" t="s">
        <v>29</v>
      </c>
      <c r="H555" t="s">
        <v>17</v>
      </c>
      <c r="I555" s="3">
        <v>19896</v>
      </c>
      <c r="J555" t="b">
        <v>0</v>
      </c>
      <c r="K555" t="b">
        <v>1</v>
      </c>
      <c r="L555" t="b">
        <v>1</v>
      </c>
    </row>
    <row r="556" spans="1:12" x14ac:dyDescent="0.3">
      <c r="A556">
        <v>42</v>
      </c>
      <c r="B556" t="s">
        <v>18</v>
      </c>
      <c r="C556" s="1">
        <v>1</v>
      </c>
      <c r="D556" t="s">
        <v>19</v>
      </c>
      <c r="E556" t="s">
        <v>26</v>
      </c>
      <c r="F556" t="s">
        <v>27</v>
      </c>
      <c r="G556" t="s">
        <v>23</v>
      </c>
      <c r="H556" t="s">
        <v>24</v>
      </c>
      <c r="I556" s="3">
        <v>18184</v>
      </c>
      <c r="J556" t="b">
        <v>1</v>
      </c>
      <c r="K556" t="b">
        <v>1</v>
      </c>
      <c r="L556" t="b">
        <v>1</v>
      </c>
    </row>
    <row r="557" spans="1:12" x14ac:dyDescent="0.3">
      <c r="A557">
        <v>52</v>
      </c>
      <c r="B557" t="s">
        <v>18</v>
      </c>
      <c r="C557" s="1">
        <v>8</v>
      </c>
      <c r="D557" t="s">
        <v>19</v>
      </c>
      <c r="E557" t="s">
        <v>14</v>
      </c>
      <c r="F557" t="s">
        <v>15</v>
      </c>
      <c r="G557" t="s">
        <v>29</v>
      </c>
      <c r="H557" t="s">
        <v>21</v>
      </c>
      <c r="I557" s="3">
        <v>15442</v>
      </c>
      <c r="J557" t="b">
        <v>1</v>
      </c>
      <c r="K557" t="b">
        <v>1</v>
      </c>
      <c r="L557" t="b">
        <v>0</v>
      </c>
    </row>
    <row r="558" spans="1:12" x14ac:dyDescent="0.3">
      <c r="A558">
        <v>58</v>
      </c>
      <c r="B558" t="s">
        <v>12</v>
      </c>
      <c r="C558" s="1">
        <v>2</v>
      </c>
      <c r="D558" t="s">
        <v>19</v>
      </c>
      <c r="E558" t="s">
        <v>20</v>
      </c>
      <c r="F558" t="s">
        <v>27</v>
      </c>
      <c r="G558" t="s">
        <v>23</v>
      </c>
      <c r="H558" t="s">
        <v>17</v>
      </c>
      <c r="I558" s="3">
        <v>10818</v>
      </c>
      <c r="J558" t="b">
        <v>1</v>
      </c>
      <c r="K558" t="b">
        <v>1</v>
      </c>
      <c r="L558" t="b">
        <v>1</v>
      </c>
    </row>
    <row r="559" spans="1:12" x14ac:dyDescent="0.3">
      <c r="A559">
        <v>47</v>
      </c>
      <c r="B559" t="s">
        <v>25</v>
      </c>
      <c r="C559" s="1">
        <v>7</v>
      </c>
      <c r="D559" t="s">
        <v>13</v>
      </c>
      <c r="E559" t="s">
        <v>14</v>
      </c>
      <c r="F559" t="s">
        <v>22</v>
      </c>
      <c r="G559" t="s">
        <v>29</v>
      </c>
      <c r="H559" t="s">
        <v>21</v>
      </c>
      <c r="I559" s="3">
        <v>14868</v>
      </c>
      <c r="J559" t="b">
        <v>1</v>
      </c>
      <c r="K559" t="b">
        <v>0</v>
      </c>
      <c r="L559" t="b">
        <v>0</v>
      </c>
    </row>
    <row r="560" spans="1:12" x14ac:dyDescent="0.3">
      <c r="A560">
        <v>34</v>
      </c>
      <c r="B560" t="s">
        <v>25</v>
      </c>
      <c r="C560" s="1">
        <v>9</v>
      </c>
      <c r="D560" t="s">
        <v>28</v>
      </c>
      <c r="E560" t="s">
        <v>20</v>
      </c>
      <c r="F560" t="s">
        <v>27</v>
      </c>
      <c r="G560" t="s">
        <v>23</v>
      </c>
      <c r="H560" t="s">
        <v>17</v>
      </c>
      <c r="I560" s="3">
        <v>10012</v>
      </c>
      <c r="J560" t="b">
        <v>0</v>
      </c>
      <c r="K560" t="b">
        <v>1</v>
      </c>
      <c r="L560" t="b">
        <v>1</v>
      </c>
    </row>
    <row r="561" spans="1:12" x14ac:dyDescent="0.3">
      <c r="A561">
        <v>37</v>
      </c>
      <c r="B561" t="s">
        <v>12</v>
      </c>
      <c r="C561" s="1">
        <v>9</v>
      </c>
      <c r="D561" t="s">
        <v>19</v>
      </c>
      <c r="E561" t="s">
        <v>14</v>
      </c>
      <c r="F561" t="s">
        <v>27</v>
      </c>
      <c r="G561" t="s">
        <v>29</v>
      </c>
      <c r="H561" t="s">
        <v>21</v>
      </c>
      <c r="I561" s="3">
        <v>17727</v>
      </c>
      <c r="J561" t="b">
        <v>1</v>
      </c>
      <c r="K561" t="b">
        <v>0</v>
      </c>
      <c r="L561" t="b">
        <v>0</v>
      </c>
    </row>
    <row r="562" spans="1:12" x14ac:dyDescent="0.3">
      <c r="A562">
        <v>42</v>
      </c>
      <c r="B562" t="s">
        <v>12</v>
      </c>
      <c r="C562" s="1">
        <v>8</v>
      </c>
      <c r="D562" t="s">
        <v>19</v>
      </c>
      <c r="E562" t="s">
        <v>26</v>
      </c>
      <c r="F562" t="s">
        <v>22</v>
      </c>
      <c r="G562" t="s">
        <v>23</v>
      </c>
      <c r="H562" t="s">
        <v>21</v>
      </c>
      <c r="I562" s="3">
        <v>10920</v>
      </c>
      <c r="J562" t="b">
        <v>0</v>
      </c>
      <c r="K562" t="b">
        <v>0</v>
      </c>
      <c r="L562" t="b">
        <v>1</v>
      </c>
    </row>
    <row r="563" spans="1:12" x14ac:dyDescent="0.3">
      <c r="A563">
        <v>39</v>
      </c>
      <c r="B563" t="s">
        <v>18</v>
      </c>
      <c r="C563" s="1">
        <v>9</v>
      </c>
      <c r="D563" t="s">
        <v>28</v>
      </c>
      <c r="E563" t="s">
        <v>14</v>
      </c>
      <c r="F563" t="s">
        <v>15</v>
      </c>
      <c r="G563" t="s">
        <v>16</v>
      </c>
      <c r="H563" t="s">
        <v>24</v>
      </c>
      <c r="I563" s="3">
        <v>14920</v>
      </c>
      <c r="J563" t="b">
        <v>1</v>
      </c>
      <c r="K563" t="b">
        <v>0</v>
      </c>
      <c r="L563" t="b">
        <v>1</v>
      </c>
    </row>
    <row r="564" spans="1:12" x14ac:dyDescent="0.3">
      <c r="A564">
        <v>30</v>
      </c>
      <c r="B564" t="s">
        <v>12</v>
      </c>
      <c r="C564" s="1">
        <v>2</v>
      </c>
      <c r="D564" t="s">
        <v>13</v>
      </c>
      <c r="E564" t="s">
        <v>14</v>
      </c>
      <c r="F564" t="s">
        <v>22</v>
      </c>
      <c r="G564" t="s">
        <v>29</v>
      </c>
      <c r="H564" t="s">
        <v>21</v>
      </c>
      <c r="I564" s="3">
        <v>12418</v>
      </c>
      <c r="J564" t="b">
        <v>1</v>
      </c>
      <c r="K564" t="b">
        <v>1</v>
      </c>
      <c r="L564" t="b">
        <v>0</v>
      </c>
    </row>
    <row r="565" spans="1:12" x14ac:dyDescent="0.3">
      <c r="A565">
        <v>36</v>
      </c>
      <c r="B565" t="s">
        <v>25</v>
      </c>
      <c r="C565" s="1">
        <v>6</v>
      </c>
      <c r="D565" t="s">
        <v>28</v>
      </c>
      <c r="E565" t="s">
        <v>14</v>
      </c>
      <c r="F565" t="s">
        <v>27</v>
      </c>
      <c r="G565" t="s">
        <v>23</v>
      </c>
      <c r="H565" t="s">
        <v>24</v>
      </c>
      <c r="I565" s="3">
        <v>19506</v>
      </c>
      <c r="J565" t="b">
        <v>1</v>
      </c>
      <c r="K565" t="b">
        <v>1</v>
      </c>
      <c r="L565" t="b">
        <v>0</v>
      </c>
    </row>
    <row r="566" spans="1:12" x14ac:dyDescent="0.3">
      <c r="A566">
        <v>53</v>
      </c>
      <c r="B566" t="s">
        <v>12</v>
      </c>
      <c r="C566" s="1">
        <v>4</v>
      </c>
      <c r="D566" t="s">
        <v>28</v>
      </c>
      <c r="E566" t="s">
        <v>14</v>
      </c>
      <c r="F566" t="s">
        <v>22</v>
      </c>
      <c r="G566" t="s">
        <v>29</v>
      </c>
      <c r="H566" t="s">
        <v>17</v>
      </c>
      <c r="I566" s="3">
        <v>16475</v>
      </c>
      <c r="J566" t="b">
        <v>1</v>
      </c>
      <c r="K566" t="b">
        <v>1</v>
      </c>
      <c r="L566" t="b">
        <v>1</v>
      </c>
    </row>
    <row r="567" spans="1:12" x14ac:dyDescent="0.3">
      <c r="A567">
        <v>29</v>
      </c>
      <c r="B567" t="s">
        <v>18</v>
      </c>
      <c r="C567" s="1">
        <v>4</v>
      </c>
      <c r="D567" t="s">
        <v>19</v>
      </c>
      <c r="E567" t="s">
        <v>14</v>
      </c>
      <c r="F567" t="s">
        <v>27</v>
      </c>
      <c r="G567" t="s">
        <v>29</v>
      </c>
      <c r="H567" t="s">
        <v>21</v>
      </c>
      <c r="I567" s="3">
        <v>12017</v>
      </c>
      <c r="J567" t="b">
        <v>0</v>
      </c>
      <c r="K567" t="b">
        <v>0</v>
      </c>
      <c r="L567" t="b">
        <v>1</v>
      </c>
    </row>
    <row r="568" spans="1:12" x14ac:dyDescent="0.3">
      <c r="A568">
        <v>58</v>
      </c>
      <c r="B568" t="s">
        <v>18</v>
      </c>
      <c r="C568" s="1">
        <v>5</v>
      </c>
      <c r="D568" t="s">
        <v>28</v>
      </c>
      <c r="E568" t="s">
        <v>26</v>
      </c>
      <c r="F568" t="s">
        <v>22</v>
      </c>
      <c r="G568" t="s">
        <v>23</v>
      </c>
      <c r="H568" t="s">
        <v>21</v>
      </c>
      <c r="I568" s="3">
        <v>17957</v>
      </c>
      <c r="J568" t="b">
        <v>0</v>
      </c>
      <c r="K568" t="b">
        <v>0</v>
      </c>
      <c r="L568" t="b">
        <v>0</v>
      </c>
    </row>
    <row r="569" spans="1:12" x14ac:dyDescent="0.3">
      <c r="A569">
        <v>36</v>
      </c>
      <c r="B569" t="s">
        <v>18</v>
      </c>
      <c r="C569" s="1">
        <v>3</v>
      </c>
      <c r="D569" t="s">
        <v>28</v>
      </c>
      <c r="E569" t="s">
        <v>20</v>
      </c>
      <c r="F569" t="s">
        <v>22</v>
      </c>
      <c r="G569" t="s">
        <v>29</v>
      </c>
      <c r="H569" t="s">
        <v>17</v>
      </c>
      <c r="I569" s="3">
        <v>19420</v>
      </c>
      <c r="J569" t="b">
        <v>0</v>
      </c>
      <c r="K569" t="b">
        <v>0</v>
      </c>
      <c r="L569" t="b">
        <v>0</v>
      </c>
    </row>
    <row r="570" spans="1:12" x14ac:dyDescent="0.3">
      <c r="A570">
        <v>29</v>
      </c>
      <c r="B570" t="s">
        <v>18</v>
      </c>
      <c r="C570" s="1">
        <v>1</v>
      </c>
      <c r="D570" t="s">
        <v>19</v>
      </c>
      <c r="E570" t="s">
        <v>14</v>
      </c>
      <c r="F570" t="s">
        <v>15</v>
      </c>
      <c r="G570" t="s">
        <v>23</v>
      </c>
      <c r="H570" t="s">
        <v>17</v>
      </c>
      <c r="I570" s="3">
        <v>14792</v>
      </c>
      <c r="J570" t="b">
        <v>0</v>
      </c>
      <c r="K570" t="b">
        <v>0</v>
      </c>
      <c r="L570" t="b">
        <v>1</v>
      </c>
    </row>
    <row r="571" spans="1:12" x14ac:dyDescent="0.3">
      <c r="A571">
        <v>26</v>
      </c>
      <c r="B571" t="s">
        <v>18</v>
      </c>
      <c r="C571" s="1">
        <v>8</v>
      </c>
      <c r="D571" t="s">
        <v>19</v>
      </c>
      <c r="E571" t="s">
        <v>26</v>
      </c>
      <c r="F571" t="s">
        <v>27</v>
      </c>
      <c r="G571" t="s">
        <v>16</v>
      </c>
      <c r="H571" t="s">
        <v>21</v>
      </c>
      <c r="I571" s="3">
        <v>16830</v>
      </c>
      <c r="J571" t="b">
        <v>1</v>
      </c>
      <c r="K571" t="b">
        <v>1</v>
      </c>
      <c r="L571" t="b">
        <v>1</v>
      </c>
    </row>
    <row r="572" spans="1:12" x14ac:dyDescent="0.3">
      <c r="A572">
        <v>24</v>
      </c>
      <c r="B572" t="s">
        <v>12</v>
      </c>
      <c r="C572" s="1">
        <v>5</v>
      </c>
      <c r="D572" t="s">
        <v>19</v>
      </c>
      <c r="E572" t="s">
        <v>14</v>
      </c>
      <c r="F572" t="s">
        <v>15</v>
      </c>
      <c r="G572" t="s">
        <v>29</v>
      </c>
      <c r="H572" t="s">
        <v>17</v>
      </c>
      <c r="I572" s="3">
        <v>12434</v>
      </c>
      <c r="J572" t="b">
        <v>1</v>
      </c>
      <c r="K572" t="b">
        <v>1</v>
      </c>
      <c r="L572" t="b">
        <v>0</v>
      </c>
    </row>
    <row r="573" spans="1:12" x14ac:dyDescent="0.3">
      <c r="A573">
        <v>45</v>
      </c>
      <c r="B573" t="s">
        <v>12</v>
      </c>
      <c r="C573" s="1">
        <v>3</v>
      </c>
      <c r="D573" t="s">
        <v>19</v>
      </c>
      <c r="E573" t="s">
        <v>14</v>
      </c>
      <c r="F573" t="s">
        <v>27</v>
      </c>
      <c r="G573" t="s">
        <v>16</v>
      </c>
      <c r="H573" t="s">
        <v>24</v>
      </c>
      <c r="I573" s="3">
        <v>12868</v>
      </c>
      <c r="J573" t="b">
        <v>0</v>
      </c>
      <c r="K573" t="b">
        <v>1</v>
      </c>
      <c r="L573" t="b">
        <v>0</v>
      </c>
    </row>
    <row r="574" spans="1:12" x14ac:dyDescent="0.3">
      <c r="A574">
        <v>31</v>
      </c>
      <c r="B574" t="s">
        <v>12</v>
      </c>
      <c r="C574" s="1">
        <v>7</v>
      </c>
      <c r="D574" t="s">
        <v>28</v>
      </c>
      <c r="E574" t="s">
        <v>20</v>
      </c>
      <c r="F574" t="s">
        <v>22</v>
      </c>
      <c r="G574" t="s">
        <v>29</v>
      </c>
      <c r="H574" t="s">
        <v>17</v>
      </c>
      <c r="I574" s="3">
        <v>11438</v>
      </c>
      <c r="J574" t="b">
        <v>0</v>
      </c>
      <c r="K574" t="b">
        <v>0</v>
      </c>
      <c r="L574" t="b">
        <v>0</v>
      </c>
    </row>
    <row r="575" spans="1:12" x14ac:dyDescent="0.3">
      <c r="A575">
        <v>48</v>
      </c>
      <c r="B575" t="s">
        <v>12</v>
      </c>
      <c r="C575" s="1">
        <v>7</v>
      </c>
      <c r="D575" t="s">
        <v>28</v>
      </c>
      <c r="E575" t="s">
        <v>14</v>
      </c>
      <c r="F575" t="s">
        <v>27</v>
      </c>
      <c r="G575" t="s">
        <v>29</v>
      </c>
      <c r="H575" t="s">
        <v>17</v>
      </c>
      <c r="I575" s="3">
        <v>13543</v>
      </c>
      <c r="J575" t="b">
        <v>1</v>
      </c>
      <c r="K575" t="b">
        <v>0</v>
      </c>
      <c r="L575" t="b">
        <v>0</v>
      </c>
    </row>
    <row r="576" spans="1:12" x14ac:dyDescent="0.3">
      <c r="A576">
        <v>36</v>
      </c>
      <c r="B576" t="s">
        <v>18</v>
      </c>
      <c r="C576" s="1">
        <v>1</v>
      </c>
      <c r="D576" t="s">
        <v>13</v>
      </c>
      <c r="E576" t="s">
        <v>26</v>
      </c>
      <c r="F576" t="s">
        <v>15</v>
      </c>
      <c r="G576" t="s">
        <v>29</v>
      </c>
      <c r="H576" t="s">
        <v>21</v>
      </c>
      <c r="I576" s="3">
        <v>11781</v>
      </c>
      <c r="J576" t="b">
        <v>1</v>
      </c>
      <c r="K576" t="b">
        <v>1</v>
      </c>
      <c r="L576" t="b">
        <v>0</v>
      </c>
    </row>
    <row r="577" spans="1:12" x14ac:dyDescent="0.3">
      <c r="A577">
        <v>64</v>
      </c>
      <c r="B577" t="s">
        <v>25</v>
      </c>
      <c r="C577" s="1">
        <v>9</v>
      </c>
      <c r="D577" t="s">
        <v>13</v>
      </c>
      <c r="E577" t="s">
        <v>26</v>
      </c>
      <c r="F577" t="s">
        <v>15</v>
      </c>
      <c r="G577" t="s">
        <v>23</v>
      </c>
      <c r="H577" t="s">
        <v>24</v>
      </c>
      <c r="I577" s="3">
        <v>16343</v>
      </c>
      <c r="J577" t="b">
        <v>0</v>
      </c>
      <c r="K577" t="b">
        <v>1</v>
      </c>
      <c r="L577" t="b">
        <v>1</v>
      </c>
    </row>
    <row r="578" spans="1:12" x14ac:dyDescent="0.3">
      <c r="A578">
        <v>33</v>
      </c>
      <c r="B578" t="s">
        <v>12</v>
      </c>
      <c r="C578" s="1">
        <v>2</v>
      </c>
      <c r="D578" t="s">
        <v>28</v>
      </c>
      <c r="E578" t="s">
        <v>20</v>
      </c>
      <c r="F578" t="s">
        <v>15</v>
      </c>
      <c r="G578" t="s">
        <v>16</v>
      </c>
      <c r="H578" t="s">
        <v>17</v>
      </c>
      <c r="I578" s="3">
        <v>12263</v>
      </c>
      <c r="J578" t="b">
        <v>0</v>
      </c>
      <c r="K578" t="b">
        <v>0</v>
      </c>
      <c r="L578" t="b">
        <v>1</v>
      </c>
    </row>
    <row r="579" spans="1:12" x14ac:dyDescent="0.3">
      <c r="A579">
        <v>22</v>
      </c>
      <c r="B579" t="s">
        <v>25</v>
      </c>
      <c r="C579" s="1">
        <v>5</v>
      </c>
      <c r="D579" t="s">
        <v>13</v>
      </c>
      <c r="E579" t="s">
        <v>14</v>
      </c>
      <c r="F579" t="s">
        <v>27</v>
      </c>
      <c r="G579" t="s">
        <v>29</v>
      </c>
      <c r="H579" t="s">
        <v>24</v>
      </c>
      <c r="I579" s="3">
        <v>10211</v>
      </c>
      <c r="J579" t="b">
        <v>0</v>
      </c>
      <c r="K579" t="b">
        <v>1</v>
      </c>
      <c r="L579" t="b">
        <v>0</v>
      </c>
    </row>
    <row r="580" spans="1:12" x14ac:dyDescent="0.3">
      <c r="A580">
        <v>52</v>
      </c>
      <c r="B580" t="s">
        <v>12</v>
      </c>
      <c r="C580" s="1">
        <v>5</v>
      </c>
      <c r="D580" t="s">
        <v>28</v>
      </c>
      <c r="E580" t="s">
        <v>26</v>
      </c>
      <c r="F580" t="s">
        <v>15</v>
      </c>
      <c r="G580" t="s">
        <v>23</v>
      </c>
      <c r="H580" t="s">
        <v>24</v>
      </c>
      <c r="I580" s="3">
        <v>18699</v>
      </c>
      <c r="J580" t="b">
        <v>1</v>
      </c>
      <c r="K580" t="b">
        <v>1</v>
      </c>
      <c r="L580" t="b">
        <v>1</v>
      </c>
    </row>
    <row r="581" spans="1:12" x14ac:dyDescent="0.3">
      <c r="A581">
        <v>29</v>
      </c>
      <c r="B581" t="s">
        <v>12</v>
      </c>
      <c r="C581" s="1">
        <v>8</v>
      </c>
      <c r="D581" t="s">
        <v>13</v>
      </c>
      <c r="E581" t="s">
        <v>14</v>
      </c>
      <c r="F581" t="s">
        <v>15</v>
      </c>
      <c r="G581" t="s">
        <v>29</v>
      </c>
      <c r="H581" t="s">
        <v>24</v>
      </c>
      <c r="I581" s="3">
        <v>16159</v>
      </c>
      <c r="J581" t="b">
        <v>0</v>
      </c>
      <c r="K581" t="b">
        <v>0</v>
      </c>
      <c r="L581" t="b">
        <v>1</v>
      </c>
    </row>
    <row r="582" spans="1:12" x14ac:dyDescent="0.3">
      <c r="A582">
        <v>42</v>
      </c>
      <c r="B582" t="s">
        <v>25</v>
      </c>
      <c r="C582" s="1">
        <v>8</v>
      </c>
      <c r="D582" t="s">
        <v>19</v>
      </c>
      <c r="E582" t="s">
        <v>14</v>
      </c>
      <c r="F582" t="s">
        <v>15</v>
      </c>
      <c r="G582" t="s">
        <v>23</v>
      </c>
      <c r="H582" t="s">
        <v>21</v>
      </c>
      <c r="I582" s="3">
        <v>17027</v>
      </c>
      <c r="J582" t="b">
        <v>0</v>
      </c>
      <c r="K582" t="b">
        <v>0</v>
      </c>
      <c r="L582" t="b">
        <v>0</v>
      </c>
    </row>
    <row r="583" spans="1:12" x14ac:dyDescent="0.3">
      <c r="A583">
        <v>38</v>
      </c>
      <c r="B583" t="s">
        <v>18</v>
      </c>
      <c r="C583" s="1">
        <v>7</v>
      </c>
      <c r="D583" t="s">
        <v>13</v>
      </c>
      <c r="E583" t="s">
        <v>14</v>
      </c>
      <c r="F583" t="s">
        <v>22</v>
      </c>
      <c r="G583" t="s">
        <v>29</v>
      </c>
      <c r="H583" t="s">
        <v>17</v>
      </c>
      <c r="I583" s="3">
        <v>10331</v>
      </c>
      <c r="J583" t="b">
        <v>0</v>
      </c>
      <c r="K583" t="b">
        <v>0</v>
      </c>
      <c r="L583" t="b">
        <v>1</v>
      </c>
    </row>
    <row r="584" spans="1:12" x14ac:dyDescent="0.3">
      <c r="A584">
        <v>53</v>
      </c>
      <c r="B584" t="s">
        <v>12</v>
      </c>
      <c r="C584" s="1">
        <v>7</v>
      </c>
      <c r="D584" t="s">
        <v>19</v>
      </c>
      <c r="E584" t="s">
        <v>20</v>
      </c>
      <c r="F584" t="s">
        <v>22</v>
      </c>
      <c r="G584" t="s">
        <v>16</v>
      </c>
      <c r="H584" t="s">
        <v>21</v>
      </c>
      <c r="I584" s="3">
        <v>16860</v>
      </c>
      <c r="J584" t="b">
        <v>0</v>
      </c>
      <c r="K584" t="b">
        <v>1</v>
      </c>
      <c r="L584" t="b">
        <v>1</v>
      </c>
    </row>
    <row r="585" spans="1:12" x14ac:dyDescent="0.3">
      <c r="A585">
        <v>40</v>
      </c>
      <c r="B585" t="s">
        <v>12</v>
      </c>
      <c r="C585" s="1">
        <v>6</v>
      </c>
      <c r="D585" t="s">
        <v>19</v>
      </c>
      <c r="E585" t="s">
        <v>14</v>
      </c>
      <c r="F585" t="s">
        <v>27</v>
      </c>
      <c r="G585" t="s">
        <v>16</v>
      </c>
      <c r="H585" t="s">
        <v>17</v>
      </c>
      <c r="I585" s="3">
        <v>18044</v>
      </c>
      <c r="J585" t="b">
        <v>0</v>
      </c>
      <c r="K585" t="b">
        <v>0</v>
      </c>
      <c r="L585" t="b">
        <v>1</v>
      </c>
    </row>
    <row r="586" spans="1:12" x14ac:dyDescent="0.3">
      <c r="A586">
        <v>33</v>
      </c>
      <c r="B586" t="s">
        <v>12</v>
      </c>
      <c r="C586" s="1">
        <v>6</v>
      </c>
      <c r="D586" t="s">
        <v>19</v>
      </c>
      <c r="E586" t="s">
        <v>26</v>
      </c>
      <c r="F586" t="s">
        <v>27</v>
      </c>
      <c r="G586" t="s">
        <v>29</v>
      </c>
      <c r="H586" t="s">
        <v>17</v>
      </c>
      <c r="I586" s="3">
        <v>18169</v>
      </c>
      <c r="J586" t="b">
        <v>1</v>
      </c>
      <c r="K586" t="b">
        <v>1</v>
      </c>
      <c r="L586" t="b">
        <v>0</v>
      </c>
    </row>
    <row r="587" spans="1:12" x14ac:dyDescent="0.3">
      <c r="A587">
        <v>56</v>
      </c>
      <c r="B587" t="s">
        <v>25</v>
      </c>
      <c r="C587" s="1">
        <v>9</v>
      </c>
      <c r="D587" t="s">
        <v>19</v>
      </c>
      <c r="E587" t="s">
        <v>14</v>
      </c>
      <c r="F587" t="s">
        <v>15</v>
      </c>
      <c r="G587" t="s">
        <v>23</v>
      </c>
      <c r="H587" t="s">
        <v>21</v>
      </c>
      <c r="I587" s="3">
        <v>18742</v>
      </c>
      <c r="J587" t="b">
        <v>0</v>
      </c>
      <c r="K587" t="b">
        <v>1</v>
      </c>
      <c r="L587" t="b">
        <v>0</v>
      </c>
    </row>
    <row r="588" spans="1:12" x14ac:dyDescent="0.3">
      <c r="A588">
        <v>62</v>
      </c>
      <c r="B588" t="s">
        <v>18</v>
      </c>
      <c r="C588" s="1">
        <v>6</v>
      </c>
      <c r="D588" t="s">
        <v>13</v>
      </c>
      <c r="E588" t="s">
        <v>26</v>
      </c>
      <c r="F588" t="s">
        <v>22</v>
      </c>
      <c r="G588" t="s">
        <v>29</v>
      </c>
      <c r="H588" t="s">
        <v>24</v>
      </c>
      <c r="I588" s="3">
        <v>15720</v>
      </c>
      <c r="J588" t="b">
        <v>1</v>
      </c>
      <c r="K588" t="b">
        <v>0</v>
      </c>
      <c r="L588" t="b">
        <v>1</v>
      </c>
    </row>
    <row r="589" spans="1:12" x14ac:dyDescent="0.3">
      <c r="A589">
        <v>59</v>
      </c>
      <c r="B589" t="s">
        <v>25</v>
      </c>
      <c r="C589" s="1">
        <v>2</v>
      </c>
      <c r="D589" t="s">
        <v>28</v>
      </c>
      <c r="E589" t="s">
        <v>14</v>
      </c>
      <c r="F589" t="s">
        <v>15</v>
      </c>
      <c r="G589" t="s">
        <v>23</v>
      </c>
      <c r="H589" t="s">
        <v>24</v>
      </c>
      <c r="I589" s="3">
        <v>19133</v>
      </c>
      <c r="J589" t="b">
        <v>0</v>
      </c>
      <c r="K589" t="b">
        <v>1</v>
      </c>
      <c r="L589" t="b">
        <v>1</v>
      </c>
    </row>
    <row r="590" spans="1:12" x14ac:dyDescent="0.3">
      <c r="A590">
        <v>56</v>
      </c>
      <c r="B590" t="s">
        <v>25</v>
      </c>
      <c r="C590" s="1">
        <v>2</v>
      </c>
      <c r="D590" t="s">
        <v>19</v>
      </c>
      <c r="E590" t="s">
        <v>26</v>
      </c>
      <c r="F590" t="s">
        <v>15</v>
      </c>
      <c r="G590" t="s">
        <v>29</v>
      </c>
      <c r="H590" t="s">
        <v>17</v>
      </c>
      <c r="I590" s="3">
        <v>10727</v>
      </c>
      <c r="J590" t="b">
        <v>0</v>
      </c>
      <c r="K590" t="b">
        <v>0</v>
      </c>
      <c r="L590" t="b">
        <v>1</v>
      </c>
    </row>
    <row r="591" spans="1:12" x14ac:dyDescent="0.3">
      <c r="A591">
        <v>31</v>
      </c>
      <c r="B591" t="s">
        <v>18</v>
      </c>
      <c r="C591" s="1">
        <v>5</v>
      </c>
      <c r="D591" t="s">
        <v>13</v>
      </c>
      <c r="E591" t="s">
        <v>26</v>
      </c>
      <c r="F591" t="s">
        <v>22</v>
      </c>
      <c r="G591" t="s">
        <v>23</v>
      </c>
      <c r="H591" t="s">
        <v>21</v>
      </c>
      <c r="I591" s="3">
        <v>14975</v>
      </c>
      <c r="J591" t="b">
        <v>0</v>
      </c>
      <c r="K591" t="b">
        <v>0</v>
      </c>
      <c r="L591" t="b">
        <v>1</v>
      </c>
    </row>
    <row r="592" spans="1:12" x14ac:dyDescent="0.3">
      <c r="A592">
        <v>48</v>
      </c>
      <c r="B592" t="s">
        <v>25</v>
      </c>
      <c r="C592" s="1">
        <v>4</v>
      </c>
      <c r="D592" t="s">
        <v>19</v>
      </c>
      <c r="E592" t="s">
        <v>14</v>
      </c>
      <c r="F592" t="s">
        <v>22</v>
      </c>
      <c r="G592" t="s">
        <v>16</v>
      </c>
      <c r="H592" t="s">
        <v>24</v>
      </c>
      <c r="I592" s="3">
        <v>13243</v>
      </c>
      <c r="J592" t="b">
        <v>1</v>
      </c>
      <c r="K592" t="b">
        <v>1</v>
      </c>
      <c r="L592" t="b">
        <v>1</v>
      </c>
    </row>
    <row r="593" spans="1:12" x14ac:dyDescent="0.3">
      <c r="A593">
        <v>22</v>
      </c>
      <c r="B593" t="s">
        <v>18</v>
      </c>
      <c r="C593" s="1">
        <v>2</v>
      </c>
      <c r="D593" t="s">
        <v>13</v>
      </c>
      <c r="E593" t="s">
        <v>14</v>
      </c>
      <c r="F593" t="s">
        <v>22</v>
      </c>
      <c r="G593" t="s">
        <v>29</v>
      </c>
      <c r="H593" t="s">
        <v>24</v>
      </c>
      <c r="I593" s="3">
        <v>10648</v>
      </c>
      <c r="J593" t="b">
        <v>1</v>
      </c>
      <c r="K593" t="b">
        <v>1</v>
      </c>
      <c r="L593" t="b">
        <v>1</v>
      </c>
    </row>
    <row r="594" spans="1:12" x14ac:dyDescent="0.3">
      <c r="A594">
        <v>52</v>
      </c>
      <c r="B594" t="s">
        <v>12</v>
      </c>
      <c r="C594" s="1">
        <v>3</v>
      </c>
      <c r="D594" t="s">
        <v>13</v>
      </c>
      <c r="E594" t="s">
        <v>26</v>
      </c>
      <c r="F594" t="s">
        <v>27</v>
      </c>
      <c r="G594" t="s">
        <v>16</v>
      </c>
      <c r="H594" t="s">
        <v>17</v>
      </c>
      <c r="I594" s="3">
        <v>15095</v>
      </c>
      <c r="J594" t="b">
        <v>1</v>
      </c>
      <c r="K594" t="b">
        <v>0</v>
      </c>
      <c r="L594" t="b">
        <v>0</v>
      </c>
    </row>
    <row r="595" spans="1:12" x14ac:dyDescent="0.3">
      <c r="A595">
        <v>40</v>
      </c>
      <c r="B595" t="s">
        <v>18</v>
      </c>
      <c r="C595" s="1">
        <v>7</v>
      </c>
      <c r="D595" t="s">
        <v>13</v>
      </c>
      <c r="E595" t="s">
        <v>20</v>
      </c>
      <c r="F595" t="s">
        <v>27</v>
      </c>
      <c r="G595" t="s">
        <v>16</v>
      </c>
      <c r="H595" t="s">
        <v>17</v>
      </c>
      <c r="I595" s="3">
        <v>16614</v>
      </c>
      <c r="J595" t="b">
        <v>0</v>
      </c>
      <c r="K595" t="b">
        <v>0</v>
      </c>
      <c r="L595" t="b">
        <v>1</v>
      </c>
    </row>
    <row r="596" spans="1:12" x14ac:dyDescent="0.3">
      <c r="A596">
        <v>46</v>
      </c>
      <c r="B596" t="s">
        <v>12</v>
      </c>
      <c r="C596" s="1">
        <v>8</v>
      </c>
      <c r="D596" t="s">
        <v>28</v>
      </c>
      <c r="E596" t="s">
        <v>14</v>
      </c>
      <c r="F596" t="s">
        <v>15</v>
      </c>
      <c r="G596" t="s">
        <v>29</v>
      </c>
      <c r="H596" t="s">
        <v>21</v>
      </c>
      <c r="I596" s="3">
        <v>17135</v>
      </c>
      <c r="J596" t="b">
        <v>0</v>
      </c>
      <c r="K596" t="b">
        <v>0</v>
      </c>
      <c r="L596" t="b">
        <v>1</v>
      </c>
    </row>
    <row r="597" spans="1:12" x14ac:dyDescent="0.3">
      <c r="A597">
        <v>60</v>
      </c>
      <c r="B597" t="s">
        <v>25</v>
      </c>
      <c r="C597" s="1">
        <v>6</v>
      </c>
      <c r="D597" t="s">
        <v>13</v>
      </c>
      <c r="E597" t="s">
        <v>20</v>
      </c>
      <c r="F597" t="s">
        <v>27</v>
      </c>
      <c r="G597" t="s">
        <v>29</v>
      </c>
      <c r="H597" t="s">
        <v>17</v>
      </c>
      <c r="I597" s="3">
        <v>11009</v>
      </c>
      <c r="J597" t="b">
        <v>1</v>
      </c>
      <c r="K597" t="b">
        <v>0</v>
      </c>
      <c r="L597" t="b">
        <v>0</v>
      </c>
    </row>
    <row r="598" spans="1:12" x14ac:dyDescent="0.3">
      <c r="A598">
        <v>28</v>
      </c>
      <c r="B598" t="s">
        <v>25</v>
      </c>
      <c r="C598" s="1">
        <v>5</v>
      </c>
      <c r="D598" t="s">
        <v>13</v>
      </c>
      <c r="E598" t="s">
        <v>14</v>
      </c>
      <c r="F598" t="s">
        <v>22</v>
      </c>
      <c r="G598" t="s">
        <v>23</v>
      </c>
      <c r="H598" t="s">
        <v>24</v>
      </c>
      <c r="I598" s="3">
        <v>11550</v>
      </c>
      <c r="J598" t="b">
        <v>1</v>
      </c>
      <c r="K598" t="b">
        <v>0</v>
      </c>
      <c r="L598" t="b">
        <v>1</v>
      </c>
    </row>
    <row r="599" spans="1:12" x14ac:dyDescent="0.3">
      <c r="A599">
        <v>35</v>
      </c>
      <c r="B599" t="s">
        <v>12</v>
      </c>
      <c r="C599" s="1">
        <v>1</v>
      </c>
      <c r="D599" t="s">
        <v>28</v>
      </c>
      <c r="E599" t="s">
        <v>14</v>
      </c>
      <c r="F599" t="s">
        <v>22</v>
      </c>
      <c r="G599" t="s">
        <v>23</v>
      </c>
      <c r="H599" t="s">
        <v>24</v>
      </c>
      <c r="I599" s="3">
        <v>18995</v>
      </c>
      <c r="J599" t="b">
        <v>0</v>
      </c>
      <c r="K599" t="b">
        <v>0</v>
      </c>
      <c r="L599" t="b">
        <v>1</v>
      </c>
    </row>
    <row r="600" spans="1:12" x14ac:dyDescent="0.3">
      <c r="A600">
        <v>64</v>
      </c>
      <c r="B600" t="s">
        <v>25</v>
      </c>
      <c r="C600" s="1">
        <v>8</v>
      </c>
      <c r="D600" t="s">
        <v>28</v>
      </c>
      <c r="E600" t="s">
        <v>14</v>
      </c>
      <c r="F600" t="s">
        <v>27</v>
      </c>
      <c r="G600" t="s">
        <v>16</v>
      </c>
      <c r="H600" t="s">
        <v>24</v>
      </c>
      <c r="I600" s="3">
        <v>17492</v>
      </c>
      <c r="J600" t="b">
        <v>1</v>
      </c>
      <c r="K600" t="b">
        <v>1</v>
      </c>
      <c r="L600" t="b">
        <v>1</v>
      </c>
    </row>
    <row r="601" spans="1:12" x14ac:dyDescent="0.3">
      <c r="A601">
        <v>29</v>
      </c>
      <c r="B601" t="s">
        <v>18</v>
      </c>
      <c r="C601" s="1">
        <v>3</v>
      </c>
      <c r="D601" t="s">
        <v>13</v>
      </c>
      <c r="E601" t="s">
        <v>14</v>
      </c>
      <c r="F601" t="s">
        <v>15</v>
      </c>
      <c r="G601" t="s">
        <v>23</v>
      </c>
      <c r="H601" t="s">
        <v>24</v>
      </c>
      <c r="I601" s="3">
        <v>13401</v>
      </c>
      <c r="J601" t="b">
        <v>0</v>
      </c>
      <c r="K601" t="b">
        <v>1</v>
      </c>
      <c r="L601" t="b">
        <v>1</v>
      </c>
    </row>
    <row r="602" spans="1:12" x14ac:dyDescent="0.3">
      <c r="A602">
        <v>26</v>
      </c>
      <c r="B602" t="s">
        <v>12</v>
      </c>
      <c r="C602" s="1">
        <v>6</v>
      </c>
      <c r="D602" t="s">
        <v>28</v>
      </c>
      <c r="E602" t="s">
        <v>20</v>
      </c>
      <c r="F602" t="s">
        <v>15</v>
      </c>
      <c r="G602" t="s">
        <v>23</v>
      </c>
      <c r="H602" t="s">
        <v>21</v>
      </c>
      <c r="I602" s="3">
        <v>17447</v>
      </c>
      <c r="J602" t="b">
        <v>1</v>
      </c>
      <c r="K602" t="b">
        <v>1</v>
      </c>
      <c r="L602" t="b">
        <v>0</v>
      </c>
    </row>
    <row r="603" spans="1:12" x14ac:dyDescent="0.3">
      <c r="A603">
        <v>27</v>
      </c>
      <c r="B603" t="s">
        <v>25</v>
      </c>
      <c r="C603" s="1">
        <v>3</v>
      </c>
      <c r="D603" t="s">
        <v>19</v>
      </c>
      <c r="E603" t="s">
        <v>14</v>
      </c>
      <c r="F603" t="s">
        <v>27</v>
      </c>
      <c r="G603" t="s">
        <v>29</v>
      </c>
      <c r="H603" t="s">
        <v>21</v>
      </c>
      <c r="I603" s="3">
        <v>15424</v>
      </c>
      <c r="J603" t="b">
        <v>1</v>
      </c>
      <c r="K603" t="b">
        <v>1</v>
      </c>
      <c r="L603" t="b">
        <v>1</v>
      </c>
    </row>
    <row r="604" spans="1:12" x14ac:dyDescent="0.3">
      <c r="A604">
        <v>61</v>
      </c>
      <c r="B604" t="s">
        <v>12</v>
      </c>
      <c r="C604" s="1">
        <v>7</v>
      </c>
      <c r="D604" t="s">
        <v>19</v>
      </c>
      <c r="E604" t="s">
        <v>26</v>
      </c>
      <c r="F604" t="s">
        <v>15</v>
      </c>
      <c r="G604" t="s">
        <v>23</v>
      </c>
      <c r="H604" t="s">
        <v>17</v>
      </c>
      <c r="I604" s="3">
        <v>14241</v>
      </c>
      <c r="J604" t="b">
        <v>1</v>
      </c>
      <c r="K604" t="b">
        <v>0</v>
      </c>
      <c r="L604" t="b">
        <v>0</v>
      </c>
    </row>
    <row r="605" spans="1:12" x14ac:dyDescent="0.3">
      <c r="A605">
        <v>34</v>
      </c>
      <c r="B605" t="s">
        <v>18</v>
      </c>
      <c r="C605" s="1">
        <v>7</v>
      </c>
      <c r="D605" t="s">
        <v>28</v>
      </c>
      <c r="E605" t="s">
        <v>26</v>
      </c>
      <c r="F605" t="s">
        <v>15</v>
      </c>
      <c r="G605" t="s">
        <v>16</v>
      </c>
      <c r="H605" t="s">
        <v>17</v>
      </c>
      <c r="I605" s="3">
        <v>13161</v>
      </c>
      <c r="J605" t="b">
        <v>0</v>
      </c>
      <c r="K605" t="b">
        <v>1</v>
      </c>
      <c r="L605" t="b">
        <v>1</v>
      </c>
    </row>
    <row r="606" spans="1:12" x14ac:dyDescent="0.3">
      <c r="A606">
        <v>55</v>
      </c>
      <c r="B606" t="s">
        <v>18</v>
      </c>
      <c r="C606" s="1">
        <v>9</v>
      </c>
      <c r="D606" t="s">
        <v>28</v>
      </c>
      <c r="E606" t="s">
        <v>20</v>
      </c>
      <c r="F606" t="s">
        <v>15</v>
      </c>
      <c r="G606" t="s">
        <v>23</v>
      </c>
      <c r="H606" t="s">
        <v>17</v>
      </c>
      <c r="I606" s="3">
        <v>14155</v>
      </c>
      <c r="J606" t="b">
        <v>0</v>
      </c>
      <c r="K606" t="b">
        <v>1</v>
      </c>
      <c r="L606" t="b">
        <v>1</v>
      </c>
    </row>
    <row r="607" spans="1:12" x14ac:dyDescent="0.3">
      <c r="A607">
        <v>24</v>
      </c>
      <c r="B607" t="s">
        <v>25</v>
      </c>
      <c r="C607" s="1">
        <v>5</v>
      </c>
      <c r="D607" t="s">
        <v>13</v>
      </c>
      <c r="E607" t="s">
        <v>14</v>
      </c>
      <c r="F607" t="s">
        <v>22</v>
      </c>
      <c r="G607" t="s">
        <v>16</v>
      </c>
      <c r="H607" t="s">
        <v>21</v>
      </c>
      <c r="I607" s="3">
        <v>17478</v>
      </c>
      <c r="J607" t="b">
        <v>1</v>
      </c>
      <c r="K607" t="b">
        <v>0</v>
      </c>
      <c r="L607" t="b">
        <v>0</v>
      </c>
    </row>
    <row r="608" spans="1:12" x14ac:dyDescent="0.3">
      <c r="A608">
        <v>63</v>
      </c>
      <c r="B608" t="s">
        <v>18</v>
      </c>
      <c r="C608" s="1">
        <v>8</v>
      </c>
      <c r="D608" t="s">
        <v>28</v>
      </c>
      <c r="E608" t="s">
        <v>26</v>
      </c>
      <c r="F608" t="s">
        <v>22</v>
      </c>
      <c r="G608" t="s">
        <v>29</v>
      </c>
      <c r="H608" t="s">
        <v>24</v>
      </c>
      <c r="I608" s="3">
        <v>18719</v>
      </c>
      <c r="J608" t="b">
        <v>0</v>
      </c>
      <c r="K608" t="b">
        <v>1</v>
      </c>
      <c r="L608" t="b">
        <v>1</v>
      </c>
    </row>
    <row r="609" spans="1:12" x14ac:dyDescent="0.3">
      <c r="A609">
        <v>30</v>
      </c>
      <c r="B609" t="s">
        <v>12</v>
      </c>
      <c r="C609" s="1">
        <v>8</v>
      </c>
      <c r="D609" t="s">
        <v>13</v>
      </c>
      <c r="E609" t="s">
        <v>20</v>
      </c>
      <c r="F609" t="s">
        <v>27</v>
      </c>
      <c r="G609" t="s">
        <v>16</v>
      </c>
      <c r="H609" t="s">
        <v>17</v>
      </c>
      <c r="I609" s="3">
        <v>19215</v>
      </c>
      <c r="J609" t="b">
        <v>0</v>
      </c>
      <c r="K609" t="b">
        <v>0</v>
      </c>
      <c r="L609" t="b">
        <v>0</v>
      </c>
    </row>
    <row r="610" spans="1:12" x14ac:dyDescent="0.3">
      <c r="A610">
        <v>57</v>
      </c>
      <c r="B610" t="s">
        <v>18</v>
      </c>
      <c r="C610" s="1">
        <v>1</v>
      </c>
      <c r="D610" t="s">
        <v>19</v>
      </c>
      <c r="E610" t="s">
        <v>14</v>
      </c>
      <c r="F610" t="s">
        <v>22</v>
      </c>
      <c r="G610" t="s">
        <v>23</v>
      </c>
      <c r="H610" t="s">
        <v>24</v>
      </c>
      <c r="I610" s="3">
        <v>16617</v>
      </c>
      <c r="J610" t="b">
        <v>0</v>
      </c>
      <c r="K610" t="b">
        <v>0</v>
      </c>
      <c r="L610" t="b">
        <v>0</v>
      </c>
    </row>
    <row r="611" spans="1:12" x14ac:dyDescent="0.3">
      <c r="A611">
        <v>59</v>
      </c>
      <c r="B611" t="s">
        <v>12</v>
      </c>
      <c r="C611" s="1">
        <v>5</v>
      </c>
      <c r="D611" t="s">
        <v>28</v>
      </c>
      <c r="E611" t="s">
        <v>26</v>
      </c>
      <c r="F611" t="s">
        <v>15</v>
      </c>
      <c r="G611" t="s">
        <v>29</v>
      </c>
      <c r="H611" t="s">
        <v>17</v>
      </c>
      <c r="I611" s="3">
        <v>15660</v>
      </c>
      <c r="J611" t="b">
        <v>0</v>
      </c>
      <c r="K611" t="b">
        <v>0</v>
      </c>
      <c r="L611" t="b">
        <v>0</v>
      </c>
    </row>
    <row r="612" spans="1:12" x14ac:dyDescent="0.3">
      <c r="A612">
        <v>26</v>
      </c>
      <c r="B612" t="s">
        <v>12</v>
      </c>
      <c r="C612" s="1">
        <v>3</v>
      </c>
      <c r="D612" t="s">
        <v>13</v>
      </c>
      <c r="E612" t="s">
        <v>26</v>
      </c>
      <c r="F612" t="s">
        <v>22</v>
      </c>
      <c r="G612" t="s">
        <v>23</v>
      </c>
      <c r="H612" t="s">
        <v>17</v>
      </c>
      <c r="I612" s="3">
        <v>18624</v>
      </c>
      <c r="J612" t="b">
        <v>1</v>
      </c>
      <c r="K612" t="b">
        <v>0</v>
      </c>
      <c r="L612" t="b">
        <v>1</v>
      </c>
    </row>
    <row r="613" spans="1:12" x14ac:dyDescent="0.3">
      <c r="A613">
        <v>44</v>
      </c>
      <c r="B613" t="s">
        <v>18</v>
      </c>
      <c r="C613" s="1">
        <v>1</v>
      </c>
      <c r="D613" t="s">
        <v>13</v>
      </c>
      <c r="E613" t="s">
        <v>20</v>
      </c>
      <c r="F613" t="s">
        <v>27</v>
      </c>
      <c r="G613" t="s">
        <v>29</v>
      </c>
      <c r="H613" t="s">
        <v>17</v>
      </c>
      <c r="I613" s="3">
        <v>11176</v>
      </c>
      <c r="J613" t="b">
        <v>0</v>
      </c>
      <c r="K613" t="b">
        <v>0</v>
      </c>
      <c r="L613" t="b">
        <v>1</v>
      </c>
    </row>
    <row r="614" spans="1:12" x14ac:dyDescent="0.3">
      <c r="A614">
        <v>19</v>
      </c>
      <c r="B614" t="s">
        <v>25</v>
      </c>
      <c r="C614" s="1">
        <v>4</v>
      </c>
      <c r="D614" t="s">
        <v>19</v>
      </c>
      <c r="E614" t="s">
        <v>14</v>
      </c>
      <c r="F614" t="s">
        <v>22</v>
      </c>
      <c r="G614" t="s">
        <v>29</v>
      </c>
      <c r="H614" t="s">
        <v>17</v>
      </c>
      <c r="I614" s="3">
        <v>17956</v>
      </c>
      <c r="J614" t="b">
        <v>0</v>
      </c>
      <c r="K614" t="b">
        <v>1</v>
      </c>
      <c r="L614" t="b">
        <v>1</v>
      </c>
    </row>
    <row r="615" spans="1:12" x14ac:dyDescent="0.3">
      <c r="A615">
        <v>22</v>
      </c>
      <c r="B615" t="s">
        <v>18</v>
      </c>
      <c r="C615" s="1">
        <v>8</v>
      </c>
      <c r="D615" t="s">
        <v>28</v>
      </c>
      <c r="E615" t="s">
        <v>14</v>
      </c>
      <c r="F615" t="s">
        <v>15</v>
      </c>
      <c r="G615" t="s">
        <v>23</v>
      </c>
      <c r="H615" t="s">
        <v>17</v>
      </c>
      <c r="I615" s="3">
        <v>18592</v>
      </c>
      <c r="J615" t="b">
        <v>1</v>
      </c>
      <c r="K615" t="b">
        <v>1</v>
      </c>
      <c r="L615" t="b">
        <v>1</v>
      </c>
    </row>
    <row r="616" spans="1:12" x14ac:dyDescent="0.3">
      <c r="A616">
        <v>46</v>
      </c>
      <c r="B616" t="s">
        <v>12</v>
      </c>
      <c r="C616" s="1">
        <v>3</v>
      </c>
      <c r="D616" t="s">
        <v>19</v>
      </c>
      <c r="E616" t="s">
        <v>26</v>
      </c>
      <c r="F616" t="s">
        <v>15</v>
      </c>
      <c r="G616" t="s">
        <v>23</v>
      </c>
      <c r="H616" t="s">
        <v>24</v>
      </c>
      <c r="I616" s="3">
        <v>12233</v>
      </c>
      <c r="J616" t="b">
        <v>0</v>
      </c>
      <c r="K616" t="b">
        <v>1</v>
      </c>
      <c r="L616" t="b">
        <v>0</v>
      </c>
    </row>
    <row r="617" spans="1:12" x14ac:dyDescent="0.3">
      <c r="A617">
        <v>54</v>
      </c>
      <c r="B617" t="s">
        <v>12</v>
      </c>
      <c r="C617" s="1">
        <v>2</v>
      </c>
      <c r="D617" t="s">
        <v>13</v>
      </c>
      <c r="E617" t="s">
        <v>26</v>
      </c>
      <c r="F617" t="s">
        <v>27</v>
      </c>
      <c r="G617" t="s">
        <v>29</v>
      </c>
      <c r="H617" t="s">
        <v>17</v>
      </c>
      <c r="I617" s="3">
        <v>14700</v>
      </c>
      <c r="J617" t="b">
        <v>0</v>
      </c>
      <c r="K617" t="b">
        <v>0</v>
      </c>
      <c r="L617" t="b">
        <v>1</v>
      </c>
    </row>
    <row r="618" spans="1:12" x14ac:dyDescent="0.3">
      <c r="A618">
        <v>55</v>
      </c>
      <c r="B618" t="s">
        <v>18</v>
      </c>
      <c r="C618" s="1">
        <v>9</v>
      </c>
      <c r="D618" t="s">
        <v>13</v>
      </c>
      <c r="E618" t="s">
        <v>26</v>
      </c>
      <c r="F618" t="s">
        <v>22</v>
      </c>
      <c r="G618" t="s">
        <v>29</v>
      </c>
      <c r="H618" t="s">
        <v>24</v>
      </c>
      <c r="I618" s="3">
        <v>15906</v>
      </c>
      <c r="J618" t="b">
        <v>0</v>
      </c>
      <c r="K618" t="b">
        <v>1</v>
      </c>
      <c r="L618" t="b">
        <v>1</v>
      </c>
    </row>
    <row r="619" spans="1:12" x14ac:dyDescent="0.3">
      <c r="A619">
        <v>36</v>
      </c>
      <c r="B619" t="s">
        <v>25</v>
      </c>
      <c r="C619" s="1">
        <v>5</v>
      </c>
      <c r="D619" t="s">
        <v>28</v>
      </c>
      <c r="E619" t="s">
        <v>14</v>
      </c>
      <c r="F619" t="s">
        <v>22</v>
      </c>
      <c r="G619" t="s">
        <v>23</v>
      </c>
      <c r="H619" t="s">
        <v>21</v>
      </c>
      <c r="I619" s="3">
        <v>17860</v>
      </c>
      <c r="J619" t="b">
        <v>1</v>
      </c>
      <c r="K619" t="b">
        <v>1</v>
      </c>
      <c r="L619" t="b">
        <v>0</v>
      </c>
    </row>
    <row r="620" spans="1:12" x14ac:dyDescent="0.3">
      <c r="A620">
        <v>25</v>
      </c>
      <c r="B620" t="s">
        <v>25</v>
      </c>
      <c r="C620" s="1">
        <v>7</v>
      </c>
      <c r="D620" t="s">
        <v>13</v>
      </c>
      <c r="E620" t="s">
        <v>20</v>
      </c>
      <c r="F620" t="s">
        <v>22</v>
      </c>
      <c r="G620" t="s">
        <v>16</v>
      </c>
      <c r="H620" t="s">
        <v>17</v>
      </c>
      <c r="I620" s="3">
        <v>17526</v>
      </c>
      <c r="J620" t="b">
        <v>1</v>
      </c>
      <c r="K620" t="b">
        <v>1</v>
      </c>
      <c r="L620" t="b">
        <v>0</v>
      </c>
    </row>
    <row r="621" spans="1:12" x14ac:dyDescent="0.3">
      <c r="A621">
        <v>62</v>
      </c>
      <c r="B621" t="s">
        <v>12</v>
      </c>
      <c r="C621" s="1">
        <v>2</v>
      </c>
      <c r="D621" t="s">
        <v>28</v>
      </c>
      <c r="E621" t="s">
        <v>20</v>
      </c>
      <c r="F621" t="s">
        <v>15</v>
      </c>
      <c r="G621" t="s">
        <v>23</v>
      </c>
      <c r="H621" t="s">
        <v>24</v>
      </c>
      <c r="I621" s="3">
        <v>15559</v>
      </c>
      <c r="J621" t="b">
        <v>0</v>
      </c>
      <c r="K621" t="b">
        <v>1</v>
      </c>
      <c r="L621" t="b">
        <v>1</v>
      </c>
    </row>
    <row r="622" spans="1:12" x14ac:dyDescent="0.3">
      <c r="A622">
        <v>18</v>
      </c>
      <c r="B622" t="s">
        <v>12</v>
      </c>
      <c r="C622" s="1">
        <v>9</v>
      </c>
      <c r="D622" t="s">
        <v>19</v>
      </c>
      <c r="E622" t="s">
        <v>14</v>
      </c>
      <c r="F622" t="s">
        <v>27</v>
      </c>
      <c r="G622" t="s">
        <v>29</v>
      </c>
      <c r="H622" t="s">
        <v>21</v>
      </c>
      <c r="I622" s="3">
        <v>16732</v>
      </c>
      <c r="J622" t="b">
        <v>0</v>
      </c>
      <c r="K622" t="b">
        <v>0</v>
      </c>
      <c r="L622" t="b">
        <v>0</v>
      </c>
    </row>
    <row r="623" spans="1:12" x14ac:dyDescent="0.3">
      <c r="A623">
        <v>39</v>
      </c>
      <c r="B623" t="s">
        <v>25</v>
      </c>
      <c r="C623" s="1">
        <v>9</v>
      </c>
      <c r="D623" t="s">
        <v>28</v>
      </c>
      <c r="E623" t="s">
        <v>20</v>
      </c>
      <c r="F623" t="s">
        <v>22</v>
      </c>
      <c r="G623" t="s">
        <v>23</v>
      </c>
      <c r="H623" t="s">
        <v>21</v>
      </c>
      <c r="I623" s="3">
        <v>12513</v>
      </c>
      <c r="J623" t="b">
        <v>1</v>
      </c>
      <c r="K623" t="b">
        <v>1</v>
      </c>
      <c r="L623" t="b">
        <v>0</v>
      </c>
    </row>
    <row r="624" spans="1:12" x14ac:dyDescent="0.3">
      <c r="A624">
        <v>34</v>
      </c>
      <c r="B624" t="s">
        <v>18</v>
      </c>
      <c r="C624" s="1">
        <v>4</v>
      </c>
      <c r="D624" t="s">
        <v>28</v>
      </c>
      <c r="E624" t="s">
        <v>26</v>
      </c>
      <c r="F624" t="s">
        <v>15</v>
      </c>
      <c r="G624" t="s">
        <v>16</v>
      </c>
      <c r="H624" t="s">
        <v>21</v>
      </c>
      <c r="I624" s="3">
        <v>17830</v>
      </c>
      <c r="J624" t="b">
        <v>1</v>
      </c>
      <c r="K624" t="b">
        <v>0</v>
      </c>
      <c r="L624" t="b">
        <v>0</v>
      </c>
    </row>
    <row r="625" spans="1:12" x14ac:dyDescent="0.3">
      <c r="A625">
        <v>24</v>
      </c>
      <c r="B625" t="s">
        <v>12</v>
      </c>
      <c r="C625" s="1">
        <v>4</v>
      </c>
      <c r="D625" t="s">
        <v>13</v>
      </c>
      <c r="E625" t="s">
        <v>20</v>
      </c>
      <c r="F625" t="s">
        <v>15</v>
      </c>
      <c r="G625" t="s">
        <v>23</v>
      </c>
      <c r="H625" t="s">
        <v>24</v>
      </c>
      <c r="I625" s="3">
        <v>19965</v>
      </c>
      <c r="J625" t="b">
        <v>1</v>
      </c>
      <c r="K625" t="b">
        <v>0</v>
      </c>
      <c r="L625" t="b">
        <v>0</v>
      </c>
    </row>
    <row r="626" spans="1:12" x14ac:dyDescent="0.3">
      <c r="A626">
        <v>42</v>
      </c>
      <c r="B626" t="s">
        <v>12</v>
      </c>
      <c r="C626" s="1">
        <v>6</v>
      </c>
      <c r="D626" t="s">
        <v>13</v>
      </c>
      <c r="E626" t="s">
        <v>20</v>
      </c>
      <c r="F626" t="s">
        <v>15</v>
      </c>
      <c r="G626" t="s">
        <v>29</v>
      </c>
      <c r="H626" t="s">
        <v>17</v>
      </c>
      <c r="I626" s="3">
        <v>16944</v>
      </c>
      <c r="J626" t="b">
        <v>0</v>
      </c>
      <c r="K626" t="b">
        <v>1</v>
      </c>
      <c r="L626" t="b">
        <v>0</v>
      </c>
    </row>
    <row r="627" spans="1:12" x14ac:dyDescent="0.3">
      <c r="A627">
        <v>62</v>
      </c>
      <c r="B627" t="s">
        <v>25</v>
      </c>
      <c r="C627" s="1">
        <v>6</v>
      </c>
      <c r="D627" t="s">
        <v>28</v>
      </c>
      <c r="E627" t="s">
        <v>20</v>
      </c>
      <c r="F627" t="s">
        <v>22</v>
      </c>
      <c r="G627" t="s">
        <v>23</v>
      </c>
      <c r="H627" t="s">
        <v>17</v>
      </c>
      <c r="I627" s="3">
        <v>17910</v>
      </c>
      <c r="J627" t="b">
        <v>0</v>
      </c>
      <c r="K627" t="b">
        <v>0</v>
      </c>
      <c r="L627" t="b">
        <v>1</v>
      </c>
    </row>
    <row r="628" spans="1:12" x14ac:dyDescent="0.3">
      <c r="A628">
        <v>21</v>
      </c>
      <c r="B628" t="s">
        <v>18</v>
      </c>
      <c r="C628" s="1">
        <v>1</v>
      </c>
      <c r="D628" t="s">
        <v>13</v>
      </c>
      <c r="E628" t="s">
        <v>26</v>
      </c>
      <c r="F628" t="s">
        <v>22</v>
      </c>
      <c r="G628" t="s">
        <v>29</v>
      </c>
      <c r="H628" t="s">
        <v>24</v>
      </c>
      <c r="I628" s="3">
        <v>15649</v>
      </c>
      <c r="J628" t="b">
        <v>1</v>
      </c>
      <c r="K628" t="b">
        <v>0</v>
      </c>
      <c r="L628" t="b">
        <v>1</v>
      </c>
    </row>
    <row r="629" spans="1:12" x14ac:dyDescent="0.3">
      <c r="A629">
        <v>53</v>
      </c>
      <c r="B629" t="s">
        <v>25</v>
      </c>
      <c r="C629" s="1">
        <v>9</v>
      </c>
      <c r="D629" t="s">
        <v>13</v>
      </c>
      <c r="E629" t="s">
        <v>14</v>
      </c>
      <c r="F629" t="s">
        <v>22</v>
      </c>
      <c r="G629" t="s">
        <v>29</v>
      </c>
      <c r="H629" t="s">
        <v>17</v>
      </c>
      <c r="I629" s="3">
        <v>11096</v>
      </c>
      <c r="J629" t="b">
        <v>0</v>
      </c>
      <c r="K629" t="b">
        <v>0</v>
      </c>
      <c r="L629" t="b">
        <v>1</v>
      </c>
    </row>
    <row r="630" spans="1:12" x14ac:dyDescent="0.3">
      <c r="A630">
        <v>23</v>
      </c>
      <c r="B630" t="s">
        <v>18</v>
      </c>
      <c r="C630" s="1">
        <v>2</v>
      </c>
      <c r="D630" t="s">
        <v>13</v>
      </c>
      <c r="E630" t="s">
        <v>26</v>
      </c>
      <c r="F630" t="s">
        <v>22</v>
      </c>
      <c r="G630" t="s">
        <v>23</v>
      </c>
      <c r="H630" t="s">
        <v>24</v>
      </c>
      <c r="I630" s="3">
        <v>19120</v>
      </c>
      <c r="J630" t="b">
        <v>0</v>
      </c>
      <c r="K630" t="b">
        <v>0</v>
      </c>
      <c r="L630" t="b">
        <v>1</v>
      </c>
    </row>
    <row r="631" spans="1:12" x14ac:dyDescent="0.3">
      <c r="A631">
        <v>48</v>
      </c>
      <c r="B631" t="s">
        <v>18</v>
      </c>
      <c r="C631" s="1">
        <v>5</v>
      </c>
      <c r="D631" t="s">
        <v>28</v>
      </c>
      <c r="E631" t="s">
        <v>14</v>
      </c>
      <c r="F631" t="s">
        <v>22</v>
      </c>
      <c r="G631" t="s">
        <v>29</v>
      </c>
      <c r="H631" t="s">
        <v>17</v>
      </c>
      <c r="I631" s="3">
        <v>11951</v>
      </c>
      <c r="J631" t="b">
        <v>0</v>
      </c>
      <c r="K631" t="b">
        <v>0</v>
      </c>
      <c r="L631" t="b">
        <v>1</v>
      </c>
    </row>
    <row r="632" spans="1:12" x14ac:dyDescent="0.3">
      <c r="A632">
        <v>36</v>
      </c>
      <c r="B632" t="s">
        <v>18</v>
      </c>
      <c r="C632" s="1">
        <v>9</v>
      </c>
      <c r="D632" t="s">
        <v>13</v>
      </c>
      <c r="E632" t="s">
        <v>14</v>
      </c>
      <c r="F632" t="s">
        <v>22</v>
      </c>
      <c r="G632" t="s">
        <v>29</v>
      </c>
      <c r="H632" t="s">
        <v>21</v>
      </c>
      <c r="I632" s="3">
        <v>19746</v>
      </c>
      <c r="J632" t="b">
        <v>0</v>
      </c>
      <c r="K632" t="b">
        <v>0</v>
      </c>
      <c r="L632" t="b">
        <v>1</v>
      </c>
    </row>
    <row r="633" spans="1:12" x14ac:dyDescent="0.3">
      <c r="A633">
        <v>61</v>
      </c>
      <c r="B633" t="s">
        <v>12</v>
      </c>
      <c r="C633" s="1">
        <v>4</v>
      </c>
      <c r="D633" t="s">
        <v>28</v>
      </c>
      <c r="E633" t="s">
        <v>14</v>
      </c>
      <c r="F633" t="s">
        <v>22</v>
      </c>
      <c r="G633" t="s">
        <v>16</v>
      </c>
      <c r="H633" t="s">
        <v>17</v>
      </c>
      <c r="I633" s="3">
        <v>19186</v>
      </c>
      <c r="J633" t="b">
        <v>0</v>
      </c>
      <c r="K633" t="b">
        <v>0</v>
      </c>
      <c r="L633" t="b">
        <v>1</v>
      </c>
    </row>
    <row r="634" spans="1:12" x14ac:dyDescent="0.3">
      <c r="A634">
        <v>56</v>
      </c>
      <c r="B634" t="s">
        <v>25</v>
      </c>
      <c r="C634" s="1">
        <v>3</v>
      </c>
      <c r="D634" t="s">
        <v>13</v>
      </c>
      <c r="E634" t="s">
        <v>20</v>
      </c>
      <c r="F634" t="s">
        <v>22</v>
      </c>
      <c r="G634" t="s">
        <v>16</v>
      </c>
      <c r="H634" t="s">
        <v>24</v>
      </c>
      <c r="I634" s="3">
        <v>17799</v>
      </c>
      <c r="J634" t="b">
        <v>0</v>
      </c>
      <c r="K634" t="b">
        <v>1</v>
      </c>
      <c r="L634" t="b">
        <v>0</v>
      </c>
    </row>
    <row r="635" spans="1:12" x14ac:dyDescent="0.3">
      <c r="A635">
        <v>44</v>
      </c>
      <c r="B635" t="s">
        <v>25</v>
      </c>
      <c r="C635" s="1">
        <v>7</v>
      </c>
      <c r="D635" t="s">
        <v>19</v>
      </c>
      <c r="E635" t="s">
        <v>20</v>
      </c>
      <c r="F635" t="s">
        <v>22</v>
      </c>
      <c r="G635" t="s">
        <v>16</v>
      </c>
      <c r="H635" t="s">
        <v>24</v>
      </c>
      <c r="I635" s="3">
        <v>18804</v>
      </c>
      <c r="J635" t="b">
        <v>0</v>
      </c>
      <c r="K635" t="b">
        <v>1</v>
      </c>
      <c r="L635" t="b">
        <v>1</v>
      </c>
    </row>
    <row r="636" spans="1:12" x14ac:dyDescent="0.3">
      <c r="A636">
        <v>27</v>
      </c>
      <c r="B636" t="s">
        <v>18</v>
      </c>
      <c r="C636" s="1">
        <v>6</v>
      </c>
      <c r="D636" t="s">
        <v>13</v>
      </c>
      <c r="E636" t="s">
        <v>14</v>
      </c>
      <c r="F636" t="s">
        <v>15</v>
      </c>
      <c r="G636" t="s">
        <v>16</v>
      </c>
      <c r="H636" t="s">
        <v>21</v>
      </c>
      <c r="I636" s="3">
        <v>10595</v>
      </c>
      <c r="J636" t="b">
        <v>1</v>
      </c>
      <c r="K636" t="b">
        <v>0</v>
      </c>
      <c r="L636" t="b">
        <v>1</v>
      </c>
    </row>
    <row r="637" spans="1:12" x14ac:dyDescent="0.3">
      <c r="A637">
        <v>43</v>
      </c>
      <c r="B637" t="s">
        <v>12</v>
      </c>
      <c r="C637" s="1">
        <v>8</v>
      </c>
      <c r="D637" t="s">
        <v>13</v>
      </c>
      <c r="E637" t="s">
        <v>14</v>
      </c>
      <c r="F637" t="s">
        <v>22</v>
      </c>
      <c r="G637" t="s">
        <v>29</v>
      </c>
      <c r="H637" t="s">
        <v>24</v>
      </c>
      <c r="I637" s="3">
        <v>17875</v>
      </c>
      <c r="J637" t="b">
        <v>1</v>
      </c>
      <c r="K637" t="b">
        <v>0</v>
      </c>
      <c r="L637" t="b">
        <v>1</v>
      </c>
    </row>
    <row r="638" spans="1:12" x14ac:dyDescent="0.3">
      <c r="A638">
        <v>36</v>
      </c>
      <c r="B638" t="s">
        <v>12</v>
      </c>
      <c r="C638" s="1">
        <v>3</v>
      </c>
      <c r="D638" t="s">
        <v>28</v>
      </c>
      <c r="E638" t="s">
        <v>20</v>
      </c>
      <c r="F638" t="s">
        <v>27</v>
      </c>
      <c r="G638" t="s">
        <v>23</v>
      </c>
      <c r="H638" t="s">
        <v>17</v>
      </c>
      <c r="I638" s="3">
        <v>19033</v>
      </c>
      <c r="J638" t="b">
        <v>1</v>
      </c>
      <c r="K638" t="b">
        <v>1</v>
      </c>
      <c r="L638" t="b">
        <v>0</v>
      </c>
    </row>
    <row r="639" spans="1:12" x14ac:dyDescent="0.3">
      <c r="A639">
        <v>56</v>
      </c>
      <c r="B639" t="s">
        <v>25</v>
      </c>
      <c r="C639" s="1">
        <v>5</v>
      </c>
      <c r="D639" t="s">
        <v>28</v>
      </c>
      <c r="E639" t="s">
        <v>26</v>
      </c>
      <c r="F639" t="s">
        <v>15</v>
      </c>
      <c r="G639" t="s">
        <v>29</v>
      </c>
      <c r="H639" t="s">
        <v>17</v>
      </c>
      <c r="I639" s="3">
        <v>14439</v>
      </c>
      <c r="J639" t="b">
        <v>1</v>
      </c>
      <c r="K639" t="b">
        <v>1</v>
      </c>
      <c r="L639" t="b">
        <v>1</v>
      </c>
    </row>
    <row r="640" spans="1:12" x14ac:dyDescent="0.3">
      <c r="A640">
        <v>20</v>
      </c>
      <c r="B640" t="s">
        <v>12</v>
      </c>
      <c r="C640" s="1">
        <v>4</v>
      </c>
      <c r="D640" t="s">
        <v>13</v>
      </c>
      <c r="E640" t="s">
        <v>14</v>
      </c>
      <c r="F640" t="s">
        <v>22</v>
      </c>
      <c r="G640" t="s">
        <v>29</v>
      </c>
      <c r="H640" t="s">
        <v>21</v>
      </c>
      <c r="I640" s="3">
        <v>15972</v>
      </c>
      <c r="J640" t="b">
        <v>1</v>
      </c>
      <c r="K640" t="b">
        <v>1</v>
      </c>
      <c r="L640" t="b">
        <v>1</v>
      </c>
    </row>
    <row r="641" spans="1:12" x14ac:dyDescent="0.3">
      <c r="A641">
        <v>62</v>
      </c>
      <c r="B641" t="s">
        <v>12</v>
      </c>
      <c r="C641" s="1">
        <v>4</v>
      </c>
      <c r="D641" t="s">
        <v>19</v>
      </c>
      <c r="E641" t="s">
        <v>26</v>
      </c>
      <c r="F641" t="s">
        <v>27</v>
      </c>
      <c r="G641" t="s">
        <v>29</v>
      </c>
      <c r="H641" t="s">
        <v>24</v>
      </c>
      <c r="I641" s="3">
        <v>10858</v>
      </c>
      <c r="J641" t="b">
        <v>1</v>
      </c>
      <c r="K641" t="b">
        <v>1</v>
      </c>
      <c r="L641" t="b">
        <v>0</v>
      </c>
    </row>
    <row r="642" spans="1:12" x14ac:dyDescent="0.3">
      <c r="A642">
        <v>30</v>
      </c>
      <c r="B642" t="s">
        <v>18</v>
      </c>
      <c r="C642" s="1">
        <v>4</v>
      </c>
      <c r="D642" t="s">
        <v>13</v>
      </c>
      <c r="E642" t="s">
        <v>20</v>
      </c>
      <c r="F642" t="s">
        <v>22</v>
      </c>
      <c r="G642" t="s">
        <v>23</v>
      </c>
      <c r="H642" t="s">
        <v>21</v>
      </c>
      <c r="I642" s="3">
        <v>15519</v>
      </c>
      <c r="J642" t="b">
        <v>1</v>
      </c>
      <c r="K642" t="b">
        <v>0</v>
      </c>
      <c r="L642" t="b">
        <v>1</v>
      </c>
    </row>
    <row r="643" spans="1:12" x14ac:dyDescent="0.3">
      <c r="A643">
        <v>45</v>
      </c>
      <c r="B643" t="s">
        <v>12</v>
      </c>
      <c r="C643" s="1">
        <v>8</v>
      </c>
      <c r="D643" t="s">
        <v>13</v>
      </c>
      <c r="E643" t="s">
        <v>14</v>
      </c>
      <c r="F643" t="s">
        <v>27</v>
      </c>
      <c r="G643" t="s">
        <v>16</v>
      </c>
      <c r="H643" t="s">
        <v>17</v>
      </c>
      <c r="I643" s="3">
        <v>17385</v>
      </c>
      <c r="J643" t="b">
        <v>1</v>
      </c>
      <c r="K643" t="b">
        <v>0</v>
      </c>
      <c r="L643" t="b">
        <v>1</v>
      </c>
    </row>
    <row r="644" spans="1:12" x14ac:dyDescent="0.3">
      <c r="A644">
        <v>37</v>
      </c>
      <c r="B644" t="s">
        <v>18</v>
      </c>
      <c r="C644" s="1">
        <v>6</v>
      </c>
      <c r="D644" t="s">
        <v>19</v>
      </c>
      <c r="E644" t="s">
        <v>26</v>
      </c>
      <c r="F644" t="s">
        <v>27</v>
      </c>
      <c r="G644" t="s">
        <v>29</v>
      </c>
      <c r="H644" t="s">
        <v>21</v>
      </c>
      <c r="I644" s="3">
        <v>18636</v>
      </c>
      <c r="J644" t="b">
        <v>1</v>
      </c>
      <c r="K644" t="b">
        <v>1</v>
      </c>
      <c r="L644" t="b">
        <v>0</v>
      </c>
    </row>
    <row r="645" spans="1:12" x14ac:dyDescent="0.3">
      <c r="A645">
        <v>45</v>
      </c>
      <c r="B645" t="s">
        <v>25</v>
      </c>
      <c r="C645" s="1">
        <v>3</v>
      </c>
      <c r="D645" t="s">
        <v>28</v>
      </c>
      <c r="E645" t="s">
        <v>26</v>
      </c>
      <c r="F645" t="s">
        <v>27</v>
      </c>
      <c r="G645" t="s">
        <v>29</v>
      </c>
      <c r="H645" t="s">
        <v>24</v>
      </c>
      <c r="I645" s="3">
        <v>19980</v>
      </c>
      <c r="J645" t="b">
        <v>0</v>
      </c>
      <c r="K645" t="b">
        <v>1</v>
      </c>
      <c r="L645" t="b">
        <v>1</v>
      </c>
    </row>
    <row r="646" spans="1:12" x14ac:dyDescent="0.3">
      <c r="A646">
        <v>25</v>
      </c>
      <c r="B646" t="s">
        <v>12</v>
      </c>
      <c r="C646" s="1">
        <v>5</v>
      </c>
      <c r="D646" t="s">
        <v>13</v>
      </c>
      <c r="E646" t="s">
        <v>26</v>
      </c>
      <c r="F646" t="s">
        <v>27</v>
      </c>
      <c r="G646" t="s">
        <v>16</v>
      </c>
      <c r="H646" t="s">
        <v>21</v>
      </c>
      <c r="I646" s="3">
        <v>14317</v>
      </c>
      <c r="J646" t="b">
        <v>0</v>
      </c>
      <c r="K646" t="b">
        <v>1</v>
      </c>
      <c r="L646" t="b">
        <v>0</v>
      </c>
    </row>
    <row r="647" spans="1:12" x14ac:dyDescent="0.3">
      <c r="A647">
        <v>58</v>
      </c>
      <c r="B647" t="s">
        <v>25</v>
      </c>
      <c r="C647" s="1">
        <v>6</v>
      </c>
      <c r="D647" t="s">
        <v>28</v>
      </c>
      <c r="E647" t="s">
        <v>20</v>
      </c>
      <c r="F647" t="s">
        <v>15</v>
      </c>
      <c r="G647" t="s">
        <v>29</v>
      </c>
      <c r="H647" t="s">
        <v>24</v>
      </c>
      <c r="I647" s="3">
        <v>13454</v>
      </c>
      <c r="J647" t="b">
        <v>1</v>
      </c>
      <c r="K647" t="b">
        <v>1</v>
      </c>
      <c r="L647" t="b">
        <v>1</v>
      </c>
    </row>
    <row r="648" spans="1:12" x14ac:dyDescent="0.3">
      <c r="A648">
        <v>56</v>
      </c>
      <c r="B648" t="s">
        <v>25</v>
      </c>
      <c r="C648" s="1">
        <v>5</v>
      </c>
      <c r="D648" t="s">
        <v>28</v>
      </c>
      <c r="E648" t="s">
        <v>20</v>
      </c>
      <c r="F648" t="s">
        <v>15</v>
      </c>
      <c r="G648" t="s">
        <v>23</v>
      </c>
      <c r="H648" t="s">
        <v>24</v>
      </c>
      <c r="I648" s="3">
        <v>11030</v>
      </c>
      <c r="J648" t="b">
        <v>0</v>
      </c>
      <c r="K648" t="b">
        <v>0</v>
      </c>
      <c r="L648" t="b">
        <v>1</v>
      </c>
    </row>
    <row r="649" spans="1:12" x14ac:dyDescent="0.3">
      <c r="A649">
        <v>18</v>
      </c>
      <c r="B649" t="s">
        <v>12</v>
      </c>
      <c r="C649" s="1">
        <v>6</v>
      </c>
      <c r="D649" t="s">
        <v>19</v>
      </c>
      <c r="E649" t="s">
        <v>26</v>
      </c>
      <c r="F649" t="s">
        <v>27</v>
      </c>
      <c r="G649" t="s">
        <v>29</v>
      </c>
      <c r="H649" t="s">
        <v>17</v>
      </c>
      <c r="I649" s="3">
        <v>19487</v>
      </c>
      <c r="J649" t="b">
        <v>0</v>
      </c>
      <c r="K649" t="b">
        <v>1</v>
      </c>
      <c r="L649" t="b">
        <v>1</v>
      </c>
    </row>
    <row r="650" spans="1:12" x14ac:dyDescent="0.3">
      <c r="A650">
        <v>20</v>
      </c>
      <c r="B650" t="s">
        <v>12</v>
      </c>
      <c r="C650" s="1">
        <v>8</v>
      </c>
      <c r="D650" t="s">
        <v>19</v>
      </c>
      <c r="E650" t="s">
        <v>26</v>
      </c>
      <c r="F650" t="s">
        <v>22</v>
      </c>
      <c r="G650" t="s">
        <v>29</v>
      </c>
      <c r="H650" t="s">
        <v>17</v>
      </c>
      <c r="I650" s="3">
        <v>17906</v>
      </c>
      <c r="J650" t="b">
        <v>1</v>
      </c>
      <c r="K650" t="b">
        <v>1</v>
      </c>
      <c r="L650" t="b">
        <v>0</v>
      </c>
    </row>
    <row r="651" spans="1:12" x14ac:dyDescent="0.3">
      <c r="A651">
        <v>30</v>
      </c>
      <c r="B651" t="s">
        <v>25</v>
      </c>
      <c r="C651" s="1">
        <v>7</v>
      </c>
      <c r="D651" t="s">
        <v>28</v>
      </c>
      <c r="E651" t="s">
        <v>20</v>
      </c>
      <c r="F651" t="s">
        <v>27</v>
      </c>
      <c r="G651" t="s">
        <v>16</v>
      </c>
      <c r="H651" t="s">
        <v>17</v>
      </c>
      <c r="I651" s="3">
        <v>11447</v>
      </c>
      <c r="J651" t="b">
        <v>1</v>
      </c>
      <c r="K651" t="b">
        <v>1</v>
      </c>
      <c r="L651" t="b">
        <v>0</v>
      </c>
    </row>
    <row r="652" spans="1:12" x14ac:dyDescent="0.3">
      <c r="A652">
        <v>45</v>
      </c>
      <c r="B652" t="s">
        <v>12</v>
      </c>
      <c r="C652" s="1">
        <v>5</v>
      </c>
      <c r="D652" t="s">
        <v>13</v>
      </c>
      <c r="E652" t="s">
        <v>26</v>
      </c>
      <c r="F652" t="s">
        <v>15</v>
      </c>
      <c r="G652" t="s">
        <v>29</v>
      </c>
      <c r="H652" t="s">
        <v>24</v>
      </c>
      <c r="I652" s="3">
        <v>12850</v>
      </c>
      <c r="J652" t="b">
        <v>1</v>
      </c>
      <c r="K652" t="b">
        <v>0</v>
      </c>
      <c r="L652" t="b">
        <v>0</v>
      </c>
    </row>
    <row r="653" spans="1:12" x14ac:dyDescent="0.3">
      <c r="A653">
        <v>42</v>
      </c>
      <c r="B653" t="s">
        <v>18</v>
      </c>
      <c r="C653" s="1">
        <v>6</v>
      </c>
      <c r="D653" t="s">
        <v>28</v>
      </c>
      <c r="E653" t="s">
        <v>26</v>
      </c>
      <c r="F653" t="s">
        <v>22</v>
      </c>
      <c r="G653" t="s">
        <v>29</v>
      </c>
      <c r="H653" t="s">
        <v>21</v>
      </c>
      <c r="I653" s="3">
        <v>18106</v>
      </c>
      <c r="J653" t="b">
        <v>0</v>
      </c>
      <c r="K653" t="b">
        <v>0</v>
      </c>
      <c r="L653" t="b">
        <v>1</v>
      </c>
    </row>
    <row r="654" spans="1:12" x14ac:dyDescent="0.3">
      <c r="A654">
        <v>50</v>
      </c>
      <c r="B654" t="s">
        <v>18</v>
      </c>
      <c r="C654" s="1">
        <v>4</v>
      </c>
      <c r="D654" t="s">
        <v>13</v>
      </c>
      <c r="E654" t="s">
        <v>20</v>
      </c>
      <c r="F654" t="s">
        <v>15</v>
      </c>
      <c r="G654" t="s">
        <v>23</v>
      </c>
      <c r="H654" t="s">
        <v>24</v>
      </c>
      <c r="I654" s="3">
        <v>17151</v>
      </c>
      <c r="J654" t="b">
        <v>0</v>
      </c>
      <c r="K654" t="b">
        <v>0</v>
      </c>
      <c r="L654" t="b">
        <v>1</v>
      </c>
    </row>
    <row r="655" spans="1:12" x14ac:dyDescent="0.3">
      <c r="A655">
        <v>55</v>
      </c>
      <c r="B655" t="s">
        <v>12</v>
      </c>
      <c r="C655" s="1">
        <v>9</v>
      </c>
      <c r="D655" t="s">
        <v>13</v>
      </c>
      <c r="E655" t="s">
        <v>26</v>
      </c>
      <c r="F655" t="s">
        <v>15</v>
      </c>
      <c r="G655" t="s">
        <v>16</v>
      </c>
      <c r="H655" t="s">
        <v>17</v>
      </c>
      <c r="I655" s="3">
        <v>19503</v>
      </c>
      <c r="J655" t="b">
        <v>1</v>
      </c>
      <c r="K655" t="b">
        <v>1</v>
      </c>
      <c r="L655" t="b">
        <v>0</v>
      </c>
    </row>
    <row r="656" spans="1:12" x14ac:dyDescent="0.3">
      <c r="A656">
        <v>23</v>
      </c>
      <c r="B656" t="s">
        <v>25</v>
      </c>
      <c r="C656" s="1">
        <v>4</v>
      </c>
      <c r="D656" t="s">
        <v>19</v>
      </c>
      <c r="E656" t="s">
        <v>26</v>
      </c>
      <c r="F656" t="s">
        <v>22</v>
      </c>
      <c r="G656" t="s">
        <v>16</v>
      </c>
      <c r="H656" t="s">
        <v>17</v>
      </c>
      <c r="I656" s="3">
        <v>16952</v>
      </c>
      <c r="J656" t="b">
        <v>0</v>
      </c>
      <c r="K656" t="b">
        <v>1</v>
      </c>
      <c r="L656" t="b">
        <v>0</v>
      </c>
    </row>
    <row r="657" spans="1:12" x14ac:dyDescent="0.3">
      <c r="A657">
        <v>61</v>
      </c>
      <c r="B657" t="s">
        <v>12</v>
      </c>
      <c r="C657" s="1">
        <v>1</v>
      </c>
      <c r="D657" t="s">
        <v>13</v>
      </c>
      <c r="E657" t="s">
        <v>26</v>
      </c>
      <c r="F657" t="s">
        <v>27</v>
      </c>
      <c r="G657" t="s">
        <v>23</v>
      </c>
      <c r="H657" t="s">
        <v>21</v>
      </c>
      <c r="I657" s="3">
        <v>14055</v>
      </c>
      <c r="J657" t="b">
        <v>0</v>
      </c>
      <c r="K657" t="b">
        <v>1</v>
      </c>
      <c r="L657" t="b">
        <v>1</v>
      </c>
    </row>
    <row r="658" spans="1:12" x14ac:dyDescent="0.3">
      <c r="A658">
        <v>62</v>
      </c>
      <c r="B658" t="s">
        <v>12</v>
      </c>
      <c r="C658" s="1">
        <v>7</v>
      </c>
      <c r="D658" t="s">
        <v>13</v>
      </c>
      <c r="E658" t="s">
        <v>20</v>
      </c>
      <c r="F658" t="s">
        <v>27</v>
      </c>
      <c r="G658" t="s">
        <v>29</v>
      </c>
      <c r="H658" t="s">
        <v>17</v>
      </c>
      <c r="I658" s="3">
        <v>15402</v>
      </c>
      <c r="J658" t="b">
        <v>0</v>
      </c>
      <c r="K658" t="b">
        <v>0</v>
      </c>
      <c r="L658" t="b">
        <v>1</v>
      </c>
    </row>
    <row r="659" spans="1:12" x14ac:dyDescent="0.3">
      <c r="A659">
        <v>49</v>
      </c>
      <c r="B659" t="s">
        <v>25</v>
      </c>
      <c r="C659" s="1">
        <v>7</v>
      </c>
      <c r="D659" t="s">
        <v>28</v>
      </c>
      <c r="E659" t="s">
        <v>26</v>
      </c>
      <c r="F659" t="s">
        <v>27</v>
      </c>
      <c r="G659" t="s">
        <v>16</v>
      </c>
      <c r="H659" t="s">
        <v>17</v>
      </c>
      <c r="I659" s="3">
        <v>19281</v>
      </c>
      <c r="J659" t="b">
        <v>1</v>
      </c>
      <c r="K659" t="b">
        <v>0</v>
      </c>
      <c r="L659" t="b">
        <v>1</v>
      </c>
    </row>
    <row r="660" spans="1:12" x14ac:dyDescent="0.3">
      <c r="A660">
        <v>62</v>
      </c>
      <c r="B660" t="s">
        <v>25</v>
      </c>
      <c r="C660" s="1">
        <v>4</v>
      </c>
      <c r="D660" t="s">
        <v>19</v>
      </c>
      <c r="E660" t="s">
        <v>20</v>
      </c>
      <c r="F660" t="s">
        <v>27</v>
      </c>
      <c r="G660" t="s">
        <v>16</v>
      </c>
      <c r="H660" t="s">
        <v>17</v>
      </c>
      <c r="I660" s="3">
        <v>11672</v>
      </c>
      <c r="J660" t="b">
        <v>0</v>
      </c>
      <c r="K660" t="b">
        <v>1</v>
      </c>
      <c r="L660" t="b">
        <v>1</v>
      </c>
    </row>
    <row r="661" spans="1:12" x14ac:dyDescent="0.3">
      <c r="A661">
        <v>64</v>
      </c>
      <c r="B661" t="s">
        <v>18</v>
      </c>
      <c r="C661" s="1">
        <v>3</v>
      </c>
      <c r="D661" t="s">
        <v>13</v>
      </c>
      <c r="E661" t="s">
        <v>20</v>
      </c>
      <c r="F661" t="s">
        <v>22</v>
      </c>
      <c r="G661" t="s">
        <v>29</v>
      </c>
      <c r="H661" t="s">
        <v>21</v>
      </c>
      <c r="I661" s="3">
        <v>14532</v>
      </c>
      <c r="J661" t="b">
        <v>0</v>
      </c>
      <c r="K661" t="b">
        <v>1</v>
      </c>
      <c r="L661" t="b">
        <v>0</v>
      </c>
    </row>
    <row r="662" spans="1:12" x14ac:dyDescent="0.3">
      <c r="A662">
        <v>38</v>
      </c>
      <c r="B662" t="s">
        <v>25</v>
      </c>
      <c r="C662" s="1">
        <v>8</v>
      </c>
      <c r="D662" t="s">
        <v>13</v>
      </c>
      <c r="E662" t="s">
        <v>14</v>
      </c>
      <c r="F662" t="s">
        <v>22</v>
      </c>
      <c r="G662" t="s">
        <v>29</v>
      </c>
      <c r="H662" t="s">
        <v>24</v>
      </c>
      <c r="I662" s="3">
        <v>14924</v>
      </c>
      <c r="J662" t="b">
        <v>0</v>
      </c>
      <c r="K662" t="b">
        <v>0</v>
      </c>
      <c r="L662" t="b">
        <v>1</v>
      </c>
    </row>
    <row r="663" spans="1:12" x14ac:dyDescent="0.3">
      <c r="A663">
        <v>33</v>
      </c>
      <c r="B663" t="s">
        <v>18</v>
      </c>
      <c r="C663" s="1">
        <v>5</v>
      </c>
      <c r="D663" t="s">
        <v>19</v>
      </c>
      <c r="E663" t="s">
        <v>14</v>
      </c>
      <c r="F663" t="s">
        <v>22</v>
      </c>
      <c r="G663" t="s">
        <v>16</v>
      </c>
      <c r="H663" t="s">
        <v>17</v>
      </c>
      <c r="I663" s="3">
        <v>16085</v>
      </c>
      <c r="J663" t="b">
        <v>0</v>
      </c>
      <c r="K663" t="b">
        <v>1</v>
      </c>
      <c r="L663" t="b">
        <v>1</v>
      </c>
    </row>
    <row r="664" spans="1:12" x14ac:dyDescent="0.3">
      <c r="A664">
        <v>38</v>
      </c>
      <c r="B664" t="s">
        <v>25</v>
      </c>
      <c r="C664" s="1">
        <v>7</v>
      </c>
      <c r="D664" t="s">
        <v>28</v>
      </c>
      <c r="E664" t="s">
        <v>26</v>
      </c>
      <c r="F664" t="s">
        <v>15</v>
      </c>
      <c r="G664" t="s">
        <v>29</v>
      </c>
      <c r="H664" t="s">
        <v>21</v>
      </c>
      <c r="I664" s="3">
        <v>17734</v>
      </c>
      <c r="J664" t="b">
        <v>0</v>
      </c>
      <c r="K664" t="b">
        <v>1</v>
      </c>
      <c r="L664" t="b">
        <v>1</v>
      </c>
    </row>
    <row r="665" spans="1:12" x14ac:dyDescent="0.3">
      <c r="A665">
        <v>28</v>
      </c>
      <c r="B665" t="s">
        <v>12</v>
      </c>
      <c r="C665" s="1">
        <v>4</v>
      </c>
      <c r="D665" t="s">
        <v>19</v>
      </c>
      <c r="E665" t="s">
        <v>20</v>
      </c>
      <c r="F665" t="s">
        <v>22</v>
      </c>
      <c r="G665" t="s">
        <v>16</v>
      </c>
      <c r="H665" t="s">
        <v>17</v>
      </c>
      <c r="I665" s="3">
        <v>14864</v>
      </c>
      <c r="J665" t="b">
        <v>0</v>
      </c>
      <c r="K665" t="b">
        <v>1</v>
      </c>
      <c r="L665" t="b">
        <v>1</v>
      </c>
    </row>
    <row r="666" spans="1:12" x14ac:dyDescent="0.3">
      <c r="A666">
        <v>54</v>
      </c>
      <c r="B666" t="s">
        <v>18</v>
      </c>
      <c r="C666" s="1">
        <v>4</v>
      </c>
      <c r="D666" t="s">
        <v>19</v>
      </c>
      <c r="E666" t="s">
        <v>14</v>
      </c>
      <c r="F666" t="s">
        <v>27</v>
      </c>
      <c r="G666" t="s">
        <v>29</v>
      </c>
      <c r="H666" t="s">
        <v>21</v>
      </c>
      <c r="I666" s="3">
        <v>19316</v>
      </c>
      <c r="J666" t="b">
        <v>0</v>
      </c>
      <c r="K666" t="b">
        <v>0</v>
      </c>
      <c r="L666" t="b">
        <v>1</v>
      </c>
    </row>
    <row r="667" spans="1:12" x14ac:dyDescent="0.3">
      <c r="A667">
        <v>53</v>
      </c>
      <c r="B667" t="s">
        <v>18</v>
      </c>
      <c r="C667" s="1">
        <v>8</v>
      </c>
      <c r="D667" t="s">
        <v>13</v>
      </c>
      <c r="E667" t="s">
        <v>26</v>
      </c>
      <c r="F667" t="s">
        <v>15</v>
      </c>
      <c r="G667" t="s">
        <v>29</v>
      </c>
      <c r="H667" t="s">
        <v>17</v>
      </c>
      <c r="I667" s="3">
        <v>11221</v>
      </c>
      <c r="J667" t="b">
        <v>1</v>
      </c>
      <c r="K667" t="b">
        <v>1</v>
      </c>
      <c r="L667" t="b">
        <v>1</v>
      </c>
    </row>
    <row r="668" spans="1:12" x14ac:dyDescent="0.3">
      <c r="A668">
        <v>52</v>
      </c>
      <c r="B668" t="s">
        <v>18</v>
      </c>
      <c r="C668" s="1">
        <v>8</v>
      </c>
      <c r="D668" t="s">
        <v>13</v>
      </c>
      <c r="E668" t="s">
        <v>14</v>
      </c>
      <c r="F668" t="s">
        <v>27</v>
      </c>
      <c r="G668" t="s">
        <v>23</v>
      </c>
      <c r="H668" t="s">
        <v>21</v>
      </c>
      <c r="I668" s="3">
        <v>12860</v>
      </c>
      <c r="J668" t="b">
        <v>1</v>
      </c>
      <c r="K668" t="b">
        <v>1</v>
      </c>
      <c r="L668" t="b">
        <v>1</v>
      </c>
    </row>
    <row r="669" spans="1:12" x14ac:dyDescent="0.3">
      <c r="A669">
        <v>36</v>
      </c>
      <c r="B669" t="s">
        <v>12</v>
      </c>
      <c r="C669" s="1">
        <v>2</v>
      </c>
      <c r="D669" t="s">
        <v>28</v>
      </c>
      <c r="E669" t="s">
        <v>14</v>
      </c>
      <c r="F669" t="s">
        <v>27</v>
      </c>
      <c r="G669" t="s">
        <v>29</v>
      </c>
      <c r="H669" t="s">
        <v>17</v>
      </c>
      <c r="I669" s="3">
        <v>18428</v>
      </c>
      <c r="J669" t="b">
        <v>0</v>
      </c>
      <c r="K669" t="b">
        <v>1</v>
      </c>
      <c r="L669" t="b">
        <v>0</v>
      </c>
    </row>
    <row r="670" spans="1:12" x14ac:dyDescent="0.3">
      <c r="A670">
        <v>37</v>
      </c>
      <c r="B670" t="s">
        <v>12</v>
      </c>
      <c r="C670" s="1">
        <v>2</v>
      </c>
      <c r="D670" t="s">
        <v>13</v>
      </c>
      <c r="E670" t="s">
        <v>20</v>
      </c>
      <c r="F670" t="s">
        <v>22</v>
      </c>
      <c r="G670" t="s">
        <v>23</v>
      </c>
      <c r="H670" t="s">
        <v>24</v>
      </c>
      <c r="I670" s="3">
        <v>19336</v>
      </c>
      <c r="J670" t="b">
        <v>1</v>
      </c>
      <c r="K670" t="b">
        <v>1</v>
      </c>
      <c r="L670" t="b">
        <v>0</v>
      </c>
    </row>
    <row r="671" spans="1:12" x14ac:dyDescent="0.3">
      <c r="A671">
        <v>35</v>
      </c>
      <c r="B671" t="s">
        <v>12</v>
      </c>
      <c r="C671" s="1">
        <v>3</v>
      </c>
      <c r="D671" t="s">
        <v>13</v>
      </c>
      <c r="E671" t="s">
        <v>20</v>
      </c>
      <c r="F671" t="s">
        <v>22</v>
      </c>
      <c r="G671" t="s">
        <v>29</v>
      </c>
      <c r="H671" t="s">
        <v>17</v>
      </c>
      <c r="I671" s="3">
        <v>13253</v>
      </c>
      <c r="J671" t="b">
        <v>0</v>
      </c>
      <c r="K671" t="b">
        <v>0</v>
      </c>
      <c r="L671" t="b">
        <v>0</v>
      </c>
    </row>
    <row r="672" spans="1:12" x14ac:dyDescent="0.3">
      <c r="A672">
        <v>64</v>
      </c>
      <c r="B672" t="s">
        <v>12</v>
      </c>
      <c r="C672" s="1">
        <v>3</v>
      </c>
      <c r="D672" t="s">
        <v>19</v>
      </c>
      <c r="E672" t="s">
        <v>14</v>
      </c>
      <c r="F672" t="s">
        <v>27</v>
      </c>
      <c r="G672" t="s">
        <v>16</v>
      </c>
      <c r="H672" t="s">
        <v>21</v>
      </c>
      <c r="I672" s="3">
        <v>13782</v>
      </c>
      <c r="J672" t="b">
        <v>0</v>
      </c>
      <c r="K672" t="b">
        <v>0</v>
      </c>
      <c r="L672" t="b">
        <v>1</v>
      </c>
    </row>
    <row r="673" spans="1:12" x14ac:dyDescent="0.3">
      <c r="A673">
        <v>58</v>
      </c>
      <c r="B673" t="s">
        <v>12</v>
      </c>
      <c r="C673" s="1">
        <v>1</v>
      </c>
      <c r="D673" t="s">
        <v>13</v>
      </c>
      <c r="E673" t="s">
        <v>14</v>
      </c>
      <c r="F673" t="s">
        <v>27</v>
      </c>
      <c r="G673" t="s">
        <v>16</v>
      </c>
      <c r="H673" t="s">
        <v>17</v>
      </c>
      <c r="I673" s="3">
        <v>16957</v>
      </c>
      <c r="J673" t="b">
        <v>0</v>
      </c>
      <c r="K673" t="b">
        <v>0</v>
      </c>
      <c r="L673" t="b">
        <v>0</v>
      </c>
    </row>
    <row r="674" spans="1:12" x14ac:dyDescent="0.3">
      <c r="A674">
        <v>31</v>
      </c>
      <c r="B674" t="s">
        <v>18</v>
      </c>
      <c r="C674" s="1">
        <v>3</v>
      </c>
      <c r="D674" t="s">
        <v>28</v>
      </c>
      <c r="E674" t="s">
        <v>20</v>
      </c>
      <c r="F674" t="s">
        <v>15</v>
      </c>
      <c r="G674" t="s">
        <v>29</v>
      </c>
      <c r="H674" t="s">
        <v>24</v>
      </c>
      <c r="I674" s="3">
        <v>10766</v>
      </c>
      <c r="J674" t="b">
        <v>1</v>
      </c>
      <c r="K674" t="b">
        <v>1</v>
      </c>
      <c r="L674" t="b">
        <v>1</v>
      </c>
    </row>
    <row r="675" spans="1:12" x14ac:dyDescent="0.3">
      <c r="A675">
        <v>32</v>
      </c>
      <c r="B675" t="s">
        <v>12</v>
      </c>
      <c r="C675" s="1">
        <v>6</v>
      </c>
      <c r="D675" t="s">
        <v>19</v>
      </c>
      <c r="E675" t="s">
        <v>26</v>
      </c>
      <c r="F675" t="s">
        <v>22</v>
      </c>
      <c r="G675" t="s">
        <v>29</v>
      </c>
      <c r="H675" t="s">
        <v>17</v>
      </c>
      <c r="I675" s="3">
        <v>12681</v>
      </c>
      <c r="J675" t="b">
        <v>0</v>
      </c>
      <c r="K675" t="b">
        <v>0</v>
      </c>
      <c r="L675" t="b">
        <v>1</v>
      </c>
    </row>
    <row r="676" spans="1:12" x14ac:dyDescent="0.3">
      <c r="A676">
        <v>48</v>
      </c>
      <c r="B676" t="s">
        <v>18</v>
      </c>
      <c r="C676" s="1">
        <v>8</v>
      </c>
      <c r="D676" t="s">
        <v>28</v>
      </c>
      <c r="E676" t="s">
        <v>20</v>
      </c>
      <c r="F676" t="s">
        <v>15</v>
      </c>
      <c r="G676" t="s">
        <v>16</v>
      </c>
      <c r="H676" t="s">
        <v>21</v>
      </c>
      <c r="I676" s="3">
        <v>17710</v>
      </c>
      <c r="J676" t="b">
        <v>0</v>
      </c>
      <c r="K676" t="b">
        <v>1</v>
      </c>
      <c r="L676" t="b">
        <v>1</v>
      </c>
    </row>
    <row r="677" spans="1:12" x14ac:dyDescent="0.3">
      <c r="A677">
        <v>18</v>
      </c>
      <c r="B677" t="s">
        <v>12</v>
      </c>
      <c r="C677" s="1">
        <v>6</v>
      </c>
      <c r="D677" t="s">
        <v>19</v>
      </c>
      <c r="E677" t="s">
        <v>14</v>
      </c>
      <c r="F677" t="s">
        <v>15</v>
      </c>
      <c r="G677" t="s">
        <v>29</v>
      </c>
      <c r="H677" t="s">
        <v>21</v>
      </c>
      <c r="I677" s="3">
        <v>17482</v>
      </c>
      <c r="J677" t="b">
        <v>1</v>
      </c>
      <c r="K677" t="b">
        <v>0</v>
      </c>
      <c r="L677" t="b">
        <v>1</v>
      </c>
    </row>
    <row r="678" spans="1:12" x14ac:dyDescent="0.3">
      <c r="A678">
        <v>20</v>
      </c>
      <c r="B678" t="s">
        <v>25</v>
      </c>
      <c r="C678" s="1">
        <v>5</v>
      </c>
      <c r="D678" t="s">
        <v>13</v>
      </c>
      <c r="E678" t="s">
        <v>26</v>
      </c>
      <c r="F678" t="s">
        <v>15</v>
      </c>
      <c r="G678" t="s">
        <v>23</v>
      </c>
      <c r="H678" t="s">
        <v>24</v>
      </c>
      <c r="I678" s="3">
        <v>15086</v>
      </c>
      <c r="J678" t="b">
        <v>1</v>
      </c>
      <c r="K678" t="b">
        <v>1</v>
      </c>
      <c r="L678" t="b">
        <v>0</v>
      </c>
    </row>
    <row r="679" spans="1:12" x14ac:dyDescent="0.3">
      <c r="A679">
        <v>33</v>
      </c>
      <c r="B679" t="s">
        <v>18</v>
      </c>
      <c r="C679" s="1">
        <v>4</v>
      </c>
      <c r="D679" t="s">
        <v>19</v>
      </c>
      <c r="E679" t="s">
        <v>14</v>
      </c>
      <c r="F679" t="s">
        <v>27</v>
      </c>
      <c r="G679" t="s">
        <v>23</v>
      </c>
      <c r="H679" t="s">
        <v>21</v>
      </c>
      <c r="I679" s="3">
        <v>17964</v>
      </c>
      <c r="J679" t="b">
        <v>0</v>
      </c>
      <c r="K679" t="b">
        <v>0</v>
      </c>
      <c r="L679" t="b">
        <v>1</v>
      </c>
    </row>
    <row r="680" spans="1:12" x14ac:dyDescent="0.3">
      <c r="A680">
        <v>40</v>
      </c>
      <c r="B680" t="s">
        <v>25</v>
      </c>
      <c r="C680" s="1">
        <v>3</v>
      </c>
      <c r="D680" t="s">
        <v>19</v>
      </c>
      <c r="E680" t="s">
        <v>26</v>
      </c>
      <c r="F680" t="s">
        <v>15</v>
      </c>
      <c r="G680" t="s">
        <v>23</v>
      </c>
      <c r="H680" t="s">
        <v>17</v>
      </c>
      <c r="I680" s="3">
        <v>12665</v>
      </c>
      <c r="J680" t="b">
        <v>1</v>
      </c>
      <c r="K680" t="b">
        <v>0</v>
      </c>
      <c r="L680" t="b">
        <v>1</v>
      </c>
    </row>
    <row r="681" spans="1:12" x14ac:dyDescent="0.3">
      <c r="A681">
        <v>28</v>
      </c>
      <c r="B681" t="s">
        <v>18</v>
      </c>
      <c r="C681" s="1">
        <v>4</v>
      </c>
      <c r="D681" t="s">
        <v>13</v>
      </c>
      <c r="E681" t="s">
        <v>14</v>
      </c>
      <c r="F681" t="s">
        <v>15</v>
      </c>
      <c r="G681" t="s">
        <v>23</v>
      </c>
      <c r="H681" t="s">
        <v>17</v>
      </c>
      <c r="I681" s="3">
        <v>19951</v>
      </c>
      <c r="J681" t="b">
        <v>1</v>
      </c>
      <c r="K681" t="b">
        <v>0</v>
      </c>
      <c r="L681" t="b">
        <v>0</v>
      </c>
    </row>
    <row r="682" spans="1:12" x14ac:dyDescent="0.3">
      <c r="A682">
        <v>29</v>
      </c>
      <c r="B682" t="s">
        <v>25</v>
      </c>
      <c r="C682" s="1">
        <v>7</v>
      </c>
      <c r="D682" t="s">
        <v>13</v>
      </c>
      <c r="E682" t="s">
        <v>26</v>
      </c>
      <c r="F682" t="s">
        <v>27</v>
      </c>
      <c r="G682" t="s">
        <v>23</v>
      </c>
      <c r="H682" t="s">
        <v>17</v>
      </c>
      <c r="I682" s="3">
        <v>13513</v>
      </c>
      <c r="J682" t="b">
        <v>0</v>
      </c>
      <c r="K682" t="b">
        <v>1</v>
      </c>
      <c r="L682" t="b">
        <v>0</v>
      </c>
    </row>
    <row r="683" spans="1:12" x14ac:dyDescent="0.3">
      <c r="A683">
        <v>27</v>
      </c>
      <c r="B683" t="s">
        <v>12</v>
      </c>
      <c r="C683" s="1">
        <v>1</v>
      </c>
      <c r="D683" t="s">
        <v>28</v>
      </c>
      <c r="E683" t="s">
        <v>26</v>
      </c>
      <c r="F683" t="s">
        <v>22</v>
      </c>
      <c r="G683" t="s">
        <v>29</v>
      </c>
      <c r="H683" t="s">
        <v>21</v>
      </c>
      <c r="I683" s="3">
        <v>10495</v>
      </c>
      <c r="J683" t="b">
        <v>0</v>
      </c>
      <c r="K683" t="b">
        <v>1</v>
      </c>
      <c r="L683" t="b">
        <v>0</v>
      </c>
    </row>
    <row r="684" spans="1:12" x14ac:dyDescent="0.3">
      <c r="A684">
        <v>49</v>
      </c>
      <c r="B684" t="s">
        <v>12</v>
      </c>
      <c r="C684" s="1">
        <v>7</v>
      </c>
      <c r="D684" t="s">
        <v>28</v>
      </c>
      <c r="E684" t="s">
        <v>14</v>
      </c>
      <c r="F684" t="s">
        <v>22</v>
      </c>
      <c r="G684" t="s">
        <v>29</v>
      </c>
      <c r="H684" t="s">
        <v>17</v>
      </c>
      <c r="I684" s="3">
        <v>15822</v>
      </c>
      <c r="J684" t="b">
        <v>0</v>
      </c>
      <c r="K684" t="b">
        <v>1</v>
      </c>
      <c r="L684" t="b">
        <v>1</v>
      </c>
    </row>
    <row r="685" spans="1:12" x14ac:dyDescent="0.3">
      <c r="A685">
        <v>33</v>
      </c>
      <c r="B685" t="s">
        <v>12</v>
      </c>
      <c r="C685" s="1">
        <v>1</v>
      </c>
      <c r="D685" t="s">
        <v>13</v>
      </c>
      <c r="E685" t="s">
        <v>26</v>
      </c>
      <c r="F685" t="s">
        <v>15</v>
      </c>
      <c r="G685" t="s">
        <v>23</v>
      </c>
      <c r="H685" t="s">
        <v>17</v>
      </c>
      <c r="I685" s="3">
        <v>12072</v>
      </c>
      <c r="J685" t="b">
        <v>1</v>
      </c>
      <c r="K685" t="b">
        <v>0</v>
      </c>
      <c r="L685" t="b">
        <v>0</v>
      </c>
    </row>
    <row r="686" spans="1:12" x14ac:dyDescent="0.3">
      <c r="A686">
        <v>25</v>
      </c>
      <c r="B686" t="s">
        <v>18</v>
      </c>
      <c r="C686" s="1">
        <v>2</v>
      </c>
      <c r="D686" t="s">
        <v>13</v>
      </c>
      <c r="E686" t="s">
        <v>20</v>
      </c>
      <c r="F686" t="s">
        <v>27</v>
      </c>
      <c r="G686" t="s">
        <v>29</v>
      </c>
      <c r="H686" t="s">
        <v>17</v>
      </c>
      <c r="I686" s="3">
        <v>17795</v>
      </c>
      <c r="J686" t="b">
        <v>1</v>
      </c>
      <c r="K686" t="b">
        <v>1</v>
      </c>
      <c r="L686" t="b">
        <v>1</v>
      </c>
    </row>
    <row r="687" spans="1:12" x14ac:dyDescent="0.3">
      <c r="A687">
        <v>55</v>
      </c>
      <c r="B687" t="s">
        <v>25</v>
      </c>
      <c r="C687" s="1">
        <v>4</v>
      </c>
      <c r="D687" t="s">
        <v>13</v>
      </c>
      <c r="E687" t="s">
        <v>14</v>
      </c>
      <c r="F687" t="s">
        <v>22</v>
      </c>
      <c r="G687" t="s">
        <v>29</v>
      </c>
      <c r="H687" t="s">
        <v>24</v>
      </c>
      <c r="I687" s="3">
        <v>18529</v>
      </c>
      <c r="J687" t="b">
        <v>1</v>
      </c>
      <c r="K687" t="b">
        <v>1</v>
      </c>
      <c r="L687" t="b">
        <v>1</v>
      </c>
    </row>
    <row r="688" spans="1:12" x14ac:dyDescent="0.3">
      <c r="A688">
        <v>29</v>
      </c>
      <c r="B688" t="s">
        <v>12</v>
      </c>
      <c r="C688" s="1">
        <v>1</v>
      </c>
      <c r="D688" t="s">
        <v>19</v>
      </c>
      <c r="E688" t="s">
        <v>20</v>
      </c>
      <c r="F688" t="s">
        <v>15</v>
      </c>
      <c r="G688" t="s">
        <v>23</v>
      </c>
      <c r="H688" t="s">
        <v>21</v>
      </c>
      <c r="I688" s="3">
        <v>13949</v>
      </c>
      <c r="J688" t="b">
        <v>0</v>
      </c>
      <c r="K688" t="b">
        <v>1</v>
      </c>
      <c r="L688" t="b">
        <v>0</v>
      </c>
    </row>
    <row r="689" spans="1:12" x14ac:dyDescent="0.3">
      <c r="A689">
        <v>41</v>
      </c>
      <c r="B689" t="s">
        <v>25</v>
      </c>
      <c r="C689" s="1">
        <v>9</v>
      </c>
      <c r="D689" t="s">
        <v>19</v>
      </c>
      <c r="E689" t="s">
        <v>14</v>
      </c>
      <c r="F689" t="s">
        <v>15</v>
      </c>
      <c r="G689" t="s">
        <v>29</v>
      </c>
      <c r="H689" t="s">
        <v>21</v>
      </c>
      <c r="I689" s="3">
        <v>16033</v>
      </c>
      <c r="J689" t="b">
        <v>1</v>
      </c>
      <c r="K689" t="b">
        <v>1</v>
      </c>
      <c r="L689" t="b">
        <v>0</v>
      </c>
    </row>
    <row r="690" spans="1:12" x14ac:dyDescent="0.3">
      <c r="A690">
        <v>45</v>
      </c>
      <c r="B690" t="s">
        <v>25</v>
      </c>
      <c r="C690" s="1">
        <v>6</v>
      </c>
      <c r="D690" t="s">
        <v>19</v>
      </c>
      <c r="E690" t="s">
        <v>26</v>
      </c>
      <c r="F690" t="s">
        <v>27</v>
      </c>
      <c r="G690" t="s">
        <v>29</v>
      </c>
      <c r="H690" t="s">
        <v>21</v>
      </c>
      <c r="I690" s="3">
        <v>18328</v>
      </c>
      <c r="J690" t="b">
        <v>1</v>
      </c>
      <c r="K690" t="b">
        <v>1</v>
      </c>
      <c r="L690" t="b">
        <v>0</v>
      </c>
    </row>
    <row r="691" spans="1:12" x14ac:dyDescent="0.3">
      <c r="A691">
        <v>25</v>
      </c>
      <c r="B691" t="s">
        <v>12</v>
      </c>
      <c r="C691" s="1">
        <v>1</v>
      </c>
      <c r="D691" t="s">
        <v>13</v>
      </c>
      <c r="E691" t="s">
        <v>26</v>
      </c>
      <c r="F691" t="s">
        <v>15</v>
      </c>
      <c r="G691" t="s">
        <v>29</v>
      </c>
      <c r="H691" t="s">
        <v>24</v>
      </c>
      <c r="I691" s="3">
        <v>12555</v>
      </c>
      <c r="J691" t="b">
        <v>0</v>
      </c>
      <c r="K691" t="b">
        <v>1</v>
      </c>
      <c r="L691" t="b">
        <v>1</v>
      </c>
    </row>
    <row r="692" spans="1:12" x14ac:dyDescent="0.3">
      <c r="A692">
        <v>45</v>
      </c>
      <c r="B692" t="s">
        <v>12</v>
      </c>
      <c r="C692" s="1">
        <v>1</v>
      </c>
      <c r="D692" t="s">
        <v>28</v>
      </c>
      <c r="E692" t="s">
        <v>26</v>
      </c>
      <c r="F692" t="s">
        <v>22</v>
      </c>
      <c r="G692" t="s">
        <v>23</v>
      </c>
      <c r="H692" t="s">
        <v>21</v>
      </c>
      <c r="I692" s="3">
        <v>16370</v>
      </c>
      <c r="J692" t="b">
        <v>0</v>
      </c>
      <c r="K692" t="b">
        <v>0</v>
      </c>
      <c r="L692" t="b">
        <v>1</v>
      </c>
    </row>
    <row r="693" spans="1:12" x14ac:dyDescent="0.3">
      <c r="A693">
        <v>53</v>
      </c>
      <c r="B693" t="s">
        <v>25</v>
      </c>
      <c r="C693" s="1">
        <v>6</v>
      </c>
      <c r="D693" t="s">
        <v>13</v>
      </c>
      <c r="E693" t="s">
        <v>14</v>
      </c>
      <c r="F693" t="s">
        <v>27</v>
      </c>
      <c r="G693" t="s">
        <v>29</v>
      </c>
      <c r="H693" t="s">
        <v>24</v>
      </c>
      <c r="I693" s="3">
        <v>14415</v>
      </c>
      <c r="J693" t="b">
        <v>0</v>
      </c>
      <c r="K693" t="b">
        <v>0</v>
      </c>
      <c r="L693" t="b">
        <v>1</v>
      </c>
    </row>
    <row r="694" spans="1:12" x14ac:dyDescent="0.3">
      <c r="A694">
        <v>43</v>
      </c>
      <c r="B694" t="s">
        <v>12</v>
      </c>
      <c r="C694" s="1">
        <v>4</v>
      </c>
      <c r="D694" t="s">
        <v>19</v>
      </c>
      <c r="E694" t="s">
        <v>20</v>
      </c>
      <c r="F694" t="s">
        <v>22</v>
      </c>
      <c r="G694" t="s">
        <v>16</v>
      </c>
      <c r="H694" t="s">
        <v>24</v>
      </c>
      <c r="I694" s="3">
        <v>15959</v>
      </c>
      <c r="J694" t="b">
        <v>1</v>
      </c>
      <c r="K694" t="b">
        <v>1</v>
      </c>
      <c r="L694" t="b">
        <v>1</v>
      </c>
    </row>
    <row r="695" spans="1:12" x14ac:dyDescent="0.3">
      <c r="A695">
        <v>25</v>
      </c>
      <c r="B695" t="s">
        <v>12</v>
      </c>
      <c r="C695" s="1">
        <v>4</v>
      </c>
      <c r="D695" t="s">
        <v>19</v>
      </c>
      <c r="E695" t="s">
        <v>20</v>
      </c>
      <c r="F695" t="s">
        <v>22</v>
      </c>
      <c r="G695" t="s">
        <v>16</v>
      </c>
      <c r="H695" t="s">
        <v>21</v>
      </c>
      <c r="I695" s="3">
        <v>19107</v>
      </c>
      <c r="J695" t="b">
        <v>0</v>
      </c>
      <c r="K695" t="b">
        <v>0</v>
      </c>
      <c r="L695" t="b">
        <v>1</v>
      </c>
    </row>
    <row r="696" spans="1:12" x14ac:dyDescent="0.3">
      <c r="A696">
        <v>45</v>
      </c>
      <c r="B696" t="s">
        <v>12</v>
      </c>
      <c r="C696" s="1">
        <v>6</v>
      </c>
      <c r="D696" t="s">
        <v>13</v>
      </c>
      <c r="E696" t="s">
        <v>14</v>
      </c>
      <c r="F696" t="s">
        <v>22</v>
      </c>
      <c r="G696" t="s">
        <v>23</v>
      </c>
      <c r="H696" t="s">
        <v>17</v>
      </c>
      <c r="I696" s="3">
        <v>15993</v>
      </c>
      <c r="J696" t="b">
        <v>1</v>
      </c>
      <c r="K696" t="b">
        <v>0</v>
      </c>
      <c r="L696" t="b">
        <v>1</v>
      </c>
    </row>
    <row r="697" spans="1:12" x14ac:dyDescent="0.3">
      <c r="A697">
        <v>45</v>
      </c>
      <c r="B697" t="s">
        <v>18</v>
      </c>
      <c r="C697" s="1">
        <v>7</v>
      </c>
      <c r="D697" t="s">
        <v>13</v>
      </c>
      <c r="E697" t="s">
        <v>14</v>
      </c>
      <c r="F697" t="s">
        <v>15</v>
      </c>
      <c r="G697" t="s">
        <v>16</v>
      </c>
      <c r="H697" t="s">
        <v>17</v>
      </c>
      <c r="I697" s="3">
        <v>15021</v>
      </c>
      <c r="J697" t="b">
        <v>1</v>
      </c>
      <c r="K697" t="b">
        <v>1</v>
      </c>
      <c r="L697" t="b">
        <v>0</v>
      </c>
    </row>
    <row r="698" spans="1:12" x14ac:dyDescent="0.3">
      <c r="A698">
        <v>54</v>
      </c>
      <c r="B698" t="s">
        <v>25</v>
      </c>
      <c r="C698" s="1">
        <v>9</v>
      </c>
      <c r="D698" t="s">
        <v>19</v>
      </c>
      <c r="E698" t="s">
        <v>20</v>
      </c>
      <c r="F698" t="s">
        <v>15</v>
      </c>
      <c r="G698" t="s">
        <v>23</v>
      </c>
      <c r="H698" t="s">
        <v>21</v>
      </c>
      <c r="I698" s="3">
        <v>12907</v>
      </c>
      <c r="J698" t="b">
        <v>0</v>
      </c>
      <c r="K698" t="b">
        <v>1</v>
      </c>
      <c r="L698" t="b">
        <v>1</v>
      </c>
    </row>
    <row r="699" spans="1:12" x14ac:dyDescent="0.3">
      <c r="A699">
        <v>58</v>
      </c>
      <c r="B699" t="s">
        <v>25</v>
      </c>
      <c r="C699" s="1">
        <v>5</v>
      </c>
      <c r="D699" t="s">
        <v>19</v>
      </c>
      <c r="E699" t="s">
        <v>20</v>
      </c>
      <c r="F699" t="s">
        <v>22</v>
      </c>
      <c r="G699" t="s">
        <v>16</v>
      </c>
      <c r="H699" t="s">
        <v>21</v>
      </c>
      <c r="I699" s="3">
        <v>12914</v>
      </c>
      <c r="J699" t="b">
        <v>0</v>
      </c>
      <c r="K699" t="b">
        <v>0</v>
      </c>
      <c r="L699" t="b">
        <v>0</v>
      </c>
    </row>
    <row r="700" spans="1:12" x14ac:dyDescent="0.3">
      <c r="A700">
        <v>53</v>
      </c>
      <c r="B700" t="s">
        <v>18</v>
      </c>
      <c r="C700" s="1">
        <v>9</v>
      </c>
      <c r="D700" t="s">
        <v>19</v>
      </c>
      <c r="E700" t="s">
        <v>20</v>
      </c>
      <c r="F700" t="s">
        <v>22</v>
      </c>
      <c r="G700" t="s">
        <v>16</v>
      </c>
      <c r="H700" t="s">
        <v>24</v>
      </c>
      <c r="I700" s="3">
        <v>13870</v>
      </c>
      <c r="J700" t="b">
        <v>0</v>
      </c>
      <c r="K700" t="b">
        <v>1</v>
      </c>
      <c r="L700" t="b">
        <v>0</v>
      </c>
    </row>
    <row r="701" spans="1:12" x14ac:dyDescent="0.3">
      <c r="A701">
        <v>44</v>
      </c>
      <c r="B701" t="s">
        <v>25</v>
      </c>
      <c r="C701" s="1">
        <v>4</v>
      </c>
      <c r="D701" t="s">
        <v>13</v>
      </c>
      <c r="E701" t="s">
        <v>20</v>
      </c>
      <c r="F701" t="s">
        <v>27</v>
      </c>
      <c r="G701" t="s">
        <v>16</v>
      </c>
      <c r="H701" t="s">
        <v>21</v>
      </c>
      <c r="I701" s="3">
        <v>19190</v>
      </c>
      <c r="J701" t="b">
        <v>0</v>
      </c>
      <c r="K701" t="b">
        <v>0</v>
      </c>
      <c r="L701" t="b">
        <v>0</v>
      </c>
    </row>
    <row r="702" spans="1:12" x14ac:dyDescent="0.3">
      <c r="A702">
        <v>34</v>
      </c>
      <c r="B702" t="s">
        <v>12</v>
      </c>
      <c r="C702" s="1">
        <v>2</v>
      </c>
      <c r="D702" t="s">
        <v>19</v>
      </c>
      <c r="E702" t="s">
        <v>14</v>
      </c>
      <c r="F702" t="s">
        <v>27</v>
      </c>
      <c r="G702" t="s">
        <v>23</v>
      </c>
      <c r="H702" t="s">
        <v>24</v>
      </c>
      <c r="I702" s="3">
        <v>15085</v>
      </c>
      <c r="J702" t="b">
        <v>0</v>
      </c>
      <c r="K702" t="b">
        <v>0</v>
      </c>
      <c r="L702" t="b">
        <v>0</v>
      </c>
    </row>
    <row r="703" spans="1:12" x14ac:dyDescent="0.3">
      <c r="A703">
        <v>26</v>
      </c>
      <c r="B703" t="s">
        <v>25</v>
      </c>
      <c r="C703" s="1">
        <v>3</v>
      </c>
      <c r="D703" t="s">
        <v>19</v>
      </c>
      <c r="E703" t="s">
        <v>14</v>
      </c>
      <c r="F703" t="s">
        <v>15</v>
      </c>
      <c r="G703" t="s">
        <v>23</v>
      </c>
      <c r="H703" t="s">
        <v>21</v>
      </c>
      <c r="I703" s="3">
        <v>16546</v>
      </c>
      <c r="J703" t="b">
        <v>1</v>
      </c>
      <c r="K703" t="b">
        <v>0</v>
      </c>
      <c r="L703" t="b">
        <v>0</v>
      </c>
    </row>
    <row r="704" spans="1:12" x14ac:dyDescent="0.3">
      <c r="A704">
        <v>50</v>
      </c>
      <c r="B704" t="s">
        <v>12</v>
      </c>
      <c r="C704" s="1">
        <v>1</v>
      </c>
      <c r="D704" t="s">
        <v>28</v>
      </c>
      <c r="E704" t="s">
        <v>26</v>
      </c>
      <c r="F704" t="s">
        <v>15</v>
      </c>
      <c r="G704" t="s">
        <v>29</v>
      </c>
      <c r="H704" t="s">
        <v>17</v>
      </c>
      <c r="I704" s="3">
        <v>10395</v>
      </c>
      <c r="J704" t="b">
        <v>1</v>
      </c>
      <c r="K704" t="b">
        <v>1</v>
      </c>
      <c r="L704" t="b">
        <v>1</v>
      </c>
    </row>
    <row r="705" spans="1:12" x14ac:dyDescent="0.3">
      <c r="A705">
        <v>37</v>
      </c>
      <c r="B705" t="s">
        <v>18</v>
      </c>
      <c r="C705" s="1">
        <v>6</v>
      </c>
      <c r="D705" t="s">
        <v>13</v>
      </c>
      <c r="E705" t="s">
        <v>20</v>
      </c>
      <c r="F705" t="s">
        <v>27</v>
      </c>
      <c r="G705" t="s">
        <v>23</v>
      </c>
      <c r="H705" t="s">
        <v>17</v>
      </c>
      <c r="I705" s="3">
        <v>10938</v>
      </c>
      <c r="J705" t="b">
        <v>1</v>
      </c>
      <c r="K705" t="b">
        <v>0</v>
      </c>
      <c r="L705" t="b">
        <v>1</v>
      </c>
    </row>
    <row r="706" spans="1:12" x14ac:dyDescent="0.3">
      <c r="A706">
        <v>30</v>
      </c>
      <c r="B706" t="s">
        <v>12</v>
      </c>
      <c r="C706" s="1">
        <v>6</v>
      </c>
      <c r="D706" t="s">
        <v>28</v>
      </c>
      <c r="E706" t="s">
        <v>26</v>
      </c>
      <c r="F706" t="s">
        <v>22</v>
      </c>
      <c r="G706" t="s">
        <v>16</v>
      </c>
      <c r="H706" t="s">
        <v>21</v>
      </c>
      <c r="I706" s="3">
        <v>19828</v>
      </c>
      <c r="J706" t="b">
        <v>0</v>
      </c>
      <c r="K706" t="b">
        <v>1</v>
      </c>
      <c r="L706" t="b">
        <v>1</v>
      </c>
    </row>
    <row r="707" spans="1:12" x14ac:dyDescent="0.3">
      <c r="A707">
        <v>45</v>
      </c>
      <c r="B707" t="s">
        <v>25</v>
      </c>
      <c r="C707" s="1">
        <v>1</v>
      </c>
      <c r="D707" t="s">
        <v>28</v>
      </c>
      <c r="E707" t="s">
        <v>14</v>
      </c>
      <c r="F707" t="s">
        <v>15</v>
      </c>
      <c r="G707" t="s">
        <v>16</v>
      </c>
      <c r="H707" t="s">
        <v>24</v>
      </c>
      <c r="I707" s="3">
        <v>12510</v>
      </c>
      <c r="J707" t="b">
        <v>1</v>
      </c>
      <c r="K707" t="b">
        <v>1</v>
      </c>
      <c r="L707" t="b">
        <v>1</v>
      </c>
    </row>
    <row r="708" spans="1:12" x14ac:dyDescent="0.3">
      <c r="A708">
        <v>46</v>
      </c>
      <c r="B708" t="s">
        <v>25</v>
      </c>
      <c r="C708" s="1">
        <v>3</v>
      </c>
      <c r="D708" t="s">
        <v>19</v>
      </c>
      <c r="E708" t="s">
        <v>14</v>
      </c>
      <c r="F708" t="s">
        <v>22</v>
      </c>
      <c r="G708" t="s">
        <v>23</v>
      </c>
      <c r="H708" t="s">
        <v>17</v>
      </c>
      <c r="I708" s="3">
        <v>14636</v>
      </c>
      <c r="J708" t="b">
        <v>0</v>
      </c>
      <c r="K708" t="b">
        <v>1</v>
      </c>
      <c r="L708" t="b">
        <v>0</v>
      </c>
    </row>
    <row r="709" spans="1:12" x14ac:dyDescent="0.3">
      <c r="A709">
        <v>30</v>
      </c>
      <c r="B709" t="s">
        <v>25</v>
      </c>
      <c r="C709" s="1">
        <v>5</v>
      </c>
      <c r="D709" t="s">
        <v>13</v>
      </c>
      <c r="E709" t="s">
        <v>26</v>
      </c>
      <c r="F709" t="s">
        <v>27</v>
      </c>
      <c r="G709" t="s">
        <v>23</v>
      </c>
      <c r="H709" t="s">
        <v>24</v>
      </c>
      <c r="I709" s="3">
        <v>11649</v>
      </c>
      <c r="J709" t="b">
        <v>0</v>
      </c>
      <c r="K709" t="b">
        <v>1</v>
      </c>
      <c r="L709" t="b">
        <v>0</v>
      </c>
    </row>
    <row r="710" spans="1:12" x14ac:dyDescent="0.3">
      <c r="A710">
        <v>63</v>
      </c>
      <c r="B710" t="s">
        <v>18</v>
      </c>
      <c r="C710" s="1">
        <v>3</v>
      </c>
      <c r="D710" t="s">
        <v>19</v>
      </c>
      <c r="E710" t="s">
        <v>20</v>
      </c>
      <c r="F710" t="s">
        <v>15</v>
      </c>
      <c r="G710" t="s">
        <v>23</v>
      </c>
      <c r="H710" t="s">
        <v>21</v>
      </c>
      <c r="I710" s="3">
        <v>13690</v>
      </c>
      <c r="J710" t="b">
        <v>1</v>
      </c>
      <c r="K710" t="b">
        <v>1</v>
      </c>
      <c r="L710" t="b">
        <v>0</v>
      </c>
    </row>
    <row r="711" spans="1:12" x14ac:dyDescent="0.3">
      <c r="A711">
        <v>52</v>
      </c>
      <c r="B711" t="s">
        <v>18</v>
      </c>
      <c r="C711" s="1">
        <v>3</v>
      </c>
      <c r="D711" t="s">
        <v>13</v>
      </c>
      <c r="E711" t="s">
        <v>20</v>
      </c>
      <c r="F711" t="s">
        <v>15</v>
      </c>
      <c r="G711" t="s">
        <v>29</v>
      </c>
      <c r="H711" t="s">
        <v>21</v>
      </c>
      <c r="I711" s="3">
        <v>13435</v>
      </c>
      <c r="J711" t="b">
        <v>1</v>
      </c>
      <c r="K711" t="b">
        <v>0</v>
      </c>
      <c r="L711" t="b">
        <v>1</v>
      </c>
    </row>
    <row r="712" spans="1:12" x14ac:dyDescent="0.3">
      <c r="A712">
        <v>23</v>
      </c>
      <c r="B712" t="s">
        <v>25</v>
      </c>
      <c r="C712" s="1">
        <v>3</v>
      </c>
      <c r="D712" t="s">
        <v>28</v>
      </c>
      <c r="E712" t="s">
        <v>20</v>
      </c>
      <c r="F712" t="s">
        <v>27</v>
      </c>
      <c r="G712" t="s">
        <v>16</v>
      </c>
      <c r="H712" t="s">
        <v>17</v>
      </c>
      <c r="I712" s="3">
        <v>13201</v>
      </c>
      <c r="J712" t="b">
        <v>0</v>
      </c>
      <c r="K712" t="b">
        <v>1</v>
      </c>
      <c r="L712" t="b">
        <v>1</v>
      </c>
    </row>
    <row r="713" spans="1:12" x14ac:dyDescent="0.3">
      <c r="A713">
        <v>35</v>
      </c>
      <c r="B713" t="s">
        <v>12</v>
      </c>
      <c r="C713" s="1">
        <v>5</v>
      </c>
      <c r="D713" t="s">
        <v>13</v>
      </c>
      <c r="E713" t="s">
        <v>20</v>
      </c>
      <c r="F713" t="s">
        <v>15</v>
      </c>
      <c r="G713" t="s">
        <v>29</v>
      </c>
      <c r="H713" t="s">
        <v>21</v>
      </c>
      <c r="I713" s="3">
        <v>14179</v>
      </c>
      <c r="J713" t="b">
        <v>1</v>
      </c>
      <c r="K713" t="b">
        <v>1</v>
      </c>
      <c r="L713" t="b">
        <v>1</v>
      </c>
    </row>
    <row r="714" spans="1:12" x14ac:dyDescent="0.3">
      <c r="A714">
        <v>22</v>
      </c>
      <c r="B714" t="s">
        <v>18</v>
      </c>
      <c r="C714" s="1">
        <v>5</v>
      </c>
      <c r="D714" t="s">
        <v>19</v>
      </c>
      <c r="E714" t="s">
        <v>26</v>
      </c>
      <c r="F714" t="s">
        <v>27</v>
      </c>
      <c r="G714" t="s">
        <v>29</v>
      </c>
      <c r="H714" t="s">
        <v>17</v>
      </c>
      <c r="I714" s="3">
        <v>18405</v>
      </c>
      <c r="J714" t="b">
        <v>0</v>
      </c>
      <c r="K714" t="b">
        <v>1</v>
      </c>
      <c r="L714" t="b">
        <v>1</v>
      </c>
    </row>
    <row r="715" spans="1:12" x14ac:dyDescent="0.3">
      <c r="A715">
        <v>64</v>
      </c>
      <c r="B715" t="s">
        <v>25</v>
      </c>
      <c r="C715" s="1">
        <v>4</v>
      </c>
      <c r="D715" t="s">
        <v>19</v>
      </c>
      <c r="E715" t="s">
        <v>26</v>
      </c>
      <c r="F715" t="s">
        <v>15</v>
      </c>
      <c r="G715" t="s">
        <v>16</v>
      </c>
      <c r="H715" t="s">
        <v>24</v>
      </c>
      <c r="I715" s="3">
        <v>13237</v>
      </c>
      <c r="J715" t="b">
        <v>1</v>
      </c>
      <c r="K715" t="b">
        <v>1</v>
      </c>
      <c r="L715" t="b">
        <v>0</v>
      </c>
    </row>
    <row r="716" spans="1:12" x14ac:dyDescent="0.3">
      <c r="A716">
        <v>42</v>
      </c>
      <c r="B716" t="s">
        <v>25</v>
      </c>
      <c r="C716" s="1">
        <v>1</v>
      </c>
      <c r="D716" t="s">
        <v>19</v>
      </c>
      <c r="E716" t="s">
        <v>14</v>
      </c>
      <c r="F716" t="s">
        <v>27</v>
      </c>
      <c r="G716" t="s">
        <v>16</v>
      </c>
      <c r="H716" t="s">
        <v>17</v>
      </c>
      <c r="I716" s="3">
        <v>13862</v>
      </c>
      <c r="J716" t="b">
        <v>1</v>
      </c>
      <c r="K716" t="b">
        <v>1</v>
      </c>
      <c r="L716" t="b">
        <v>0</v>
      </c>
    </row>
    <row r="717" spans="1:12" x14ac:dyDescent="0.3">
      <c r="A717">
        <v>19</v>
      </c>
      <c r="B717" t="s">
        <v>18</v>
      </c>
      <c r="C717" s="1">
        <v>5</v>
      </c>
      <c r="D717" t="s">
        <v>13</v>
      </c>
      <c r="E717" t="s">
        <v>20</v>
      </c>
      <c r="F717" t="s">
        <v>15</v>
      </c>
      <c r="G717" t="s">
        <v>23</v>
      </c>
      <c r="H717" t="s">
        <v>17</v>
      </c>
      <c r="I717" s="3">
        <v>10058</v>
      </c>
      <c r="J717" t="b">
        <v>1</v>
      </c>
      <c r="K717" t="b">
        <v>0</v>
      </c>
      <c r="L717" t="b">
        <v>1</v>
      </c>
    </row>
    <row r="718" spans="1:12" x14ac:dyDescent="0.3">
      <c r="A718">
        <v>27</v>
      </c>
      <c r="B718" t="s">
        <v>18</v>
      </c>
      <c r="C718" s="1">
        <v>5</v>
      </c>
      <c r="D718" t="s">
        <v>28</v>
      </c>
      <c r="E718" t="s">
        <v>20</v>
      </c>
      <c r="F718" t="s">
        <v>22</v>
      </c>
      <c r="G718" t="s">
        <v>23</v>
      </c>
      <c r="H718" t="s">
        <v>24</v>
      </c>
      <c r="I718" s="3">
        <v>14938</v>
      </c>
      <c r="J718" t="b">
        <v>1</v>
      </c>
      <c r="K718" t="b">
        <v>1</v>
      </c>
      <c r="L718" t="b">
        <v>1</v>
      </c>
    </row>
    <row r="719" spans="1:12" x14ac:dyDescent="0.3">
      <c r="A719">
        <v>47</v>
      </c>
      <c r="B719" t="s">
        <v>18</v>
      </c>
      <c r="C719" s="1">
        <v>4</v>
      </c>
      <c r="D719" t="s">
        <v>28</v>
      </c>
      <c r="E719" t="s">
        <v>20</v>
      </c>
      <c r="F719" t="s">
        <v>22</v>
      </c>
      <c r="G719" t="s">
        <v>29</v>
      </c>
      <c r="H719" t="s">
        <v>17</v>
      </c>
      <c r="I719" s="3">
        <v>12971</v>
      </c>
      <c r="J719" t="b">
        <v>1</v>
      </c>
      <c r="K719" t="b">
        <v>1</v>
      </c>
      <c r="L719" t="b">
        <v>0</v>
      </c>
    </row>
    <row r="720" spans="1:12" x14ac:dyDescent="0.3">
      <c r="A720">
        <v>62</v>
      </c>
      <c r="B720" t="s">
        <v>12</v>
      </c>
      <c r="C720" s="1">
        <v>6</v>
      </c>
      <c r="D720" t="s">
        <v>13</v>
      </c>
      <c r="E720" t="s">
        <v>26</v>
      </c>
      <c r="F720" t="s">
        <v>22</v>
      </c>
      <c r="G720" t="s">
        <v>23</v>
      </c>
      <c r="H720" t="s">
        <v>17</v>
      </c>
      <c r="I720" s="3">
        <v>19719</v>
      </c>
      <c r="J720" t="b">
        <v>0</v>
      </c>
      <c r="K720" t="b">
        <v>0</v>
      </c>
      <c r="L720" t="b">
        <v>0</v>
      </c>
    </row>
    <row r="721" spans="1:12" x14ac:dyDescent="0.3">
      <c r="A721">
        <v>22</v>
      </c>
      <c r="B721" t="s">
        <v>12</v>
      </c>
      <c r="C721" s="1">
        <v>4</v>
      </c>
      <c r="D721" t="s">
        <v>19</v>
      </c>
      <c r="E721" t="s">
        <v>20</v>
      </c>
      <c r="F721" t="s">
        <v>15</v>
      </c>
      <c r="G721" t="s">
        <v>23</v>
      </c>
      <c r="H721" t="s">
        <v>21</v>
      </c>
      <c r="I721" s="3">
        <v>18314</v>
      </c>
      <c r="J721" t="b">
        <v>1</v>
      </c>
      <c r="K721" t="b">
        <v>1</v>
      </c>
      <c r="L721" t="b">
        <v>0</v>
      </c>
    </row>
    <row r="722" spans="1:12" x14ac:dyDescent="0.3">
      <c r="A722">
        <v>50</v>
      </c>
      <c r="B722" t="s">
        <v>25</v>
      </c>
      <c r="C722" s="1">
        <v>7</v>
      </c>
      <c r="D722" t="s">
        <v>28</v>
      </c>
      <c r="E722" t="s">
        <v>26</v>
      </c>
      <c r="F722" t="s">
        <v>15</v>
      </c>
      <c r="G722" t="s">
        <v>16</v>
      </c>
      <c r="H722" t="s">
        <v>24</v>
      </c>
      <c r="I722" s="3">
        <v>19628</v>
      </c>
      <c r="J722" t="b">
        <v>1</v>
      </c>
      <c r="K722" t="b">
        <v>0</v>
      </c>
      <c r="L722" t="b">
        <v>0</v>
      </c>
    </row>
    <row r="723" spans="1:12" x14ac:dyDescent="0.3">
      <c r="A723">
        <v>18</v>
      </c>
      <c r="B723" t="s">
        <v>18</v>
      </c>
      <c r="C723" s="1">
        <v>7</v>
      </c>
      <c r="D723" t="s">
        <v>19</v>
      </c>
      <c r="E723" t="s">
        <v>20</v>
      </c>
      <c r="F723" t="s">
        <v>22</v>
      </c>
      <c r="G723" t="s">
        <v>16</v>
      </c>
      <c r="H723" t="s">
        <v>17</v>
      </c>
      <c r="I723" s="3">
        <v>19354</v>
      </c>
      <c r="J723" t="b">
        <v>1</v>
      </c>
      <c r="K723" t="b">
        <v>0</v>
      </c>
      <c r="L723" t="b">
        <v>1</v>
      </c>
    </row>
    <row r="724" spans="1:12" x14ac:dyDescent="0.3">
      <c r="A724">
        <v>35</v>
      </c>
      <c r="B724" t="s">
        <v>12</v>
      </c>
      <c r="C724" s="1">
        <v>2</v>
      </c>
      <c r="D724" t="s">
        <v>13</v>
      </c>
      <c r="E724" t="s">
        <v>20</v>
      </c>
      <c r="F724" t="s">
        <v>22</v>
      </c>
      <c r="G724" t="s">
        <v>23</v>
      </c>
      <c r="H724" t="s">
        <v>24</v>
      </c>
      <c r="I724" s="3">
        <v>13345</v>
      </c>
      <c r="J724" t="b">
        <v>0</v>
      </c>
      <c r="K724" t="b">
        <v>0</v>
      </c>
      <c r="L724" t="b">
        <v>0</v>
      </c>
    </row>
    <row r="725" spans="1:12" x14ac:dyDescent="0.3">
      <c r="A725">
        <v>49</v>
      </c>
      <c r="B725" t="s">
        <v>18</v>
      </c>
      <c r="C725" s="1">
        <v>3</v>
      </c>
      <c r="D725" t="s">
        <v>19</v>
      </c>
      <c r="E725" t="s">
        <v>14</v>
      </c>
      <c r="F725" t="s">
        <v>27</v>
      </c>
      <c r="G725" t="s">
        <v>16</v>
      </c>
      <c r="H725" t="s">
        <v>24</v>
      </c>
      <c r="I725" s="3">
        <v>12486</v>
      </c>
      <c r="J725" t="b">
        <v>0</v>
      </c>
      <c r="K725" t="b">
        <v>0</v>
      </c>
      <c r="L725" t="b">
        <v>0</v>
      </c>
    </row>
    <row r="726" spans="1:12" x14ac:dyDescent="0.3">
      <c r="A726">
        <v>64</v>
      </c>
      <c r="B726" t="s">
        <v>25</v>
      </c>
      <c r="C726" s="1">
        <v>1</v>
      </c>
      <c r="D726" t="s">
        <v>28</v>
      </c>
      <c r="E726" t="s">
        <v>20</v>
      </c>
      <c r="F726" t="s">
        <v>27</v>
      </c>
      <c r="G726" t="s">
        <v>23</v>
      </c>
      <c r="H726" t="s">
        <v>17</v>
      </c>
      <c r="I726" s="3">
        <v>10561</v>
      </c>
      <c r="J726" t="b">
        <v>0</v>
      </c>
      <c r="K726" t="b">
        <v>1</v>
      </c>
      <c r="L726" t="b">
        <v>0</v>
      </c>
    </row>
    <row r="727" spans="1:12" x14ac:dyDescent="0.3">
      <c r="A727">
        <v>28</v>
      </c>
      <c r="B727" t="s">
        <v>12</v>
      </c>
      <c r="C727" s="1">
        <v>8</v>
      </c>
      <c r="D727" t="s">
        <v>28</v>
      </c>
      <c r="E727" t="s">
        <v>20</v>
      </c>
      <c r="F727" t="s">
        <v>27</v>
      </c>
      <c r="G727" t="s">
        <v>16</v>
      </c>
      <c r="H727" t="s">
        <v>21</v>
      </c>
      <c r="I727" s="3">
        <v>13981</v>
      </c>
      <c r="J727" t="b">
        <v>0</v>
      </c>
      <c r="K727" t="b">
        <v>1</v>
      </c>
      <c r="L727" t="b">
        <v>0</v>
      </c>
    </row>
    <row r="728" spans="1:12" x14ac:dyDescent="0.3">
      <c r="A728">
        <v>38</v>
      </c>
      <c r="B728" t="s">
        <v>12</v>
      </c>
      <c r="C728" s="1">
        <v>9</v>
      </c>
      <c r="D728" t="s">
        <v>19</v>
      </c>
      <c r="E728" t="s">
        <v>14</v>
      </c>
      <c r="F728" t="s">
        <v>22</v>
      </c>
      <c r="G728" t="s">
        <v>16</v>
      </c>
      <c r="H728" t="s">
        <v>24</v>
      </c>
      <c r="I728" s="3">
        <v>16261</v>
      </c>
      <c r="J728" t="b">
        <v>0</v>
      </c>
      <c r="K728" t="b">
        <v>0</v>
      </c>
      <c r="L728" t="b">
        <v>1</v>
      </c>
    </row>
    <row r="729" spans="1:12" x14ac:dyDescent="0.3">
      <c r="A729">
        <v>43</v>
      </c>
      <c r="B729" t="s">
        <v>12</v>
      </c>
      <c r="C729" s="1">
        <v>4</v>
      </c>
      <c r="D729" t="s">
        <v>13</v>
      </c>
      <c r="E729" t="s">
        <v>26</v>
      </c>
      <c r="F729" t="s">
        <v>22</v>
      </c>
      <c r="G729" t="s">
        <v>16</v>
      </c>
      <c r="H729" t="s">
        <v>17</v>
      </c>
      <c r="I729" s="3">
        <v>11737</v>
      </c>
      <c r="J729" t="b">
        <v>1</v>
      </c>
      <c r="K729" t="b">
        <v>0</v>
      </c>
      <c r="L729" t="b">
        <v>1</v>
      </c>
    </row>
    <row r="730" spans="1:12" x14ac:dyDescent="0.3">
      <c r="A730">
        <v>42</v>
      </c>
      <c r="B730" t="s">
        <v>25</v>
      </c>
      <c r="C730" s="1">
        <v>6</v>
      </c>
      <c r="D730" t="s">
        <v>19</v>
      </c>
      <c r="E730" t="s">
        <v>26</v>
      </c>
      <c r="F730" t="s">
        <v>22</v>
      </c>
      <c r="G730" t="s">
        <v>16</v>
      </c>
      <c r="H730" t="s">
        <v>24</v>
      </c>
      <c r="I730" s="3">
        <v>19096</v>
      </c>
      <c r="J730" t="b">
        <v>1</v>
      </c>
      <c r="K730" t="b">
        <v>1</v>
      </c>
      <c r="L730" t="b">
        <v>1</v>
      </c>
    </row>
    <row r="731" spans="1:12" x14ac:dyDescent="0.3">
      <c r="A731">
        <v>39</v>
      </c>
      <c r="B731" t="s">
        <v>18</v>
      </c>
      <c r="C731" s="1">
        <v>9</v>
      </c>
      <c r="D731" t="s">
        <v>13</v>
      </c>
      <c r="E731" t="s">
        <v>20</v>
      </c>
      <c r="F731" t="s">
        <v>27</v>
      </c>
      <c r="G731" t="s">
        <v>23</v>
      </c>
      <c r="H731" t="s">
        <v>21</v>
      </c>
      <c r="I731" s="3">
        <v>13554</v>
      </c>
      <c r="J731" t="b">
        <v>1</v>
      </c>
      <c r="K731" t="b">
        <v>0</v>
      </c>
      <c r="L731" t="b">
        <v>1</v>
      </c>
    </row>
    <row r="732" spans="1:12" x14ac:dyDescent="0.3">
      <c r="A732">
        <v>44</v>
      </c>
      <c r="B732" t="s">
        <v>12</v>
      </c>
      <c r="C732" s="1">
        <v>6</v>
      </c>
      <c r="D732" t="s">
        <v>19</v>
      </c>
      <c r="E732" t="s">
        <v>26</v>
      </c>
      <c r="F732" t="s">
        <v>15</v>
      </c>
      <c r="G732" t="s">
        <v>29</v>
      </c>
      <c r="H732" t="s">
        <v>21</v>
      </c>
      <c r="I732" s="3">
        <v>19918</v>
      </c>
      <c r="J732" t="b">
        <v>0</v>
      </c>
      <c r="K732" t="b">
        <v>0</v>
      </c>
      <c r="L732" t="b">
        <v>1</v>
      </c>
    </row>
    <row r="733" spans="1:12" x14ac:dyDescent="0.3">
      <c r="A733">
        <v>30</v>
      </c>
      <c r="B733" t="s">
        <v>25</v>
      </c>
      <c r="C733" s="1">
        <v>9</v>
      </c>
      <c r="D733" t="s">
        <v>28</v>
      </c>
      <c r="E733" t="s">
        <v>20</v>
      </c>
      <c r="F733" t="s">
        <v>22</v>
      </c>
      <c r="G733" t="s">
        <v>16</v>
      </c>
      <c r="H733" t="s">
        <v>21</v>
      </c>
      <c r="I733" s="3">
        <v>19126</v>
      </c>
      <c r="J733" t="b">
        <v>0</v>
      </c>
      <c r="K733" t="b">
        <v>0</v>
      </c>
      <c r="L733" t="b">
        <v>1</v>
      </c>
    </row>
    <row r="734" spans="1:12" x14ac:dyDescent="0.3">
      <c r="A734">
        <v>50</v>
      </c>
      <c r="B734" t="s">
        <v>18</v>
      </c>
      <c r="C734" s="1">
        <v>4</v>
      </c>
      <c r="D734" t="s">
        <v>13</v>
      </c>
      <c r="E734" t="s">
        <v>14</v>
      </c>
      <c r="F734" t="s">
        <v>15</v>
      </c>
      <c r="G734" t="s">
        <v>23</v>
      </c>
      <c r="H734" t="s">
        <v>17</v>
      </c>
      <c r="I734" s="3">
        <v>17095</v>
      </c>
      <c r="J734" t="b">
        <v>1</v>
      </c>
      <c r="K734" t="b">
        <v>1</v>
      </c>
      <c r="L734" t="b">
        <v>0</v>
      </c>
    </row>
    <row r="735" spans="1:12" x14ac:dyDescent="0.3">
      <c r="A735">
        <v>51</v>
      </c>
      <c r="B735" t="s">
        <v>25</v>
      </c>
      <c r="C735" s="1">
        <v>8</v>
      </c>
      <c r="D735" t="s">
        <v>13</v>
      </c>
      <c r="E735" t="s">
        <v>14</v>
      </c>
      <c r="F735" t="s">
        <v>15</v>
      </c>
      <c r="G735" t="s">
        <v>23</v>
      </c>
      <c r="H735" t="s">
        <v>17</v>
      </c>
      <c r="I735" s="3">
        <v>18266</v>
      </c>
      <c r="J735" t="b">
        <v>0</v>
      </c>
      <c r="K735" t="b">
        <v>0</v>
      </c>
      <c r="L735" t="b">
        <v>0</v>
      </c>
    </row>
    <row r="736" spans="1:12" x14ac:dyDescent="0.3">
      <c r="A736">
        <v>58</v>
      </c>
      <c r="B736" t="s">
        <v>18</v>
      </c>
      <c r="C736" s="1">
        <v>9</v>
      </c>
      <c r="D736" t="s">
        <v>13</v>
      </c>
      <c r="E736" t="s">
        <v>20</v>
      </c>
      <c r="F736" t="s">
        <v>15</v>
      </c>
      <c r="G736" t="s">
        <v>16</v>
      </c>
      <c r="H736" t="s">
        <v>21</v>
      </c>
      <c r="I736" s="3">
        <v>10294</v>
      </c>
      <c r="J736" t="b">
        <v>0</v>
      </c>
      <c r="K736" t="b">
        <v>1</v>
      </c>
      <c r="L736" t="b">
        <v>0</v>
      </c>
    </row>
    <row r="737" spans="1:12" x14ac:dyDescent="0.3">
      <c r="A737">
        <v>52</v>
      </c>
      <c r="B737" t="s">
        <v>25</v>
      </c>
      <c r="C737" s="1">
        <v>4</v>
      </c>
      <c r="D737" t="s">
        <v>28</v>
      </c>
      <c r="E737" t="s">
        <v>14</v>
      </c>
      <c r="F737" t="s">
        <v>27</v>
      </c>
      <c r="G737" t="s">
        <v>29</v>
      </c>
      <c r="H737" t="s">
        <v>17</v>
      </c>
      <c r="I737" s="3">
        <v>18212</v>
      </c>
      <c r="J737" t="b">
        <v>0</v>
      </c>
      <c r="K737" t="b">
        <v>1</v>
      </c>
      <c r="L737" t="b">
        <v>0</v>
      </c>
    </row>
    <row r="738" spans="1:12" x14ac:dyDescent="0.3">
      <c r="A738">
        <v>18</v>
      </c>
      <c r="B738" t="s">
        <v>18</v>
      </c>
      <c r="C738" s="1">
        <v>5</v>
      </c>
      <c r="D738" t="s">
        <v>19</v>
      </c>
      <c r="E738" t="s">
        <v>14</v>
      </c>
      <c r="F738" t="s">
        <v>15</v>
      </c>
      <c r="G738" t="s">
        <v>16</v>
      </c>
      <c r="H738" t="s">
        <v>21</v>
      </c>
      <c r="I738" s="3">
        <v>19230</v>
      </c>
      <c r="J738" t="b">
        <v>1</v>
      </c>
      <c r="K738" t="b">
        <v>1</v>
      </c>
      <c r="L738" t="b">
        <v>1</v>
      </c>
    </row>
    <row r="739" spans="1:12" x14ac:dyDescent="0.3">
      <c r="A739">
        <v>38</v>
      </c>
      <c r="B739" t="s">
        <v>12</v>
      </c>
      <c r="C739" s="1">
        <v>8</v>
      </c>
      <c r="D739" t="s">
        <v>28</v>
      </c>
      <c r="E739" t="s">
        <v>20</v>
      </c>
      <c r="F739" t="s">
        <v>22</v>
      </c>
      <c r="G739" t="s">
        <v>23</v>
      </c>
      <c r="H739" t="s">
        <v>17</v>
      </c>
      <c r="I739" s="3">
        <v>15330</v>
      </c>
      <c r="J739" t="b">
        <v>1</v>
      </c>
      <c r="K739" t="b">
        <v>0</v>
      </c>
      <c r="L739" t="b">
        <v>0</v>
      </c>
    </row>
    <row r="740" spans="1:12" x14ac:dyDescent="0.3">
      <c r="A740">
        <v>23</v>
      </c>
      <c r="B740" t="s">
        <v>18</v>
      </c>
      <c r="C740" s="1">
        <v>6</v>
      </c>
      <c r="D740" t="s">
        <v>13</v>
      </c>
      <c r="E740" t="s">
        <v>20</v>
      </c>
      <c r="F740" t="s">
        <v>27</v>
      </c>
      <c r="G740" t="s">
        <v>29</v>
      </c>
      <c r="H740" t="s">
        <v>21</v>
      </c>
      <c r="I740" s="3">
        <v>14655</v>
      </c>
      <c r="J740" t="b">
        <v>0</v>
      </c>
      <c r="K740" t="b">
        <v>0</v>
      </c>
      <c r="L740" t="b">
        <v>1</v>
      </c>
    </row>
    <row r="741" spans="1:12" x14ac:dyDescent="0.3">
      <c r="A741">
        <v>45</v>
      </c>
      <c r="B741" t="s">
        <v>25</v>
      </c>
      <c r="C741" s="1">
        <v>7</v>
      </c>
      <c r="D741" t="s">
        <v>19</v>
      </c>
      <c r="E741" t="s">
        <v>14</v>
      </c>
      <c r="F741" t="s">
        <v>22</v>
      </c>
      <c r="G741" t="s">
        <v>23</v>
      </c>
      <c r="H741" t="s">
        <v>24</v>
      </c>
      <c r="I741" s="3">
        <v>11109</v>
      </c>
      <c r="J741" t="b">
        <v>0</v>
      </c>
      <c r="K741" t="b">
        <v>1</v>
      </c>
      <c r="L741" t="b">
        <v>0</v>
      </c>
    </row>
    <row r="742" spans="1:12" x14ac:dyDescent="0.3">
      <c r="A742">
        <v>34</v>
      </c>
      <c r="B742" t="s">
        <v>25</v>
      </c>
      <c r="C742" s="1">
        <v>3</v>
      </c>
      <c r="D742" t="s">
        <v>28</v>
      </c>
      <c r="E742" t="s">
        <v>26</v>
      </c>
      <c r="F742" t="s">
        <v>22</v>
      </c>
      <c r="G742" t="s">
        <v>16</v>
      </c>
      <c r="H742" t="s">
        <v>21</v>
      </c>
      <c r="I742" s="3">
        <v>13771</v>
      </c>
      <c r="J742" t="b">
        <v>0</v>
      </c>
      <c r="K742" t="b">
        <v>1</v>
      </c>
      <c r="L742" t="b">
        <v>0</v>
      </c>
    </row>
    <row r="743" spans="1:12" x14ac:dyDescent="0.3">
      <c r="A743">
        <v>22</v>
      </c>
      <c r="B743" t="s">
        <v>18</v>
      </c>
      <c r="C743" s="1">
        <v>7</v>
      </c>
      <c r="D743" t="s">
        <v>13</v>
      </c>
      <c r="E743" t="s">
        <v>26</v>
      </c>
      <c r="F743" t="s">
        <v>27</v>
      </c>
      <c r="G743" t="s">
        <v>29</v>
      </c>
      <c r="H743" t="s">
        <v>21</v>
      </c>
      <c r="I743" s="3">
        <v>18563</v>
      </c>
      <c r="J743" t="b">
        <v>0</v>
      </c>
      <c r="K743" t="b">
        <v>1</v>
      </c>
      <c r="L743" t="b">
        <v>0</v>
      </c>
    </row>
    <row r="744" spans="1:12" x14ac:dyDescent="0.3">
      <c r="A744">
        <v>48</v>
      </c>
      <c r="B744" t="s">
        <v>12</v>
      </c>
      <c r="C744" s="1">
        <v>8</v>
      </c>
      <c r="D744" t="s">
        <v>13</v>
      </c>
      <c r="E744" t="s">
        <v>20</v>
      </c>
      <c r="F744" t="s">
        <v>22</v>
      </c>
      <c r="G744" t="s">
        <v>23</v>
      </c>
      <c r="H744" t="s">
        <v>17</v>
      </c>
      <c r="I744" s="3">
        <v>16123</v>
      </c>
      <c r="J744" t="b">
        <v>1</v>
      </c>
      <c r="K744" t="b">
        <v>0</v>
      </c>
      <c r="L744" t="b">
        <v>1</v>
      </c>
    </row>
    <row r="745" spans="1:12" x14ac:dyDescent="0.3">
      <c r="A745">
        <v>22</v>
      </c>
      <c r="B745" t="s">
        <v>12</v>
      </c>
      <c r="C745" s="1">
        <v>6</v>
      </c>
      <c r="D745" t="s">
        <v>28</v>
      </c>
      <c r="E745" t="s">
        <v>20</v>
      </c>
      <c r="F745" t="s">
        <v>22</v>
      </c>
      <c r="G745" t="s">
        <v>23</v>
      </c>
      <c r="H745" t="s">
        <v>17</v>
      </c>
      <c r="I745" s="3">
        <v>17647</v>
      </c>
      <c r="J745" t="b">
        <v>0</v>
      </c>
      <c r="K745" t="b">
        <v>0</v>
      </c>
      <c r="L745" t="b">
        <v>0</v>
      </c>
    </row>
    <row r="746" spans="1:12" x14ac:dyDescent="0.3">
      <c r="A746">
        <v>55</v>
      </c>
      <c r="B746" t="s">
        <v>18</v>
      </c>
      <c r="C746" s="1">
        <v>9</v>
      </c>
      <c r="D746" t="s">
        <v>28</v>
      </c>
      <c r="E746" t="s">
        <v>26</v>
      </c>
      <c r="F746" t="s">
        <v>27</v>
      </c>
      <c r="G746" t="s">
        <v>23</v>
      </c>
      <c r="H746" t="s">
        <v>17</v>
      </c>
      <c r="I746" s="3">
        <v>11174</v>
      </c>
      <c r="J746" t="b">
        <v>1</v>
      </c>
      <c r="K746" t="b">
        <v>1</v>
      </c>
      <c r="L746" t="b">
        <v>1</v>
      </c>
    </row>
    <row r="747" spans="1:12" x14ac:dyDescent="0.3">
      <c r="A747">
        <v>20</v>
      </c>
      <c r="B747" t="s">
        <v>18</v>
      </c>
      <c r="C747" s="1">
        <v>6</v>
      </c>
      <c r="D747" t="s">
        <v>28</v>
      </c>
      <c r="E747" t="s">
        <v>14</v>
      </c>
      <c r="F747" t="s">
        <v>22</v>
      </c>
      <c r="G747" t="s">
        <v>16</v>
      </c>
      <c r="H747" t="s">
        <v>17</v>
      </c>
      <c r="I747" s="3">
        <v>11164</v>
      </c>
      <c r="J747" t="b">
        <v>1</v>
      </c>
      <c r="K747" t="b">
        <v>1</v>
      </c>
      <c r="L747" t="b">
        <v>1</v>
      </c>
    </row>
    <row r="748" spans="1:12" x14ac:dyDescent="0.3">
      <c r="A748">
        <v>40</v>
      </c>
      <c r="B748" t="s">
        <v>25</v>
      </c>
      <c r="C748" s="1">
        <v>9</v>
      </c>
      <c r="D748" t="s">
        <v>13</v>
      </c>
      <c r="E748" t="s">
        <v>26</v>
      </c>
      <c r="F748" t="s">
        <v>15</v>
      </c>
      <c r="G748" t="s">
        <v>29</v>
      </c>
      <c r="H748" t="s">
        <v>17</v>
      </c>
      <c r="I748" s="3">
        <v>19284</v>
      </c>
      <c r="J748" t="b">
        <v>1</v>
      </c>
      <c r="K748" t="b">
        <v>0</v>
      </c>
      <c r="L748" t="b">
        <v>0</v>
      </c>
    </row>
    <row r="749" spans="1:12" x14ac:dyDescent="0.3">
      <c r="A749">
        <v>54</v>
      </c>
      <c r="B749" t="s">
        <v>12</v>
      </c>
      <c r="C749" s="1">
        <v>4</v>
      </c>
      <c r="D749" t="s">
        <v>28</v>
      </c>
      <c r="E749" t="s">
        <v>26</v>
      </c>
      <c r="F749" t="s">
        <v>22</v>
      </c>
      <c r="G749" t="s">
        <v>16</v>
      </c>
      <c r="H749" t="s">
        <v>17</v>
      </c>
      <c r="I749" s="3">
        <v>19475</v>
      </c>
      <c r="J749" t="b">
        <v>0</v>
      </c>
      <c r="K749" t="b">
        <v>1</v>
      </c>
      <c r="L749" t="b">
        <v>1</v>
      </c>
    </row>
    <row r="750" spans="1:12" x14ac:dyDescent="0.3">
      <c r="A750">
        <v>54</v>
      </c>
      <c r="B750" t="s">
        <v>18</v>
      </c>
      <c r="C750" s="1">
        <v>8</v>
      </c>
      <c r="D750" t="s">
        <v>13</v>
      </c>
      <c r="E750" t="s">
        <v>26</v>
      </c>
      <c r="F750" t="s">
        <v>15</v>
      </c>
      <c r="G750" t="s">
        <v>16</v>
      </c>
      <c r="H750" t="s">
        <v>24</v>
      </c>
      <c r="I750" s="3">
        <v>19037</v>
      </c>
      <c r="J750" t="b">
        <v>1</v>
      </c>
      <c r="K750" t="b">
        <v>0</v>
      </c>
      <c r="L750" t="b">
        <v>1</v>
      </c>
    </row>
    <row r="751" spans="1:12" x14ac:dyDescent="0.3">
      <c r="A751">
        <v>27</v>
      </c>
      <c r="B751" t="s">
        <v>12</v>
      </c>
      <c r="C751" s="1">
        <v>4</v>
      </c>
      <c r="D751" t="s">
        <v>28</v>
      </c>
      <c r="E751" t="s">
        <v>26</v>
      </c>
      <c r="F751" t="s">
        <v>22</v>
      </c>
      <c r="G751" t="s">
        <v>16</v>
      </c>
      <c r="H751" t="s">
        <v>21</v>
      </c>
      <c r="I751" s="3">
        <v>18712</v>
      </c>
      <c r="J751" t="b">
        <v>1</v>
      </c>
      <c r="K751" t="b">
        <v>0</v>
      </c>
      <c r="L751" t="b">
        <v>0</v>
      </c>
    </row>
    <row r="752" spans="1:12" x14ac:dyDescent="0.3">
      <c r="A752">
        <v>27</v>
      </c>
      <c r="B752" t="s">
        <v>18</v>
      </c>
      <c r="C752" s="1">
        <v>2</v>
      </c>
      <c r="D752" t="s">
        <v>13</v>
      </c>
      <c r="E752" t="s">
        <v>20</v>
      </c>
      <c r="F752" t="s">
        <v>27</v>
      </c>
      <c r="G752" t="s">
        <v>29</v>
      </c>
      <c r="H752" t="s">
        <v>21</v>
      </c>
      <c r="I752" s="3">
        <v>14466</v>
      </c>
      <c r="J752" t="b">
        <v>0</v>
      </c>
      <c r="K752" t="b">
        <v>1</v>
      </c>
      <c r="L752" t="b">
        <v>0</v>
      </c>
    </row>
    <row r="753" spans="1:12" x14ac:dyDescent="0.3">
      <c r="A753">
        <v>36</v>
      </c>
      <c r="B753" t="s">
        <v>18</v>
      </c>
      <c r="C753" s="1">
        <v>9</v>
      </c>
      <c r="D753" t="s">
        <v>13</v>
      </c>
      <c r="E753" t="s">
        <v>20</v>
      </c>
      <c r="F753" t="s">
        <v>27</v>
      </c>
      <c r="G753" t="s">
        <v>16</v>
      </c>
      <c r="H753" t="s">
        <v>21</v>
      </c>
      <c r="I753" s="3">
        <v>15538</v>
      </c>
      <c r="J753" t="b">
        <v>0</v>
      </c>
      <c r="K753" t="b">
        <v>1</v>
      </c>
      <c r="L753" t="b">
        <v>0</v>
      </c>
    </row>
    <row r="754" spans="1:12" x14ac:dyDescent="0.3">
      <c r="A754">
        <v>34</v>
      </c>
      <c r="B754" t="s">
        <v>12</v>
      </c>
      <c r="C754" s="1">
        <v>5</v>
      </c>
      <c r="D754" t="s">
        <v>19</v>
      </c>
      <c r="E754" t="s">
        <v>14</v>
      </c>
      <c r="F754" t="s">
        <v>22</v>
      </c>
      <c r="G754" t="s">
        <v>16</v>
      </c>
      <c r="H754" t="s">
        <v>24</v>
      </c>
      <c r="I754" s="3">
        <v>17111</v>
      </c>
      <c r="J754" t="b">
        <v>0</v>
      </c>
      <c r="K754" t="b">
        <v>0</v>
      </c>
      <c r="L754" t="b">
        <v>0</v>
      </c>
    </row>
    <row r="755" spans="1:12" x14ac:dyDescent="0.3">
      <c r="A755">
        <v>38</v>
      </c>
      <c r="B755" t="s">
        <v>18</v>
      </c>
      <c r="C755" s="1">
        <v>4</v>
      </c>
      <c r="D755" t="s">
        <v>28</v>
      </c>
      <c r="E755" t="s">
        <v>14</v>
      </c>
      <c r="F755" t="s">
        <v>27</v>
      </c>
      <c r="G755" t="s">
        <v>16</v>
      </c>
      <c r="H755" t="s">
        <v>21</v>
      </c>
      <c r="I755" s="3">
        <v>18434</v>
      </c>
      <c r="J755" t="b">
        <v>1</v>
      </c>
      <c r="K755" t="b">
        <v>0</v>
      </c>
      <c r="L755" t="b">
        <v>0</v>
      </c>
    </row>
    <row r="756" spans="1:12" x14ac:dyDescent="0.3">
      <c r="A756">
        <v>31</v>
      </c>
      <c r="B756" t="s">
        <v>18</v>
      </c>
      <c r="C756" s="1">
        <v>2</v>
      </c>
      <c r="D756" t="s">
        <v>28</v>
      </c>
      <c r="E756" t="s">
        <v>14</v>
      </c>
      <c r="F756" t="s">
        <v>22</v>
      </c>
      <c r="G756" t="s">
        <v>16</v>
      </c>
      <c r="H756" t="s">
        <v>24</v>
      </c>
      <c r="I756" s="3">
        <v>12800</v>
      </c>
      <c r="J756" t="b">
        <v>0</v>
      </c>
      <c r="K756" t="b">
        <v>0</v>
      </c>
      <c r="L756" t="b">
        <v>0</v>
      </c>
    </row>
    <row r="757" spans="1:12" x14ac:dyDescent="0.3">
      <c r="A757">
        <v>26</v>
      </c>
      <c r="B757" t="s">
        <v>25</v>
      </c>
      <c r="C757" s="1">
        <v>1</v>
      </c>
      <c r="D757" t="s">
        <v>13</v>
      </c>
      <c r="E757" t="s">
        <v>14</v>
      </c>
      <c r="F757" t="s">
        <v>27</v>
      </c>
      <c r="G757" t="s">
        <v>23</v>
      </c>
      <c r="H757" t="s">
        <v>24</v>
      </c>
      <c r="I757" s="3">
        <v>14607</v>
      </c>
      <c r="J757" t="b">
        <v>1</v>
      </c>
      <c r="K757" t="b">
        <v>0</v>
      </c>
      <c r="L757" t="b">
        <v>1</v>
      </c>
    </row>
    <row r="758" spans="1:12" x14ac:dyDescent="0.3">
      <c r="A758">
        <v>63</v>
      </c>
      <c r="B758" t="s">
        <v>18</v>
      </c>
      <c r="C758" s="1">
        <v>7</v>
      </c>
      <c r="D758" t="s">
        <v>13</v>
      </c>
      <c r="E758" t="s">
        <v>26</v>
      </c>
      <c r="F758" t="s">
        <v>15</v>
      </c>
      <c r="G758" t="s">
        <v>16</v>
      </c>
      <c r="H758" t="s">
        <v>24</v>
      </c>
      <c r="I758" s="3">
        <v>17262</v>
      </c>
      <c r="J758" t="b">
        <v>1</v>
      </c>
      <c r="K758" t="b">
        <v>0</v>
      </c>
      <c r="L758" t="b">
        <v>0</v>
      </c>
    </row>
    <row r="759" spans="1:12" x14ac:dyDescent="0.3">
      <c r="A759">
        <v>18</v>
      </c>
      <c r="B759" t="s">
        <v>18</v>
      </c>
      <c r="C759" s="1">
        <v>6</v>
      </c>
      <c r="D759" t="s">
        <v>13</v>
      </c>
      <c r="E759" t="s">
        <v>20</v>
      </c>
      <c r="F759" t="s">
        <v>22</v>
      </c>
      <c r="G759" t="s">
        <v>23</v>
      </c>
      <c r="H759" t="s">
        <v>21</v>
      </c>
      <c r="I759" s="3">
        <v>11541</v>
      </c>
      <c r="J759" t="b">
        <v>0</v>
      </c>
      <c r="K759" t="b">
        <v>1</v>
      </c>
      <c r="L759" t="b">
        <v>0</v>
      </c>
    </row>
    <row r="760" spans="1:12" x14ac:dyDescent="0.3">
      <c r="A760">
        <v>62</v>
      </c>
      <c r="B760" t="s">
        <v>18</v>
      </c>
      <c r="C760" s="1">
        <v>2</v>
      </c>
      <c r="D760" t="s">
        <v>19</v>
      </c>
      <c r="E760" t="s">
        <v>20</v>
      </c>
      <c r="F760" t="s">
        <v>15</v>
      </c>
      <c r="G760" t="s">
        <v>16</v>
      </c>
      <c r="H760" t="s">
        <v>24</v>
      </c>
      <c r="I760" s="3">
        <v>12765</v>
      </c>
      <c r="J760" t="b">
        <v>1</v>
      </c>
      <c r="K760" t="b">
        <v>0</v>
      </c>
      <c r="L760" t="b">
        <v>1</v>
      </c>
    </row>
    <row r="761" spans="1:12" x14ac:dyDescent="0.3">
      <c r="A761">
        <v>30</v>
      </c>
      <c r="B761" t="s">
        <v>25</v>
      </c>
      <c r="C761" s="1">
        <v>8</v>
      </c>
      <c r="D761" t="s">
        <v>19</v>
      </c>
      <c r="E761" t="s">
        <v>14</v>
      </c>
      <c r="F761" t="s">
        <v>15</v>
      </c>
      <c r="G761" t="s">
        <v>29</v>
      </c>
      <c r="H761" t="s">
        <v>21</v>
      </c>
      <c r="I761" s="3">
        <v>14491</v>
      </c>
      <c r="J761" t="b">
        <v>1</v>
      </c>
      <c r="K761" t="b">
        <v>0</v>
      </c>
      <c r="L761" t="b">
        <v>0</v>
      </c>
    </row>
    <row r="762" spans="1:12" x14ac:dyDescent="0.3">
      <c r="A762">
        <v>21</v>
      </c>
      <c r="B762" t="s">
        <v>12</v>
      </c>
      <c r="C762" s="1">
        <v>4</v>
      </c>
      <c r="D762" t="s">
        <v>13</v>
      </c>
      <c r="E762" t="s">
        <v>14</v>
      </c>
      <c r="F762" t="s">
        <v>22</v>
      </c>
      <c r="G762" t="s">
        <v>23</v>
      </c>
      <c r="H762" t="s">
        <v>21</v>
      </c>
      <c r="I762" s="3">
        <v>13083</v>
      </c>
      <c r="J762" t="b">
        <v>1</v>
      </c>
      <c r="K762" t="b">
        <v>0</v>
      </c>
      <c r="L762" t="b">
        <v>1</v>
      </c>
    </row>
    <row r="763" spans="1:12" x14ac:dyDescent="0.3">
      <c r="A763">
        <v>18</v>
      </c>
      <c r="B763" t="s">
        <v>25</v>
      </c>
      <c r="C763" s="1">
        <v>8</v>
      </c>
      <c r="D763" t="s">
        <v>28</v>
      </c>
      <c r="E763" t="s">
        <v>26</v>
      </c>
      <c r="F763" t="s">
        <v>15</v>
      </c>
      <c r="G763" t="s">
        <v>23</v>
      </c>
      <c r="H763" t="s">
        <v>17</v>
      </c>
      <c r="I763" s="3">
        <v>15356</v>
      </c>
      <c r="J763" t="b">
        <v>1</v>
      </c>
      <c r="K763" t="b">
        <v>1</v>
      </c>
      <c r="L763" t="b">
        <v>0</v>
      </c>
    </row>
    <row r="764" spans="1:12" x14ac:dyDescent="0.3">
      <c r="A764">
        <v>57</v>
      </c>
      <c r="B764" t="s">
        <v>25</v>
      </c>
      <c r="C764" s="1">
        <v>7</v>
      </c>
      <c r="D764" t="s">
        <v>28</v>
      </c>
      <c r="E764" t="s">
        <v>26</v>
      </c>
      <c r="F764" t="s">
        <v>22</v>
      </c>
      <c r="G764" t="s">
        <v>23</v>
      </c>
      <c r="H764" t="s">
        <v>17</v>
      </c>
      <c r="I764" s="3">
        <v>11857</v>
      </c>
      <c r="J764" t="b">
        <v>0</v>
      </c>
      <c r="K764" t="b">
        <v>1</v>
      </c>
      <c r="L764" t="b">
        <v>0</v>
      </c>
    </row>
    <row r="765" spans="1:12" x14ac:dyDescent="0.3">
      <c r="A765">
        <v>49</v>
      </c>
      <c r="B765" t="s">
        <v>12</v>
      </c>
      <c r="C765" s="1">
        <v>5</v>
      </c>
      <c r="D765" t="s">
        <v>19</v>
      </c>
      <c r="E765" t="s">
        <v>14</v>
      </c>
      <c r="F765" t="s">
        <v>15</v>
      </c>
      <c r="G765" t="s">
        <v>23</v>
      </c>
      <c r="H765" t="s">
        <v>24</v>
      </c>
      <c r="I765" s="3">
        <v>10769</v>
      </c>
      <c r="J765" t="b">
        <v>1</v>
      </c>
      <c r="K765" t="b">
        <v>0</v>
      </c>
      <c r="L765" t="b">
        <v>1</v>
      </c>
    </row>
    <row r="766" spans="1:12" x14ac:dyDescent="0.3">
      <c r="A766">
        <v>51</v>
      </c>
      <c r="B766" t="s">
        <v>25</v>
      </c>
      <c r="C766" s="1">
        <v>8</v>
      </c>
      <c r="D766" t="s">
        <v>19</v>
      </c>
      <c r="E766" t="s">
        <v>20</v>
      </c>
      <c r="F766" t="s">
        <v>22</v>
      </c>
      <c r="G766" t="s">
        <v>29</v>
      </c>
      <c r="H766" t="s">
        <v>24</v>
      </c>
      <c r="I766" s="3">
        <v>11422</v>
      </c>
      <c r="J766" t="b">
        <v>0</v>
      </c>
      <c r="K766" t="b">
        <v>0</v>
      </c>
      <c r="L766" t="b">
        <v>0</v>
      </c>
    </row>
    <row r="767" spans="1:12" x14ac:dyDescent="0.3">
      <c r="A767">
        <v>45</v>
      </c>
      <c r="B767" t="s">
        <v>12</v>
      </c>
      <c r="C767" s="1">
        <v>9</v>
      </c>
      <c r="D767" t="s">
        <v>13</v>
      </c>
      <c r="E767" t="s">
        <v>20</v>
      </c>
      <c r="F767" t="s">
        <v>22</v>
      </c>
      <c r="G767" t="s">
        <v>16</v>
      </c>
      <c r="H767" t="s">
        <v>21</v>
      </c>
      <c r="I767" s="3">
        <v>18598</v>
      </c>
      <c r="J767" t="b">
        <v>1</v>
      </c>
      <c r="K767" t="b">
        <v>1</v>
      </c>
      <c r="L767" t="b">
        <v>1</v>
      </c>
    </row>
    <row r="768" spans="1:12" x14ac:dyDescent="0.3">
      <c r="A768">
        <v>48</v>
      </c>
      <c r="B768" t="s">
        <v>25</v>
      </c>
      <c r="C768" s="1">
        <v>5</v>
      </c>
      <c r="D768" t="s">
        <v>28</v>
      </c>
      <c r="E768" t="s">
        <v>20</v>
      </c>
      <c r="F768" t="s">
        <v>27</v>
      </c>
      <c r="G768" t="s">
        <v>23</v>
      </c>
      <c r="H768" t="s">
        <v>24</v>
      </c>
      <c r="I768" s="3">
        <v>12972</v>
      </c>
      <c r="J768" t="b">
        <v>1</v>
      </c>
      <c r="K768" t="b">
        <v>1</v>
      </c>
      <c r="L768" t="b">
        <v>0</v>
      </c>
    </row>
    <row r="769" spans="1:12" x14ac:dyDescent="0.3">
      <c r="A769">
        <v>25</v>
      </c>
      <c r="B769" t="s">
        <v>12</v>
      </c>
      <c r="C769" s="1">
        <v>5</v>
      </c>
      <c r="D769" t="s">
        <v>13</v>
      </c>
      <c r="E769" t="s">
        <v>14</v>
      </c>
      <c r="F769" t="s">
        <v>22</v>
      </c>
      <c r="G769" t="s">
        <v>29</v>
      </c>
      <c r="H769" t="s">
        <v>24</v>
      </c>
      <c r="I769" s="3">
        <v>11872</v>
      </c>
      <c r="J769" t="b">
        <v>0</v>
      </c>
      <c r="K769" t="b">
        <v>1</v>
      </c>
      <c r="L769" t="b">
        <v>0</v>
      </c>
    </row>
    <row r="770" spans="1:12" x14ac:dyDescent="0.3">
      <c r="A770">
        <v>56</v>
      </c>
      <c r="B770" t="s">
        <v>18</v>
      </c>
      <c r="C770" s="1">
        <v>2</v>
      </c>
      <c r="D770" t="s">
        <v>19</v>
      </c>
      <c r="E770" t="s">
        <v>20</v>
      </c>
      <c r="F770" t="s">
        <v>22</v>
      </c>
      <c r="G770" t="s">
        <v>23</v>
      </c>
      <c r="H770" t="s">
        <v>21</v>
      </c>
      <c r="I770" s="3">
        <v>15599</v>
      </c>
      <c r="J770" t="b">
        <v>1</v>
      </c>
      <c r="K770" t="b">
        <v>1</v>
      </c>
      <c r="L770" t="b">
        <v>1</v>
      </c>
    </row>
    <row r="771" spans="1:12" x14ac:dyDescent="0.3">
      <c r="A771">
        <v>43</v>
      </c>
      <c r="B771" t="s">
        <v>25</v>
      </c>
      <c r="C771" s="1">
        <v>5</v>
      </c>
      <c r="D771" t="s">
        <v>28</v>
      </c>
      <c r="E771" t="s">
        <v>26</v>
      </c>
      <c r="F771" t="s">
        <v>15</v>
      </c>
      <c r="G771" t="s">
        <v>16</v>
      </c>
      <c r="H771" t="s">
        <v>24</v>
      </c>
      <c r="I771" s="3">
        <v>12269</v>
      </c>
      <c r="J771" t="b">
        <v>1</v>
      </c>
      <c r="K771" t="b">
        <v>0</v>
      </c>
      <c r="L771" t="b">
        <v>0</v>
      </c>
    </row>
    <row r="772" spans="1:12" x14ac:dyDescent="0.3">
      <c r="A772">
        <v>51</v>
      </c>
      <c r="B772" t="s">
        <v>25</v>
      </c>
      <c r="C772" s="1">
        <v>3</v>
      </c>
      <c r="D772" t="s">
        <v>28</v>
      </c>
      <c r="E772" t="s">
        <v>26</v>
      </c>
      <c r="F772" t="s">
        <v>22</v>
      </c>
      <c r="G772" t="s">
        <v>23</v>
      </c>
      <c r="H772" t="s">
        <v>24</v>
      </c>
      <c r="I772" s="3">
        <v>15275</v>
      </c>
      <c r="J772" t="b">
        <v>1</v>
      </c>
      <c r="K772" t="b">
        <v>1</v>
      </c>
      <c r="L772" t="b">
        <v>0</v>
      </c>
    </row>
    <row r="773" spans="1:12" x14ac:dyDescent="0.3">
      <c r="A773">
        <v>20</v>
      </c>
      <c r="B773" t="s">
        <v>25</v>
      </c>
      <c r="C773" s="1">
        <v>7</v>
      </c>
      <c r="D773" t="s">
        <v>19</v>
      </c>
      <c r="E773" t="s">
        <v>14</v>
      </c>
      <c r="F773" t="s">
        <v>27</v>
      </c>
      <c r="G773" t="s">
        <v>29</v>
      </c>
      <c r="H773" t="s">
        <v>21</v>
      </c>
      <c r="I773" s="3">
        <v>14749</v>
      </c>
      <c r="J773" t="b">
        <v>1</v>
      </c>
      <c r="K773" t="b">
        <v>0</v>
      </c>
      <c r="L773" t="b">
        <v>1</v>
      </c>
    </row>
    <row r="774" spans="1:12" x14ac:dyDescent="0.3">
      <c r="A774">
        <v>29</v>
      </c>
      <c r="B774" t="s">
        <v>25</v>
      </c>
      <c r="C774" s="1">
        <v>5</v>
      </c>
      <c r="D774" t="s">
        <v>13</v>
      </c>
      <c r="E774" t="s">
        <v>26</v>
      </c>
      <c r="F774" t="s">
        <v>15</v>
      </c>
      <c r="G774" t="s">
        <v>16</v>
      </c>
      <c r="H774" t="s">
        <v>21</v>
      </c>
      <c r="I774" s="3">
        <v>16571</v>
      </c>
      <c r="J774" t="b">
        <v>1</v>
      </c>
      <c r="K774" t="b">
        <v>0</v>
      </c>
      <c r="L774" t="b">
        <v>0</v>
      </c>
    </row>
    <row r="775" spans="1:12" x14ac:dyDescent="0.3">
      <c r="A775">
        <v>18</v>
      </c>
      <c r="B775" t="s">
        <v>18</v>
      </c>
      <c r="C775" s="1">
        <v>8</v>
      </c>
      <c r="D775" t="s">
        <v>13</v>
      </c>
      <c r="E775" t="s">
        <v>14</v>
      </c>
      <c r="F775" t="s">
        <v>15</v>
      </c>
      <c r="G775" t="s">
        <v>29</v>
      </c>
      <c r="H775" t="s">
        <v>17</v>
      </c>
      <c r="I775" s="3">
        <v>19373</v>
      </c>
      <c r="J775" t="b">
        <v>1</v>
      </c>
      <c r="K775" t="b">
        <v>1</v>
      </c>
      <c r="L775" t="b">
        <v>1</v>
      </c>
    </row>
    <row r="776" spans="1:12" x14ac:dyDescent="0.3">
      <c r="A776">
        <v>61</v>
      </c>
      <c r="B776" t="s">
        <v>25</v>
      </c>
      <c r="C776" s="1">
        <v>1</v>
      </c>
      <c r="D776" t="s">
        <v>28</v>
      </c>
      <c r="E776" t="s">
        <v>20</v>
      </c>
      <c r="F776" t="s">
        <v>27</v>
      </c>
      <c r="G776" t="s">
        <v>16</v>
      </c>
      <c r="H776" t="s">
        <v>21</v>
      </c>
      <c r="I776" s="3">
        <v>15072</v>
      </c>
      <c r="J776" t="b">
        <v>0</v>
      </c>
      <c r="K776" t="b">
        <v>1</v>
      </c>
      <c r="L776" t="b">
        <v>0</v>
      </c>
    </row>
    <row r="777" spans="1:12" x14ac:dyDescent="0.3">
      <c r="A777">
        <v>22</v>
      </c>
      <c r="B777" t="s">
        <v>18</v>
      </c>
      <c r="C777" s="1">
        <v>3</v>
      </c>
      <c r="D777" t="s">
        <v>19</v>
      </c>
      <c r="E777" t="s">
        <v>20</v>
      </c>
      <c r="F777" t="s">
        <v>15</v>
      </c>
      <c r="G777" t="s">
        <v>16</v>
      </c>
      <c r="H777" t="s">
        <v>17</v>
      </c>
      <c r="I777" s="3">
        <v>19631</v>
      </c>
      <c r="J777" t="b">
        <v>0</v>
      </c>
      <c r="K777" t="b">
        <v>1</v>
      </c>
      <c r="L777" t="b">
        <v>1</v>
      </c>
    </row>
    <row r="778" spans="1:12" x14ac:dyDescent="0.3">
      <c r="A778">
        <v>47</v>
      </c>
      <c r="B778" t="s">
        <v>18</v>
      </c>
      <c r="C778" s="1">
        <v>3</v>
      </c>
      <c r="D778" t="s">
        <v>28</v>
      </c>
      <c r="E778" t="s">
        <v>20</v>
      </c>
      <c r="F778" t="s">
        <v>15</v>
      </c>
      <c r="G778" t="s">
        <v>16</v>
      </c>
      <c r="H778" t="s">
        <v>24</v>
      </c>
      <c r="I778" s="3">
        <v>15463</v>
      </c>
      <c r="J778" t="b">
        <v>0</v>
      </c>
      <c r="K778" t="b">
        <v>1</v>
      </c>
      <c r="L778" t="b">
        <v>0</v>
      </c>
    </row>
    <row r="779" spans="1:12" x14ac:dyDescent="0.3">
      <c r="A779">
        <v>47</v>
      </c>
      <c r="B779" t="s">
        <v>18</v>
      </c>
      <c r="C779" s="1">
        <v>9</v>
      </c>
      <c r="D779" t="s">
        <v>19</v>
      </c>
      <c r="E779" t="s">
        <v>26</v>
      </c>
      <c r="F779" t="s">
        <v>15</v>
      </c>
      <c r="G779" t="s">
        <v>23</v>
      </c>
      <c r="H779" t="s">
        <v>21</v>
      </c>
      <c r="I779" s="3">
        <v>17450</v>
      </c>
      <c r="J779" t="b">
        <v>1</v>
      </c>
      <c r="K779" t="b">
        <v>0</v>
      </c>
      <c r="L779" t="b">
        <v>1</v>
      </c>
    </row>
    <row r="780" spans="1:12" x14ac:dyDescent="0.3">
      <c r="A780">
        <v>34</v>
      </c>
      <c r="B780" t="s">
        <v>18</v>
      </c>
      <c r="C780" s="1">
        <v>5</v>
      </c>
      <c r="D780" t="s">
        <v>13</v>
      </c>
      <c r="E780" t="s">
        <v>14</v>
      </c>
      <c r="F780" t="s">
        <v>15</v>
      </c>
      <c r="G780" t="s">
        <v>29</v>
      </c>
      <c r="H780" t="s">
        <v>21</v>
      </c>
      <c r="I780" s="3">
        <v>18420</v>
      </c>
      <c r="J780" t="b">
        <v>1</v>
      </c>
      <c r="K780" t="b">
        <v>0</v>
      </c>
      <c r="L780" t="b">
        <v>1</v>
      </c>
    </row>
    <row r="781" spans="1:12" x14ac:dyDescent="0.3">
      <c r="A781">
        <v>64</v>
      </c>
      <c r="B781" t="s">
        <v>12</v>
      </c>
      <c r="C781" s="1">
        <v>9</v>
      </c>
      <c r="D781" t="s">
        <v>19</v>
      </c>
      <c r="E781" t="s">
        <v>20</v>
      </c>
      <c r="F781" t="s">
        <v>27</v>
      </c>
      <c r="G781" t="s">
        <v>29</v>
      </c>
      <c r="H781" t="s">
        <v>21</v>
      </c>
      <c r="I781" s="3">
        <v>13959</v>
      </c>
      <c r="J781" t="b">
        <v>1</v>
      </c>
      <c r="K781" t="b">
        <v>0</v>
      </c>
      <c r="L781" t="b">
        <v>0</v>
      </c>
    </row>
    <row r="782" spans="1:12" x14ac:dyDescent="0.3">
      <c r="A782">
        <v>40</v>
      </c>
      <c r="B782" t="s">
        <v>12</v>
      </c>
      <c r="C782" s="1">
        <v>9</v>
      </c>
      <c r="D782" t="s">
        <v>13</v>
      </c>
      <c r="E782" t="s">
        <v>14</v>
      </c>
      <c r="F782" t="s">
        <v>27</v>
      </c>
      <c r="G782" t="s">
        <v>29</v>
      </c>
      <c r="H782" t="s">
        <v>24</v>
      </c>
      <c r="I782" s="3">
        <v>11313</v>
      </c>
      <c r="J782" t="b">
        <v>0</v>
      </c>
      <c r="K782" t="b">
        <v>1</v>
      </c>
      <c r="L782" t="b">
        <v>0</v>
      </c>
    </row>
    <row r="783" spans="1:12" x14ac:dyDescent="0.3">
      <c r="A783">
        <v>32</v>
      </c>
      <c r="B783" t="s">
        <v>25</v>
      </c>
      <c r="C783" s="1">
        <v>1</v>
      </c>
      <c r="D783" t="s">
        <v>19</v>
      </c>
      <c r="E783" t="s">
        <v>20</v>
      </c>
      <c r="F783" t="s">
        <v>15</v>
      </c>
      <c r="G783" t="s">
        <v>16</v>
      </c>
      <c r="H783" t="s">
        <v>17</v>
      </c>
      <c r="I783" s="3">
        <v>17847</v>
      </c>
      <c r="J783" t="b">
        <v>1</v>
      </c>
      <c r="K783" t="b">
        <v>0</v>
      </c>
      <c r="L783" t="b">
        <v>1</v>
      </c>
    </row>
    <row r="784" spans="1:12" x14ac:dyDescent="0.3">
      <c r="A784">
        <v>54</v>
      </c>
      <c r="B784" t="s">
        <v>12</v>
      </c>
      <c r="C784" s="1">
        <v>2</v>
      </c>
      <c r="D784" t="s">
        <v>28</v>
      </c>
      <c r="E784" t="s">
        <v>26</v>
      </c>
      <c r="F784" t="s">
        <v>15</v>
      </c>
      <c r="G784" t="s">
        <v>23</v>
      </c>
      <c r="H784" t="s">
        <v>24</v>
      </c>
      <c r="I784" s="3">
        <v>11070</v>
      </c>
      <c r="J784" t="b">
        <v>0</v>
      </c>
      <c r="K784" t="b">
        <v>1</v>
      </c>
      <c r="L784" t="b">
        <v>0</v>
      </c>
    </row>
    <row r="785" spans="1:12" x14ac:dyDescent="0.3">
      <c r="A785">
        <v>38</v>
      </c>
      <c r="B785" t="s">
        <v>12</v>
      </c>
      <c r="C785" s="1">
        <v>5</v>
      </c>
      <c r="D785" t="s">
        <v>13</v>
      </c>
      <c r="E785" t="s">
        <v>26</v>
      </c>
      <c r="F785" t="s">
        <v>27</v>
      </c>
      <c r="G785" t="s">
        <v>16</v>
      </c>
      <c r="H785" t="s">
        <v>24</v>
      </c>
      <c r="I785" s="3">
        <v>19166</v>
      </c>
      <c r="J785" t="b">
        <v>1</v>
      </c>
      <c r="K785" t="b">
        <v>0</v>
      </c>
      <c r="L785" t="b">
        <v>1</v>
      </c>
    </row>
    <row r="786" spans="1:12" x14ac:dyDescent="0.3">
      <c r="A786">
        <v>31</v>
      </c>
      <c r="B786" t="s">
        <v>25</v>
      </c>
      <c r="C786" s="1">
        <v>4</v>
      </c>
      <c r="D786" t="s">
        <v>28</v>
      </c>
      <c r="E786" t="s">
        <v>14</v>
      </c>
      <c r="F786" t="s">
        <v>27</v>
      </c>
      <c r="G786" t="s">
        <v>29</v>
      </c>
      <c r="H786" t="s">
        <v>21</v>
      </c>
      <c r="I786" s="3">
        <v>19930</v>
      </c>
      <c r="J786" t="b">
        <v>1</v>
      </c>
      <c r="K786" t="b">
        <v>1</v>
      </c>
      <c r="L786" t="b">
        <v>0</v>
      </c>
    </row>
    <row r="787" spans="1:12" x14ac:dyDescent="0.3">
      <c r="A787">
        <v>19</v>
      </c>
      <c r="B787" t="s">
        <v>25</v>
      </c>
      <c r="C787" s="1">
        <v>9</v>
      </c>
      <c r="D787" t="s">
        <v>28</v>
      </c>
      <c r="E787" t="s">
        <v>26</v>
      </c>
      <c r="F787" t="s">
        <v>27</v>
      </c>
      <c r="G787" t="s">
        <v>23</v>
      </c>
      <c r="H787" t="s">
        <v>17</v>
      </c>
      <c r="I787" s="3">
        <v>13285</v>
      </c>
      <c r="J787" t="b">
        <v>1</v>
      </c>
      <c r="K787" t="b">
        <v>0</v>
      </c>
      <c r="L787" t="b">
        <v>0</v>
      </c>
    </row>
    <row r="788" spans="1:12" x14ac:dyDescent="0.3">
      <c r="A788">
        <v>28</v>
      </c>
      <c r="B788" t="s">
        <v>25</v>
      </c>
      <c r="C788" s="1">
        <v>7</v>
      </c>
      <c r="D788" t="s">
        <v>13</v>
      </c>
      <c r="E788" t="s">
        <v>26</v>
      </c>
      <c r="F788" t="s">
        <v>15</v>
      </c>
      <c r="G788" t="s">
        <v>23</v>
      </c>
      <c r="H788" t="s">
        <v>24</v>
      </c>
      <c r="I788" s="3">
        <v>18949</v>
      </c>
      <c r="J788" t="b">
        <v>0</v>
      </c>
      <c r="K788" t="b">
        <v>0</v>
      </c>
      <c r="L788" t="b">
        <v>1</v>
      </c>
    </row>
    <row r="789" spans="1:12" x14ac:dyDescent="0.3">
      <c r="A789">
        <v>56</v>
      </c>
      <c r="B789" t="s">
        <v>12</v>
      </c>
      <c r="C789" s="1">
        <v>6</v>
      </c>
      <c r="D789" t="s">
        <v>13</v>
      </c>
      <c r="E789" t="s">
        <v>14</v>
      </c>
      <c r="F789" t="s">
        <v>15</v>
      </c>
      <c r="G789" t="s">
        <v>23</v>
      </c>
      <c r="H789" t="s">
        <v>21</v>
      </c>
      <c r="I789" s="3">
        <v>13095</v>
      </c>
      <c r="J789" t="b">
        <v>1</v>
      </c>
      <c r="K789" t="b">
        <v>1</v>
      </c>
      <c r="L789" t="b">
        <v>1</v>
      </c>
    </row>
    <row r="790" spans="1:12" x14ac:dyDescent="0.3">
      <c r="A790">
        <v>55</v>
      </c>
      <c r="B790" t="s">
        <v>12</v>
      </c>
      <c r="C790" s="1">
        <v>7</v>
      </c>
      <c r="D790" t="s">
        <v>28</v>
      </c>
      <c r="E790" t="s">
        <v>20</v>
      </c>
      <c r="F790" t="s">
        <v>22</v>
      </c>
      <c r="G790" t="s">
        <v>29</v>
      </c>
      <c r="H790" t="s">
        <v>24</v>
      </c>
      <c r="I790" s="3">
        <v>10320</v>
      </c>
      <c r="J790" t="b">
        <v>0</v>
      </c>
      <c r="K790" t="b">
        <v>0</v>
      </c>
      <c r="L790" t="b">
        <v>0</v>
      </c>
    </row>
    <row r="791" spans="1:12" x14ac:dyDescent="0.3">
      <c r="A791">
        <v>51</v>
      </c>
      <c r="B791" t="s">
        <v>25</v>
      </c>
      <c r="C791" s="1">
        <v>1</v>
      </c>
      <c r="D791" t="s">
        <v>28</v>
      </c>
      <c r="E791" t="s">
        <v>26</v>
      </c>
      <c r="F791" t="s">
        <v>27</v>
      </c>
      <c r="G791" t="s">
        <v>23</v>
      </c>
      <c r="H791" t="s">
        <v>24</v>
      </c>
      <c r="I791" s="3">
        <v>12321</v>
      </c>
      <c r="J791" t="b">
        <v>1</v>
      </c>
      <c r="K791" t="b">
        <v>0</v>
      </c>
      <c r="L791" t="b">
        <v>0</v>
      </c>
    </row>
    <row r="792" spans="1:12" x14ac:dyDescent="0.3">
      <c r="A792">
        <v>55</v>
      </c>
      <c r="B792" t="s">
        <v>18</v>
      </c>
      <c r="C792" s="1">
        <v>1</v>
      </c>
      <c r="D792" t="s">
        <v>28</v>
      </c>
      <c r="E792" t="s">
        <v>14</v>
      </c>
      <c r="F792" t="s">
        <v>15</v>
      </c>
      <c r="G792" t="s">
        <v>23</v>
      </c>
      <c r="H792" t="s">
        <v>21</v>
      </c>
      <c r="I792" s="3">
        <v>10555</v>
      </c>
      <c r="J792" t="b">
        <v>1</v>
      </c>
      <c r="K792" t="b">
        <v>1</v>
      </c>
      <c r="L792" t="b">
        <v>0</v>
      </c>
    </row>
    <row r="793" spans="1:12" x14ac:dyDescent="0.3">
      <c r="A793">
        <v>51</v>
      </c>
      <c r="B793" t="s">
        <v>25</v>
      </c>
      <c r="C793" s="1">
        <v>8</v>
      </c>
      <c r="D793" t="s">
        <v>28</v>
      </c>
      <c r="E793" t="s">
        <v>26</v>
      </c>
      <c r="F793" t="s">
        <v>27</v>
      </c>
      <c r="G793" t="s">
        <v>16</v>
      </c>
      <c r="H793" t="s">
        <v>21</v>
      </c>
      <c r="I793" s="3">
        <v>14939</v>
      </c>
      <c r="J793" t="b">
        <v>0</v>
      </c>
      <c r="K793" t="b">
        <v>1</v>
      </c>
      <c r="L793" t="b">
        <v>0</v>
      </c>
    </row>
    <row r="794" spans="1:12" x14ac:dyDescent="0.3">
      <c r="A794">
        <v>35</v>
      </c>
      <c r="B794" t="s">
        <v>18</v>
      </c>
      <c r="C794" s="1">
        <v>2</v>
      </c>
      <c r="D794" t="s">
        <v>13</v>
      </c>
      <c r="E794" t="s">
        <v>26</v>
      </c>
      <c r="F794" t="s">
        <v>15</v>
      </c>
      <c r="G794" t="s">
        <v>16</v>
      </c>
      <c r="H794" t="s">
        <v>17</v>
      </c>
      <c r="I794" s="3">
        <v>15432</v>
      </c>
      <c r="J794" t="b">
        <v>1</v>
      </c>
      <c r="K794" t="b">
        <v>1</v>
      </c>
      <c r="L794" t="b">
        <v>0</v>
      </c>
    </row>
    <row r="795" spans="1:12" x14ac:dyDescent="0.3">
      <c r="A795">
        <v>47</v>
      </c>
      <c r="B795" t="s">
        <v>18</v>
      </c>
      <c r="C795" s="1">
        <v>9</v>
      </c>
      <c r="D795" t="s">
        <v>13</v>
      </c>
      <c r="E795" t="s">
        <v>26</v>
      </c>
      <c r="F795" t="s">
        <v>27</v>
      </c>
      <c r="G795" t="s">
        <v>23</v>
      </c>
      <c r="H795" t="s">
        <v>24</v>
      </c>
      <c r="I795" s="3">
        <v>11386</v>
      </c>
      <c r="J795" t="b">
        <v>1</v>
      </c>
      <c r="K795" t="b">
        <v>1</v>
      </c>
      <c r="L795" t="b">
        <v>1</v>
      </c>
    </row>
    <row r="796" spans="1:12" x14ac:dyDescent="0.3">
      <c r="A796">
        <v>32</v>
      </c>
      <c r="B796" t="s">
        <v>25</v>
      </c>
      <c r="C796" s="1">
        <v>7</v>
      </c>
      <c r="D796" t="s">
        <v>28</v>
      </c>
      <c r="E796" t="s">
        <v>26</v>
      </c>
      <c r="F796" t="s">
        <v>15</v>
      </c>
      <c r="G796" t="s">
        <v>23</v>
      </c>
      <c r="H796" t="s">
        <v>21</v>
      </c>
      <c r="I796" s="3">
        <v>14763</v>
      </c>
      <c r="J796" t="b">
        <v>1</v>
      </c>
      <c r="K796" t="b">
        <v>1</v>
      </c>
      <c r="L796" t="b">
        <v>0</v>
      </c>
    </row>
    <row r="797" spans="1:12" x14ac:dyDescent="0.3">
      <c r="A797">
        <v>44</v>
      </c>
      <c r="B797" t="s">
        <v>25</v>
      </c>
      <c r="C797" s="1">
        <v>6</v>
      </c>
      <c r="D797" t="s">
        <v>19</v>
      </c>
      <c r="E797" t="s">
        <v>14</v>
      </c>
      <c r="F797" t="s">
        <v>22</v>
      </c>
      <c r="G797" t="s">
        <v>16</v>
      </c>
      <c r="H797" t="s">
        <v>21</v>
      </c>
      <c r="I797" s="3">
        <v>16854</v>
      </c>
      <c r="J797" t="b">
        <v>1</v>
      </c>
      <c r="K797" t="b">
        <v>0</v>
      </c>
      <c r="L797" t="b">
        <v>0</v>
      </c>
    </row>
    <row r="798" spans="1:12" x14ac:dyDescent="0.3">
      <c r="A798">
        <v>51</v>
      </c>
      <c r="B798" t="s">
        <v>25</v>
      </c>
      <c r="C798" s="1">
        <v>1</v>
      </c>
      <c r="D798" t="s">
        <v>19</v>
      </c>
      <c r="E798" t="s">
        <v>14</v>
      </c>
      <c r="F798" t="s">
        <v>22</v>
      </c>
      <c r="G798" t="s">
        <v>16</v>
      </c>
      <c r="H798" t="s">
        <v>17</v>
      </c>
      <c r="I798" s="3">
        <v>17637</v>
      </c>
      <c r="J798" t="b">
        <v>0</v>
      </c>
      <c r="K798" t="b">
        <v>1</v>
      </c>
      <c r="L798" t="b">
        <v>1</v>
      </c>
    </row>
    <row r="799" spans="1:12" x14ac:dyDescent="0.3">
      <c r="A799">
        <v>55</v>
      </c>
      <c r="B799" t="s">
        <v>12</v>
      </c>
      <c r="C799" s="1">
        <v>1</v>
      </c>
      <c r="D799" t="s">
        <v>13</v>
      </c>
      <c r="E799" t="s">
        <v>14</v>
      </c>
      <c r="F799" t="s">
        <v>27</v>
      </c>
      <c r="G799" t="s">
        <v>16</v>
      </c>
      <c r="H799" t="s">
        <v>17</v>
      </c>
      <c r="I799" s="3">
        <v>14841</v>
      </c>
      <c r="J799" t="b">
        <v>0</v>
      </c>
      <c r="K799" t="b">
        <v>0</v>
      </c>
      <c r="L799" t="b">
        <v>1</v>
      </c>
    </row>
    <row r="800" spans="1:12" x14ac:dyDescent="0.3">
      <c r="A800">
        <v>50</v>
      </c>
      <c r="B800" t="s">
        <v>18</v>
      </c>
      <c r="C800" s="1">
        <v>2</v>
      </c>
      <c r="D800" t="s">
        <v>28</v>
      </c>
      <c r="E800" t="s">
        <v>26</v>
      </c>
      <c r="F800" t="s">
        <v>15</v>
      </c>
      <c r="G800" t="s">
        <v>29</v>
      </c>
      <c r="H800" t="s">
        <v>21</v>
      </c>
      <c r="I800" s="3">
        <v>13867</v>
      </c>
      <c r="J800" t="b">
        <v>1</v>
      </c>
      <c r="K800" t="b">
        <v>0</v>
      </c>
      <c r="L800" t="b">
        <v>1</v>
      </c>
    </row>
    <row r="801" spans="1:12" x14ac:dyDescent="0.3">
      <c r="A801">
        <v>41</v>
      </c>
      <c r="B801" t="s">
        <v>12</v>
      </c>
      <c r="C801" s="1">
        <v>6</v>
      </c>
      <c r="D801" t="s">
        <v>28</v>
      </c>
      <c r="E801" t="s">
        <v>26</v>
      </c>
      <c r="F801" t="s">
        <v>15</v>
      </c>
      <c r="G801" t="s">
        <v>29</v>
      </c>
      <c r="H801" t="s">
        <v>17</v>
      </c>
      <c r="I801" s="3">
        <v>13793</v>
      </c>
      <c r="J801" t="b">
        <v>1</v>
      </c>
      <c r="K801" t="b">
        <v>1</v>
      </c>
      <c r="L801" t="b">
        <v>0</v>
      </c>
    </row>
    <row r="802" spans="1:12" x14ac:dyDescent="0.3">
      <c r="A802">
        <v>32</v>
      </c>
      <c r="B802" t="s">
        <v>12</v>
      </c>
      <c r="C802" s="1">
        <v>6</v>
      </c>
      <c r="D802" t="s">
        <v>13</v>
      </c>
      <c r="E802" t="s">
        <v>26</v>
      </c>
      <c r="F802" t="s">
        <v>27</v>
      </c>
      <c r="G802" t="s">
        <v>16</v>
      </c>
      <c r="H802" t="s">
        <v>21</v>
      </c>
      <c r="I802" s="3">
        <v>17373</v>
      </c>
      <c r="J802" t="b">
        <v>0</v>
      </c>
      <c r="K802" t="b">
        <v>0</v>
      </c>
      <c r="L802" t="b">
        <v>1</v>
      </c>
    </row>
    <row r="803" spans="1:12" x14ac:dyDescent="0.3">
      <c r="A803">
        <v>47</v>
      </c>
      <c r="B803" t="s">
        <v>25</v>
      </c>
      <c r="C803" s="1">
        <v>2</v>
      </c>
      <c r="D803" t="s">
        <v>19</v>
      </c>
      <c r="E803" t="s">
        <v>14</v>
      </c>
      <c r="F803" t="s">
        <v>15</v>
      </c>
      <c r="G803" t="s">
        <v>23</v>
      </c>
      <c r="H803" t="s">
        <v>24</v>
      </c>
      <c r="I803" s="3">
        <v>12513</v>
      </c>
      <c r="J803" t="b">
        <v>1</v>
      </c>
      <c r="K803" t="b">
        <v>0</v>
      </c>
      <c r="L803" t="b">
        <v>1</v>
      </c>
    </row>
    <row r="804" spans="1:12" x14ac:dyDescent="0.3">
      <c r="A804">
        <v>59</v>
      </c>
      <c r="B804" t="s">
        <v>12</v>
      </c>
      <c r="C804" s="1">
        <v>1</v>
      </c>
      <c r="D804" t="s">
        <v>19</v>
      </c>
      <c r="E804" t="s">
        <v>26</v>
      </c>
      <c r="F804" t="s">
        <v>27</v>
      </c>
      <c r="G804" t="s">
        <v>16</v>
      </c>
      <c r="H804" t="s">
        <v>17</v>
      </c>
      <c r="I804" s="3">
        <v>13803</v>
      </c>
      <c r="J804" t="b">
        <v>0</v>
      </c>
      <c r="K804" t="b">
        <v>1</v>
      </c>
      <c r="L804" t="b">
        <v>1</v>
      </c>
    </row>
    <row r="805" spans="1:12" x14ac:dyDescent="0.3">
      <c r="A805">
        <v>34</v>
      </c>
      <c r="B805" t="s">
        <v>25</v>
      </c>
      <c r="C805" s="1">
        <v>5</v>
      </c>
      <c r="D805" t="s">
        <v>19</v>
      </c>
      <c r="E805" t="s">
        <v>20</v>
      </c>
      <c r="F805" t="s">
        <v>15</v>
      </c>
      <c r="G805" t="s">
        <v>29</v>
      </c>
      <c r="H805" t="s">
        <v>24</v>
      </c>
      <c r="I805" s="3">
        <v>12327</v>
      </c>
      <c r="J805" t="b">
        <v>1</v>
      </c>
      <c r="K805" t="b">
        <v>0</v>
      </c>
      <c r="L805" t="b">
        <v>1</v>
      </c>
    </row>
    <row r="806" spans="1:12" x14ac:dyDescent="0.3">
      <c r="A806">
        <v>22</v>
      </c>
      <c r="B806" t="s">
        <v>18</v>
      </c>
      <c r="C806" s="1">
        <v>5</v>
      </c>
      <c r="D806" t="s">
        <v>13</v>
      </c>
      <c r="E806" t="s">
        <v>26</v>
      </c>
      <c r="F806" t="s">
        <v>27</v>
      </c>
      <c r="G806" t="s">
        <v>23</v>
      </c>
      <c r="H806" t="s">
        <v>24</v>
      </c>
      <c r="I806" s="3">
        <v>18809</v>
      </c>
      <c r="J806" t="b">
        <v>0</v>
      </c>
      <c r="K806" t="b">
        <v>1</v>
      </c>
      <c r="L806" t="b">
        <v>0</v>
      </c>
    </row>
    <row r="807" spans="1:12" x14ac:dyDescent="0.3">
      <c r="A807">
        <v>46</v>
      </c>
      <c r="B807" t="s">
        <v>25</v>
      </c>
      <c r="C807" s="1">
        <v>2</v>
      </c>
      <c r="D807" t="s">
        <v>19</v>
      </c>
      <c r="E807" t="s">
        <v>20</v>
      </c>
      <c r="F807" t="s">
        <v>15</v>
      </c>
      <c r="G807" t="s">
        <v>29</v>
      </c>
      <c r="H807" t="s">
        <v>24</v>
      </c>
      <c r="I807" s="3">
        <v>12165</v>
      </c>
      <c r="J807" t="b">
        <v>0</v>
      </c>
      <c r="K807" t="b">
        <v>1</v>
      </c>
      <c r="L807" t="b">
        <v>0</v>
      </c>
    </row>
    <row r="808" spans="1:12" x14ac:dyDescent="0.3">
      <c r="A808">
        <v>21</v>
      </c>
      <c r="B808" t="s">
        <v>12</v>
      </c>
      <c r="C808" s="1">
        <v>6</v>
      </c>
      <c r="D808" t="s">
        <v>13</v>
      </c>
      <c r="E808" t="s">
        <v>26</v>
      </c>
      <c r="F808" t="s">
        <v>27</v>
      </c>
      <c r="G808" t="s">
        <v>23</v>
      </c>
      <c r="H808" t="s">
        <v>21</v>
      </c>
      <c r="I808" s="3">
        <v>13308</v>
      </c>
      <c r="J808" t="b">
        <v>0</v>
      </c>
      <c r="K808" t="b">
        <v>1</v>
      </c>
      <c r="L808" t="b">
        <v>0</v>
      </c>
    </row>
    <row r="809" spans="1:12" x14ac:dyDescent="0.3">
      <c r="A809">
        <v>27</v>
      </c>
      <c r="B809" t="s">
        <v>12</v>
      </c>
      <c r="C809" s="1">
        <v>9</v>
      </c>
      <c r="D809" t="s">
        <v>13</v>
      </c>
      <c r="E809" t="s">
        <v>14</v>
      </c>
      <c r="F809" t="s">
        <v>15</v>
      </c>
      <c r="G809" t="s">
        <v>29</v>
      </c>
      <c r="H809" t="s">
        <v>24</v>
      </c>
      <c r="I809" s="3">
        <v>16452</v>
      </c>
      <c r="J809" t="b">
        <v>0</v>
      </c>
      <c r="K809" t="b">
        <v>0</v>
      </c>
      <c r="L809" t="b">
        <v>1</v>
      </c>
    </row>
    <row r="810" spans="1:12" x14ac:dyDescent="0.3">
      <c r="A810">
        <v>34</v>
      </c>
      <c r="B810" t="s">
        <v>25</v>
      </c>
      <c r="C810" s="1">
        <v>2</v>
      </c>
      <c r="D810" t="s">
        <v>28</v>
      </c>
      <c r="E810" t="s">
        <v>26</v>
      </c>
      <c r="F810" t="s">
        <v>22</v>
      </c>
      <c r="G810" t="s">
        <v>23</v>
      </c>
      <c r="H810" t="s">
        <v>24</v>
      </c>
      <c r="I810" s="3">
        <v>18067</v>
      </c>
      <c r="J810" t="b">
        <v>1</v>
      </c>
      <c r="K810" t="b">
        <v>0</v>
      </c>
      <c r="L810" t="b">
        <v>1</v>
      </c>
    </row>
    <row r="811" spans="1:12" x14ac:dyDescent="0.3">
      <c r="A811">
        <v>27</v>
      </c>
      <c r="B811" t="s">
        <v>25</v>
      </c>
      <c r="C811" s="1">
        <v>2</v>
      </c>
      <c r="D811" t="s">
        <v>19</v>
      </c>
      <c r="E811" t="s">
        <v>20</v>
      </c>
      <c r="F811" t="s">
        <v>15</v>
      </c>
      <c r="G811" t="s">
        <v>23</v>
      </c>
      <c r="H811" t="s">
        <v>24</v>
      </c>
      <c r="I811" s="3">
        <v>17642</v>
      </c>
      <c r="J811" t="b">
        <v>1</v>
      </c>
      <c r="K811" t="b">
        <v>0</v>
      </c>
      <c r="L811" t="b">
        <v>1</v>
      </c>
    </row>
    <row r="812" spans="1:12" x14ac:dyDescent="0.3">
      <c r="A812">
        <v>34</v>
      </c>
      <c r="B812" t="s">
        <v>12</v>
      </c>
      <c r="C812" s="1">
        <v>3</v>
      </c>
      <c r="D812" t="s">
        <v>13</v>
      </c>
      <c r="E812" t="s">
        <v>20</v>
      </c>
      <c r="F812" t="s">
        <v>27</v>
      </c>
      <c r="G812" t="s">
        <v>23</v>
      </c>
      <c r="H812" t="s">
        <v>21</v>
      </c>
      <c r="I812" s="3">
        <v>16404</v>
      </c>
      <c r="J812" t="b">
        <v>0</v>
      </c>
      <c r="K812" t="b">
        <v>0</v>
      </c>
      <c r="L812" t="b">
        <v>1</v>
      </c>
    </row>
    <row r="813" spans="1:12" x14ac:dyDescent="0.3">
      <c r="A813">
        <v>37</v>
      </c>
      <c r="B813" t="s">
        <v>18</v>
      </c>
      <c r="C813" s="1">
        <v>7</v>
      </c>
      <c r="D813" t="s">
        <v>19</v>
      </c>
      <c r="E813" t="s">
        <v>26</v>
      </c>
      <c r="F813" t="s">
        <v>22</v>
      </c>
      <c r="G813" t="s">
        <v>23</v>
      </c>
      <c r="H813" t="s">
        <v>24</v>
      </c>
      <c r="I813" s="3">
        <v>10992</v>
      </c>
      <c r="J813" t="b">
        <v>0</v>
      </c>
      <c r="K813" t="b">
        <v>1</v>
      </c>
      <c r="L813" t="b">
        <v>1</v>
      </c>
    </row>
    <row r="814" spans="1:12" x14ac:dyDescent="0.3">
      <c r="A814">
        <v>41</v>
      </c>
      <c r="B814" t="s">
        <v>18</v>
      </c>
      <c r="C814" s="1">
        <v>6</v>
      </c>
      <c r="D814" t="s">
        <v>19</v>
      </c>
      <c r="E814" t="s">
        <v>20</v>
      </c>
      <c r="F814" t="s">
        <v>15</v>
      </c>
      <c r="G814" t="s">
        <v>29</v>
      </c>
      <c r="H814" t="s">
        <v>24</v>
      </c>
      <c r="I814" s="3">
        <v>15424</v>
      </c>
      <c r="J814" t="b">
        <v>0</v>
      </c>
      <c r="K814" t="b">
        <v>0</v>
      </c>
      <c r="L814" t="b">
        <v>1</v>
      </c>
    </row>
    <row r="815" spans="1:12" x14ac:dyDescent="0.3">
      <c r="A815">
        <v>22</v>
      </c>
      <c r="B815" t="s">
        <v>25</v>
      </c>
      <c r="C815" s="1">
        <v>8</v>
      </c>
      <c r="D815" t="s">
        <v>28</v>
      </c>
      <c r="E815" t="s">
        <v>20</v>
      </c>
      <c r="F815" t="s">
        <v>22</v>
      </c>
      <c r="G815" t="s">
        <v>29</v>
      </c>
      <c r="H815" t="s">
        <v>17</v>
      </c>
      <c r="I815" s="3">
        <v>19569</v>
      </c>
      <c r="J815" t="b">
        <v>0</v>
      </c>
      <c r="K815" t="b">
        <v>1</v>
      </c>
      <c r="L815" t="b">
        <v>0</v>
      </c>
    </row>
    <row r="816" spans="1:12" x14ac:dyDescent="0.3">
      <c r="A816">
        <v>51</v>
      </c>
      <c r="B816" t="s">
        <v>18</v>
      </c>
      <c r="C816" s="1">
        <v>8</v>
      </c>
      <c r="D816" t="s">
        <v>19</v>
      </c>
      <c r="E816" t="s">
        <v>14</v>
      </c>
      <c r="F816" t="s">
        <v>15</v>
      </c>
      <c r="G816" t="s">
        <v>23</v>
      </c>
      <c r="H816" t="s">
        <v>21</v>
      </c>
      <c r="I816" s="3">
        <v>14381</v>
      </c>
      <c r="J816" t="b">
        <v>1</v>
      </c>
      <c r="K816" t="b">
        <v>0</v>
      </c>
      <c r="L816" t="b">
        <v>0</v>
      </c>
    </row>
    <row r="817" spans="1:12" x14ac:dyDescent="0.3">
      <c r="A817">
        <v>23</v>
      </c>
      <c r="B817" t="s">
        <v>12</v>
      </c>
      <c r="C817" s="1">
        <v>6</v>
      </c>
      <c r="D817" t="s">
        <v>28</v>
      </c>
      <c r="E817" t="s">
        <v>26</v>
      </c>
      <c r="F817" t="s">
        <v>22</v>
      </c>
      <c r="G817" t="s">
        <v>23</v>
      </c>
      <c r="H817" t="s">
        <v>24</v>
      </c>
      <c r="I817" s="3">
        <v>13174</v>
      </c>
      <c r="J817" t="b">
        <v>0</v>
      </c>
      <c r="K817" t="b">
        <v>0</v>
      </c>
      <c r="L817" t="b">
        <v>1</v>
      </c>
    </row>
    <row r="818" spans="1:12" x14ac:dyDescent="0.3">
      <c r="A818">
        <v>19</v>
      </c>
      <c r="B818" t="s">
        <v>25</v>
      </c>
      <c r="C818" s="1">
        <v>3</v>
      </c>
      <c r="D818" t="s">
        <v>13</v>
      </c>
      <c r="E818" t="s">
        <v>26</v>
      </c>
      <c r="F818" t="s">
        <v>27</v>
      </c>
      <c r="G818" t="s">
        <v>29</v>
      </c>
      <c r="H818" t="s">
        <v>17</v>
      </c>
      <c r="I818" s="3">
        <v>14782</v>
      </c>
      <c r="J818" t="b">
        <v>0</v>
      </c>
      <c r="K818" t="b">
        <v>0</v>
      </c>
      <c r="L818" t="b">
        <v>0</v>
      </c>
    </row>
    <row r="819" spans="1:12" x14ac:dyDescent="0.3">
      <c r="A819">
        <v>30</v>
      </c>
      <c r="B819" t="s">
        <v>12</v>
      </c>
      <c r="C819" s="1">
        <v>3</v>
      </c>
      <c r="D819" t="s">
        <v>19</v>
      </c>
      <c r="E819" t="s">
        <v>26</v>
      </c>
      <c r="F819" t="s">
        <v>15</v>
      </c>
      <c r="G819" t="s">
        <v>23</v>
      </c>
      <c r="H819" t="s">
        <v>21</v>
      </c>
      <c r="I819" s="3">
        <v>19497</v>
      </c>
      <c r="J819" t="b">
        <v>0</v>
      </c>
      <c r="K819" t="b">
        <v>0</v>
      </c>
      <c r="L819" t="b">
        <v>1</v>
      </c>
    </row>
    <row r="820" spans="1:12" x14ac:dyDescent="0.3">
      <c r="A820">
        <v>60</v>
      </c>
      <c r="B820" t="s">
        <v>12</v>
      </c>
      <c r="C820" s="1">
        <v>1</v>
      </c>
      <c r="D820" t="s">
        <v>13</v>
      </c>
      <c r="E820" t="s">
        <v>20</v>
      </c>
      <c r="F820" t="s">
        <v>15</v>
      </c>
      <c r="G820" t="s">
        <v>23</v>
      </c>
      <c r="H820" t="s">
        <v>21</v>
      </c>
      <c r="I820" s="3">
        <v>15560</v>
      </c>
      <c r="J820" t="b">
        <v>0</v>
      </c>
      <c r="K820" t="b">
        <v>0</v>
      </c>
      <c r="L820" t="b">
        <v>1</v>
      </c>
    </row>
    <row r="821" spans="1:12" x14ac:dyDescent="0.3">
      <c r="A821">
        <v>60</v>
      </c>
      <c r="B821" t="s">
        <v>18</v>
      </c>
      <c r="C821" s="1">
        <v>7</v>
      </c>
      <c r="D821" t="s">
        <v>19</v>
      </c>
      <c r="E821" t="s">
        <v>26</v>
      </c>
      <c r="F821" t="s">
        <v>27</v>
      </c>
      <c r="G821" t="s">
        <v>23</v>
      </c>
      <c r="H821" t="s">
        <v>21</v>
      </c>
      <c r="I821" s="3">
        <v>17460</v>
      </c>
      <c r="J821" t="b">
        <v>0</v>
      </c>
      <c r="K821" t="b">
        <v>1</v>
      </c>
      <c r="L821" t="b">
        <v>0</v>
      </c>
    </row>
    <row r="822" spans="1:12" x14ac:dyDescent="0.3">
      <c r="A822">
        <v>28</v>
      </c>
      <c r="B822" t="s">
        <v>25</v>
      </c>
      <c r="C822" s="1">
        <v>5</v>
      </c>
      <c r="D822" t="s">
        <v>13</v>
      </c>
      <c r="E822" t="s">
        <v>26</v>
      </c>
      <c r="F822" t="s">
        <v>22</v>
      </c>
      <c r="G822" t="s">
        <v>16</v>
      </c>
      <c r="H822" t="s">
        <v>21</v>
      </c>
      <c r="I822" s="3">
        <v>13078</v>
      </c>
      <c r="J822" t="b">
        <v>0</v>
      </c>
      <c r="K822" t="b">
        <v>0</v>
      </c>
      <c r="L822" t="b">
        <v>1</v>
      </c>
    </row>
    <row r="823" spans="1:12" x14ac:dyDescent="0.3">
      <c r="A823">
        <v>64</v>
      </c>
      <c r="B823" t="s">
        <v>25</v>
      </c>
      <c r="C823" s="1">
        <v>4</v>
      </c>
      <c r="D823" t="s">
        <v>19</v>
      </c>
      <c r="E823" t="s">
        <v>14</v>
      </c>
      <c r="F823" t="s">
        <v>27</v>
      </c>
      <c r="G823" t="s">
        <v>23</v>
      </c>
      <c r="H823" t="s">
        <v>21</v>
      </c>
      <c r="I823" s="3">
        <v>12983</v>
      </c>
      <c r="J823" t="b">
        <v>0</v>
      </c>
      <c r="K823" t="b">
        <v>0</v>
      </c>
      <c r="L823" t="b">
        <v>0</v>
      </c>
    </row>
    <row r="824" spans="1:12" x14ac:dyDescent="0.3">
      <c r="A824">
        <v>40</v>
      </c>
      <c r="B824" t="s">
        <v>18</v>
      </c>
      <c r="C824" s="1">
        <v>4</v>
      </c>
      <c r="D824" t="s">
        <v>19</v>
      </c>
      <c r="E824" t="s">
        <v>14</v>
      </c>
      <c r="F824" t="s">
        <v>27</v>
      </c>
      <c r="G824" t="s">
        <v>16</v>
      </c>
      <c r="H824" t="s">
        <v>21</v>
      </c>
      <c r="I824" s="3">
        <v>17259</v>
      </c>
      <c r="J824" t="b">
        <v>1</v>
      </c>
      <c r="K824" t="b">
        <v>0</v>
      </c>
      <c r="L824" t="b">
        <v>1</v>
      </c>
    </row>
    <row r="825" spans="1:12" x14ac:dyDescent="0.3">
      <c r="A825">
        <v>33</v>
      </c>
      <c r="B825" t="s">
        <v>12</v>
      </c>
      <c r="C825" s="1">
        <v>4</v>
      </c>
      <c r="D825" t="s">
        <v>19</v>
      </c>
      <c r="E825" t="s">
        <v>14</v>
      </c>
      <c r="F825" t="s">
        <v>22</v>
      </c>
      <c r="G825" t="s">
        <v>23</v>
      </c>
      <c r="H825" t="s">
        <v>24</v>
      </c>
      <c r="I825" s="3">
        <v>16054</v>
      </c>
      <c r="J825" t="b">
        <v>0</v>
      </c>
      <c r="K825" t="b">
        <v>0</v>
      </c>
      <c r="L825" t="b">
        <v>1</v>
      </c>
    </row>
    <row r="826" spans="1:12" x14ac:dyDescent="0.3">
      <c r="A826">
        <v>48</v>
      </c>
      <c r="B826" t="s">
        <v>12</v>
      </c>
      <c r="C826" s="1">
        <v>6</v>
      </c>
      <c r="D826" t="s">
        <v>19</v>
      </c>
      <c r="E826" t="s">
        <v>20</v>
      </c>
      <c r="F826" t="s">
        <v>27</v>
      </c>
      <c r="G826" t="s">
        <v>29</v>
      </c>
      <c r="H826" t="s">
        <v>24</v>
      </c>
      <c r="I826" s="3">
        <v>12523</v>
      </c>
      <c r="J826" t="b">
        <v>0</v>
      </c>
      <c r="K826" t="b">
        <v>1</v>
      </c>
      <c r="L826" t="b">
        <v>0</v>
      </c>
    </row>
    <row r="827" spans="1:12" x14ac:dyDescent="0.3">
      <c r="A827">
        <v>28</v>
      </c>
      <c r="B827" t="s">
        <v>12</v>
      </c>
      <c r="C827" s="1">
        <v>8</v>
      </c>
      <c r="D827" t="s">
        <v>19</v>
      </c>
      <c r="E827" t="s">
        <v>26</v>
      </c>
      <c r="F827" t="s">
        <v>15</v>
      </c>
      <c r="G827" t="s">
        <v>16</v>
      </c>
      <c r="H827" t="s">
        <v>24</v>
      </c>
      <c r="I827" s="3">
        <v>19677</v>
      </c>
      <c r="J827" t="b">
        <v>0</v>
      </c>
      <c r="K827" t="b">
        <v>0</v>
      </c>
      <c r="L827" t="b">
        <v>1</v>
      </c>
    </row>
    <row r="828" spans="1:12" x14ac:dyDescent="0.3">
      <c r="A828">
        <v>33</v>
      </c>
      <c r="B828" t="s">
        <v>12</v>
      </c>
      <c r="C828" s="1">
        <v>8</v>
      </c>
      <c r="D828" t="s">
        <v>19</v>
      </c>
      <c r="E828" t="s">
        <v>14</v>
      </c>
      <c r="F828" t="s">
        <v>15</v>
      </c>
      <c r="G828" t="s">
        <v>16</v>
      </c>
      <c r="H828" t="s">
        <v>24</v>
      </c>
      <c r="I828" s="3">
        <v>14581</v>
      </c>
      <c r="J828" t="b">
        <v>1</v>
      </c>
      <c r="K828" t="b">
        <v>1</v>
      </c>
      <c r="L828" t="b">
        <v>1</v>
      </c>
    </row>
    <row r="829" spans="1:12" x14ac:dyDescent="0.3">
      <c r="A829">
        <v>25</v>
      </c>
      <c r="B829" t="s">
        <v>25</v>
      </c>
      <c r="C829" s="1">
        <v>5</v>
      </c>
      <c r="D829" t="s">
        <v>19</v>
      </c>
      <c r="E829" t="s">
        <v>14</v>
      </c>
      <c r="F829" t="s">
        <v>15</v>
      </c>
      <c r="G829" t="s">
        <v>23</v>
      </c>
      <c r="H829" t="s">
        <v>17</v>
      </c>
      <c r="I829" s="3">
        <v>15609</v>
      </c>
      <c r="J829" t="b">
        <v>1</v>
      </c>
      <c r="K829" t="b">
        <v>0</v>
      </c>
      <c r="L829" t="b">
        <v>1</v>
      </c>
    </row>
    <row r="830" spans="1:12" x14ac:dyDescent="0.3">
      <c r="A830">
        <v>21</v>
      </c>
      <c r="B830" t="s">
        <v>25</v>
      </c>
      <c r="C830" s="1">
        <v>6</v>
      </c>
      <c r="D830" t="s">
        <v>19</v>
      </c>
      <c r="E830" t="s">
        <v>14</v>
      </c>
      <c r="F830" t="s">
        <v>27</v>
      </c>
      <c r="G830" t="s">
        <v>23</v>
      </c>
      <c r="H830" t="s">
        <v>24</v>
      </c>
      <c r="I830" s="3">
        <v>12001</v>
      </c>
      <c r="J830" t="b">
        <v>1</v>
      </c>
      <c r="K830" t="b">
        <v>1</v>
      </c>
      <c r="L830" t="b">
        <v>0</v>
      </c>
    </row>
    <row r="831" spans="1:12" x14ac:dyDescent="0.3">
      <c r="A831">
        <v>57</v>
      </c>
      <c r="B831" t="s">
        <v>18</v>
      </c>
      <c r="C831" s="1">
        <v>4</v>
      </c>
      <c r="D831" t="s">
        <v>19</v>
      </c>
      <c r="E831" t="s">
        <v>26</v>
      </c>
      <c r="F831" t="s">
        <v>15</v>
      </c>
      <c r="G831" t="s">
        <v>16</v>
      </c>
      <c r="H831" t="s">
        <v>21</v>
      </c>
      <c r="I831" s="3">
        <v>11387</v>
      </c>
      <c r="J831" t="b">
        <v>0</v>
      </c>
      <c r="K831" t="b">
        <v>1</v>
      </c>
      <c r="L831" t="b">
        <v>1</v>
      </c>
    </row>
    <row r="832" spans="1:12" x14ac:dyDescent="0.3">
      <c r="A832">
        <v>21</v>
      </c>
      <c r="B832" t="s">
        <v>18</v>
      </c>
      <c r="C832" s="1">
        <v>9</v>
      </c>
      <c r="D832" t="s">
        <v>13</v>
      </c>
      <c r="E832" t="s">
        <v>26</v>
      </c>
      <c r="F832" t="s">
        <v>15</v>
      </c>
      <c r="G832" t="s">
        <v>29</v>
      </c>
      <c r="H832" t="s">
        <v>24</v>
      </c>
      <c r="I832" s="3">
        <v>16552</v>
      </c>
      <c r="J832" t="b">
        <v>0</v>
      </c>
      <c r="K832" t="b">
        <v>1</v>
      </c>
      <c r="L832" t="b">
        <v>1</v>
      </c>
    </row>
    <row r="833" spans="1:12" x14ac:dyDescent="0.3">
      <c r="A833">
        <v>42</v>
      </c>
      <c r="B833" t="s">
        <v>25</v>
      </c>
      <c r="C833" s="1">
        <v>8</v>
      </c>
      <c r="D833" t="s">
        <v>28</v>
      </c>
      <c r="E833" t="s">
        <v>26</v>
      </c>
      <c r="F833" t="s">
        <v>15</v>
      </c>
      <c r="G833" t="s">
        <v>29</v>
      </c>
      <c r="H833" t="s">
        <v>24</v>
      </c>
      <c r="I833" s="3">
        <v>11030</v>
      </c>
      <c r="J833" t="b">
        <v>0</v>
      </c>
      <c r="K833" t="b">
        <v>1</v>
      </c>
      <c r="L833" t="b">
        <v>1</v>
      </c>
    </row>
    <row r="834" spans="1:12" x14ac:dyDescent="0.3">
      <c r="A834">
        <v>20</v>
      </c>
      <c r="B834" t="s">
        <v>25</v>
      </c>
      <c r="C834" s="1">
        <v>1</v>
      </c>
      <c r="D834" t="s">
        <v>19</v>
      </c>
      <c r="E834" t="s">
        <v>20</v>
      </c>
      <c r="F834" t="s">
        <v>15</v>
      </c>
      <c r="G834" t="s">
        <v>23</v>
      </c>
      <c r="H834" t="s">
        <v>21</v>
      </c>
      <c r="I834" s="3">
        <v>19957</v>
      </c>
      <c r="J834" t="b">
        <v>1</v>
      </c>
      <c r="K834" t="b">
        <v>1</v>
      </c>
      <c r="L834" t="b">
        <v>0</v>
      </c>
    </row>
    <row r="835" spans="1:12" x14ac:dyDescent="0.3">
      <c r="A835">
        <v>49</v>
      </c>
      <c r="B835" t="s">
        <v>12</v>
      </c>
      <c r="C835" s="1">
        <v>2</v>
      </c>
      <c r="D835" t="s">
        <v>28</v>
      </c>
      <c r="E835" t="s">
        <v>20</v>
      </c>
      <c r="F835" t="s">
        <v>15</v>
      </c>
      <c r="G835" t="s">
        <v>29</v>
      </c>
      <c r="H835" t="s">
        <v>24</v>
      </c>
      <c r="I835" s="3">
        <v>11220</v>
      </c>
      <c r="J835" t="b">
        <v>0</v>
      </c>
      <c r="K835" t="b">
        <v>0</v>
      </c>
      <c r="L835" t="b">
        <v>0</v>
      </c>
    </row>
    <row r="836" spans="1:12" x14ac:dyDescent="0.3">
      <c r="A836">
        <v>20</v>
      </c>
      <c r="B836" t="s">
        <v>12</v>
      </c>
      <c r="C836" s="1">
        <v>9</v>
      </c>
      <c r="D836" t="s">
        <v>19</v>
      </c>
      <c r="E836" t="s">
        <v>14</v>
      </c>
      <c r="F836" t="s">
        <v>15</v>
      </c>
      <c r="G836" t="s">
        <v>29</v>
      </c>
      <c r="H836" t="s">
        <v>24</v>
      </c>
      <c r="I836" s="3">
        <v>16035</v>
      </c>
      <c r="J836" t="b">
        <v>1</v>
      </c>
      <c r="K836" t="b">
        <v>1</v>
      </c>
      <c r="L836" t="b">
        <v>0</v>
      </c>
    </row>
    <row r="837" spans="1:12" x14ac:dyDescent="0.3">
      <c r="A837">
        <v>44</v>
      </c>
      <c r="B837" t="s">
        <v>18</v>
      </c>
      <c r="C837" s="1">
        <v>8</v>
      </c>
      <c r="D837" t="s">
        <v>19</v>
      </c>
      <c r="E837" t="s">
        <v>26</v>
      </c>
      <c r="F837" t="s">
        <v>27</v>
      </c>
      <c r="G837" t="s">
        <v>23</v>
      </c>
      <c r="H837" t="s">
        <v>24</v>
      </c>
      <c r="I837" s="3">
        <v>19810</v>
      </c>
      <c r="J837" t="b">
        <v>1</v>
      </c>
      <c r="K837" t="b">
        <v>0</v>
      </c>
      <c r="L837" t="b">
        <v>0</v>
      </c>
    </row>
    <row r="838" spans="1:12" x14ac:dyDescent="0.3">
      <c r="A838">
        <v>46</v>
      </c>
      <c r="B838" t="s">
        <v>25</v>
      </c>
      <c r="C838" s="1">
        <v>3</v>
      </c>
      <c r="D838" t="s">
        <v>13</v>
      </c>
      <c r="E838" t="s">
        <v>14</v>
      </c>
      <c r="F838" t="s">
        <v>15</v>
      </c>
      <c r="G838" t="s">
        <v>29</v>
      </c>
      <c r="H838" t="s">
        <v>17</v>
      </c>
      <c r="I838" s="3">
        <v>19455</v>
      </c>
      <c r="J838" t="b">
        <v>1</v>
      </c>
      <c r="K838" t="b">
        <v>1</v>
      </c>
      <c r="L838" t="b">
        <v>0</v>
      </c>
    </row>
    <row r="839" spans="1:12" x14ac:dyDescent="0.3">
      <c r="A839">
        <v>49</v>
      </c>
      <c r="B839" t="s">
        <v>18</v>
      </c>
      <c r="C839" s="1">
        <v>8</v>
      </c>
      <c r="D839" t="s">
        <v>13</v>
      </c>
      <c r="E839" t="s">
        <v>26</v>
      </c>
      <c r="F839" t="s">
        <v>15</v>
      </c>
      <c r="G839" t="s">
        <v>23</v>
      </c>
      <c r="H839" t="s">
        <v>24</v>
      </c>
      <c r="I839" s="3">
        <v>16523</v>
      </c>
      <c r="J839" t="b">
        <v>1</v>
      </c>
      <c r="K839" t="b">
        <v>1</v>
      </c>
      <c r="L839" t="b">
        <v>1</v>
      </c>
    </row>
    <row r="840" spans="1:12" x14ac:dyDescent="0.3">
      <c r="A840">
        <v>36</v>
      </c>
      <c r="B840" t="s">
        <v>25</v>
      </c>
      <c r="C840" s="1">
        <v>1</v>
      </c>
      <c r="D840" t="s">
        <v>28</v>
      </c>
      <c r="E840" t="s">
        <v>26</v>
      </c>
      <c r="F840" t="s">
        <v>22</v>
      </c>
      <c r="G840" t="s">
        <v>16</v>
      </c>
      <c r="H840" t="s">
        <v>21</v>
      </c>
      <c r="I840" s="3">
        <v>18074</v>
      </c>
      <c r="J840" t="b">
        <v>1</v>
      </c>
      <c r="K840" t="b">
        <v>0</v>
      </c>
      <c r="L840" t="b">
        <v>0</v>
      </c>
    </row>
    <row r="841" spans="1:12" x14ac:dyDescent="0.3">
      <c r="A841">
        <v>38</v>
      </c>
      <c r="B841" t="s">
        <v>12</v>
      </c>
      <c r="C841" s="1">
        <v>4</v>
      </c>
      <c r="D841" t="s">
        <v>13</v>
      </c>
      <c r="E841" t="s">
        <v>26</v>
      </c>
      <c r="F841" t="s">
        <v>27</v>
      </c>
      <c r="G841" t="s">
        <v>23</v>
      </c>
      <c r="H841" t="s">
        <v>21</v>
      </c>
      <c r="I841" s="3">
        <v>19063</v>
      </c>
      <c r="J841" t="b">
        <v>0</v>
      </c>
      <c r="K841" t="b">
        <v>1</v>
      </c>
      <c r="L841" t="b">
        <v>0</v>
      </c>
    </row>
    <row r="842" spans="1:12" x14ac:dyDescent="0.3">
      <c r="A842">
        <v>22</v>
      </c>
      <c r="B842" t="s">
        <v>18</v>
      </c>
      <c r="C842" s="1">
        <v>3</v>
      </c>
      <c r="D842" t="s">
        <v>13</v>
      </c>
      <c r="E842" t="s">
        <v>20</v>
      </c>
      <c r="F842" t="s">
        <v>27</v>
      </c>
      <c r="G842" t="s">
        <v>16</v>
      </c>
      <c r="H842" t="s">
        <v>24</v>
      </c>
      <c r="I842" s="3">
        <v>10834</v>
      </c>
      <c r="J842" t="b">
        <v>0</v>
      </c>
      <c r="K842" t="b">
        <v>1</v>
      </c>
      <c r="L842" t="b">
        <v>1</v>
      </c>
    </row>
    <row r="843" spans="1:12" x14ac:dyDescent="0.3">
      <c r="A843">
        <v>35</v>
      </c>
      <c r="B843" t="s">
        <v>18</v>
      </c>
      <c r="C843" s="1">
        <v>6</v>
      </c>
      <c r="D843" t="s">
        <v>28</v>
      </c>
      <c r="E843" t="s">
        <v>20</v>
      </c>
      <c r="F843" t="s">
        <v>27</v>
      </c>
      <c r="G843" t="s">
        <v>16</v>
      </c>
      <c r="H843" t="s">
        <v>24</v>
      </c>
      <c r="I843" s="3">
        <v>19110</v>
      </c>
      <c r="J843" t="b">
        <v>1</v>
      </c>
      <c r="K843" t="b">
        <v>1</v>
      </c>
      <c r="L843" t="b">
        <v>0</v>
      </c>
    </row>
    <row r="844" spans="1:12" x14ac:dyDescent="0.3">
      <c r="A844">
        <v>45</v>
      </c>
      <c r="B844" t="s">
        <v>25</v>
      </c>
      <c r="C844" s="1">
        <v>7</v>
      </c>
      <c r="D844" t="s">
        <v>13</v>
      </c>
      <c r="E844" t="s">
        <v>26</v>
      </c>
      <c r="F844" t="s">
        <v>27</v>
      </c>
      <c r="G844" t="s">
        <v>29</v>
      </c>
      <c r="H844" t="s">
        <v>24</v>
      </c>
      <c r="I844" s="3">
        <v>11724</v>
      </c>
      <c r="J844" t="b">
        <v>0</v>
      </c>
      <c r="K844" t="b">
        <v>1</v>
      </c>
      <c r="L844" t="b">
        <v>1</v>
      </c>
    </row>
    <row r="845" spans="1:12" x14ac:dyDescent="0.3">
      <c r="A845">
        <v>59</v>
      </c>
      <c r="B845" t="s">
        <v>12</v>
      </c>
      <c r="C845" s="1">
        <v>4</v>
      </c>
      <c r="D845" t="s">
        <v>19</v>
      </c>
      <c r="E845" t="s">
        <v>14</v>
      </c>
      <c r="F845" t="s">
        <v>15</v>
      </c>
      <c r="G845" t="s">
        <v>29</v>
      </c>
      <c r="H845" t="s">
        <v>21</v>
      </c>
      <c r="I845" s="3">
        <v>16598</v>
      </c>
      <c r="J845" t="b">
        <v>0</v>
      </c>
      <c r="K845" t="b">
        <v>0</v>
      </c>
      <c r="L845" t="b">
        <v>0</v>
      </c>
    </row>
    <row r="846" spans="1:12" x14ac:dyDescent="0.3">
      <c r="A846">
        <v>39</v>
      </c>
      <c r="B846" t="s">
        <v>18</v>
      </c>
      <c r="C846" s="1">
        <v>7</v>
      </c>
      <c r="D846" t="s">
        <v>28</v>
      </c>
      <c r="E846" t="s">
        <v>26</v>
      </c>
      <c r="F846" t="s">
        <v>15</v>
      </c>
      <c r="G846" t="s">
        <v>29</v>
      </c>
      <c r="H846" t="s">
        <v>21</v>
      </c>
      <c r="I846" s="3">
        <v>12413</v>
      </c>
      <c r="J846" t="b">
        <v>1</v>
      </c>
      <c r="K846" t="b">
        <v>1</v>
      </c>
      <c r="L846" t="b">
        <v>1</v>
      </c>
    </row>
    <row r="847" spans="1:12" x14ac:dyDescent="0.3">
      <c r="A847">
        <v>38</v>
      </c>
      <c r="B847" t="s">
        <v>12</v>
      </c>
      <c r="C847" s="1">
        <v>9</v>
      </c>
      <c r="D847" t="s">
        <v>28</v>
      </c>
      <c r="E847" t="s">
        <v>26</v>
      </c>
      <c r="F847" t="s">
        <v>22</v>
      </c>
      <c r="G847" t="s">
        <v>23</v>
      </c>
      <c r="H847" t="s">
        <v>17</v>
      </c>
      <c r="I847" s="3">
        <v>19505</v>
      </c>
      <c r="J847" t="b">
        <v>1</v>
      </c>
      <c r="K847" t="b">
        <v>1</v>
      </c>
      <c r="L847" t="b">
        <v>1</v>
      </c>
    </row>
    <row r="848" spans="1:12" x14ac:dyDescent="0.3">
      <c r="A848">
        <v>23</v>
      </c>
      <c r="B848" t="s">
        <v>18</v>
      </c>
      <c r="C848" s="1">
        <v>2</v>
      </c>
      <c r="D848" t="s">
        <v>19</v>
      </c>
      <c r="E848" t="s">
        <v>14</v>
      </c>
      <c r="F848" t="s">
        <v>22</v>
      </c>
      <c r="G848" t="s">
        <v>29</v>
      </c>
      <c r="H848" t="s">
        <v>17</v>
      </c>
      <c r="I848" s="3">
        <v>15993</v>
      </c>
      <c r="J848" t="b">
        <v>0</v>
      </c>
      <c r="K848" t="b">
        <v>0</v>
      </c>
      <c r="L848" t="b">
        <v>0</v>
      </c>
    </row>
    <row r="849" spans="1:12" x14ac:dyDescent="0.3">
      <c r="A849">
        <v>18</v>
      </c>
      <c r="B849" t="s">
        <v>12</v>
      </c>
      <c r="C849" s="1">
        <v>3</v>
      </c>
      <c r="D849" t="s">
        <v>13</v>
      </c>
      <c r="E849" t="s">
        <v>26</v>
      </c>
      <c r="F849" t="s">
        <v>27</v>
      </c>
      <c r="G849" t="s">
        <v>16</v>
      </c>
      <c r="H849" t="s">
        <v>17</v>
      </c>
      <c r="I849" s="3">
        <v>14498</v>
      </c>
      <c r="J849" t="b">
        <v>0</v>
      </c>
      <c r="K849" t="b">
        <v>0</v>
      </c>
      <c r="L849" t="b">
        <v>0</v>
      </c>
    </row>
    <row r="850" spans="1:12" x14ac:dyDescent="0.3">
      <c r="A850">
        <v>22</v>
      </c>
      <c r="B850" t="s">
        <v>25</v>
      </c>
      <c r="C850" s="1">
        <v>5</v>
      </c>
      <c r="D850" t="s">
        <v>28</v>
      </c>
      <c r="E850" t="s">
        <v>14</v>
      </c>
      <c r="F850" t="s">
        <v>22</v>
      </c>
      <c r="G850" t="s">
        <v>29</v>
      </c>
      <c r="H850" t="s">
        <v>21</v>
      </c>
      <c r="I850" s="3">
        <v>12105</v>
      </c>
      <c r="J850" t="b">
        <v>0</v>
      </c>
      <c r="K850" t="b">
        <v>1</v>
      </c>
      <c r="L850" t="b">
        <v>1</v>
      </c>
    </row>
    <row r="851" spans="1:12" x14ac:dyDescent="0.3">
      <c r="A851">
        <v>58</v>
      </c>
      <c r="B851" t="s">
        <v>18</v>
      </c>
      <c r="C851" s="1">
        <v>3</v>
      </c>
      <c r="D851" t="s">
        <v>28</v>
      </c>
      <c r="E851" t="s">
        <v>20</v>
      </c>
      <c r="F851" t="s">
        <v>22</v>
      </c>
      <c r="G851" t="s">
        <v>29</v>
      </c>
      <c r="H851" t="s">
        <v>17</v>
      </c>
      <c r="I851" s="3">
        <v>12568</v>
      </c>
      <c r="J851" t="b">
        <v>0</v>
      </c>
      <c r="K851" t="b">
        <v>1</v>
      </c>
      <c r="L851" t="b">
        <v>1</v>
      </c>
    </row>
    <row r="852" spans="1:12" x14ac:dyDescent="0.3">
      <c r="A852">
        <v>29</v>
      </c>
      <c r="B852" t="s">
        <v>18</v>
      </c>
      <c r="C852" s="1">
        <v>8</v>
      </c>
      <c r="D852" t="s">
        <v>19</v>
      </c>
      <c r="E852" t="s">
        <v>20</v>
      </c>
      <c r="F852" t="s">
        <v>27</v>
      </c>
      <c r="G852" t="s">
        <v>23</v>
      </c>
      <c r="H852" t="s">
        <v>24</v>
      </c>
      <c r="I852" s="3">
        <v>19330</v>
      </c>
      <c r="J852" t="b">
        <v>1</v>
      </c>
      <c r="K852" t="b">
        <v>0</v>
      </c>
      <c r="L852" t="b">
        <v>1</v>
      </c>
    </row>
    <row r="853" spans="1:12" x14ac:dyDescent="0.3">
      <c r="A853">
        <v>43</v>
      </c>
      <c r="B853" t="s">
        <v>12</v>
      </c>
      <c r="C853" s="1">
        <v>8</v>
      </c>
      <c r="D853" t="s">
        <v>19</v>
      </c>
      <c r="E853" t="s">
        <v>14</v>
      </c>
      <c r="F853" t="s">
        <v>27</v>
      </c>
      <c r="G853" t="s">
        <v>23</v>
      </c>
      <c r="H853" t="s">
        <v>24</v>
      </c>
      <c r="I853" s="3">
        <v>10209</v>
      </c>
      <c r="J853" t="b">
        <v>0</v>
      </c>
      <c r="K853" t="b">
        <v>1</v>
      </c>
      <c r="L853" t="b">
        <v>1</v>
      </c>
    </row>
    <row r="854" spans="1:12" x14ac:dyDescent="0.3">
      <c r="A854">
        <v>63</v>
      </c>
      <c r="B854" t="s">
        <v>12</v>
      </c>
      <c r="C854" s="1">
        <v>8</v>
      </c>
      <c r="D854" t="s">
        <v>13</v>
      </c>
      <c r="E854" t="s">
        <v>20</v>
      </c>
      <c r="F854" t="s">
        <v>22</v>
      </c>
      <c r="G854" t="s">
        <v>16</v>
      </c>
      <c r="H854" t="s">
        <v>21</v>
      </c>
      <c r="I854" s="3">
        <v>19256</v>
      </c>
      <c r="J854" t="b">
        <v>1</v>
      </c>
      <c r="K854" t="b">
        <v>0</v>
      </c>
      <c r="L854" t="b">
        <v>1</v>
      </c>
    </row>
    <row r="855" spans="1:12" x14ac:dyDescent="0.3">
      <c r="A855">
        <v>51</v>
      </c>
      <c r="B855" t="s">
        <v>18</v>
      </c>
      <c r="C855" s="1">
        <v>9</v>
      </c>
      <c r="D855" t="s">
        <v>28</v>
      </c>
      <c r="E855" t="s">
        <v>20</v>
      </c>
      <c r="F855" t="s">
        <v>15</v>
      </c>
      <c r="G855" t="s">
        <v>23</v>
      </c>
      <c r="H855" t="s">
        <v>17</v>
      </c>
      <c r="I855" s="3">
        <v>14911</v>
      </c>
      <c r="J855" t="b">
        <v>1</v>
      </c>
      <c r="K855" t="b">
        <v>1</v>
      </c>
      <c r="L855" t="b">
        <v>1</v>
      </c>
    </row>
    <row r="856" spans="1:12" x14ac:dyDescent="0.3">
      <c r="A856">
        <v>31</v>
      </c>
      <c r="B856" t="s">
        <v>25</v>
      </c>
      <c r="C856" s="1">
        <v>4</v>
      </c>
      <c r="D856" t="s">
        <v>13</v>
      </c>
      <c r="E856" t="s">
        <v>14</v>
      </c>
      <c r="F856" t="s">
        <v>22</v>
      </c>
      <c r="G856" t="s">
        <v>29</v>
      </c>
      <c r="H856" t="s">
        <v>24</v>
      </c>
      <c r="I856" s="3">
        <v>12220</v>
      </c>
      <c r="J856" t="b">
        <v>0</v>
      </c>
      <c r="K856" t="b">
        <v>0</v>
      </c>
      <c r="L856" t="b">
        <v>1</v>
      </c>
    </row>
    <row r="857" spans="1:12" x14ac:dyDescent="0.3">
      <c r="A857">
        <v>43</v>
      </c>
      <c r="B857" t="s">
        <v>12</v>
      </c>
      <c r="C857" s="1">
        <v>5</v>
      </c>
      <c r="D857" t="s">
        <v>13</v>
      </c>
      <c r="E857" t="s">
        <v>20</v>
      </c>
      <c r="F857" t="s">
        <v>22</v>
      </c>
      <c r="G857" t="s">
        <v>23</v>
      </c>
      <c r="H857" t="s">
        <v>21</v>
      </c>
      <c r="I857" s="3">
        <v>10233</v>
      </c>
      <c r="J857" t="b">
        <v>0</v>
      </c>
      <c r="K857" t="b">
        <v>0</v>
      </c>
      <c r="L857" t="b">
        <v>0</v>
      </c>
    </row>
    <row r="858" spans="1:12" x14ac:dyDescent="0.3">
      <c r="A858">
        <v>62</v>
      </c>
      <c r="B858" t="s">
        <v>12</v>
      </c>
      <c r="C858" s="1">
        <v>5</v>
      </c>
      <c r="D858" t="s">
        <v>19</v>
      </c>
      <c r="E858" t="s">
        <v>26</v>
      </c>
      <c r="F858" t="s">
        <v>15</v>
      </c>
      <c r="G858" t="s">
        <v>16</v>
      </c>
      <c r="H858" t="s">
        <v>17</v>
      </c>
      <c r="I858" s="3">
        <v>10792</v>
      </c>
      <c r="J858" t="b">
        <v>0</v>
      </c>
      <c r="K858" t="b">
        <v>0</v>
      </c>
      <c r="L858" t="b">
        <v>1</v>
      </c>
    </row>
    <row r="859" spans="1:12" x14ac:dyDescent="0.3">
      <c r="A859">
        <v>44</v>
      </c>
      <c r="B859" t="s">
        <v>12</v>
      </c>
      <c r="C859" s="1">
        <v>8</v>
      </c>
      <c r="D859" t="s">
        <v>28</v>
      </c>
      <c r="E859" t="s">
        <v>26</v>
      </c>
      <c r="F859" t="s">
        <v>15</v>
      </c>
      <c r="G859" t="s">
        <v>29</v>
      </c>
      <c r="H859" t="s">
        <v>24</v>
      </c>
      <c r="I859" s="3">
        <v>13110</v>
      </c>
      <c r="J859" t="b">
        <v>1</v>
      </c>
      <c r="K859" t="b">
        <v>1</v>
      </c>
      <c r="L859" t="b">
        <v>0</v>
      </c>
    </row>
    <row r="860" spans="1:12" x14ac:dyDescent="0.3">
      <c r="A860">
        <v>26</v>
      </c>
      <c r="B860" t="s">
        <v>18</v>
      </c>
      <c r="C860" s="1">
        <v>7</v>
      </c>
      <c r="D860" t="s">
        <v>28</v>
      </c>
      <c r="E860" t="s">
        <v>14</v>
      </c>
      <c r="F860" t="s">
        <v>27</v>
      </c>
      <c r="G860" t="s">
        <v>16</v>
      </c>
      <c r="H860" t="s">
        <v>17</v>
      </c>
      <c r="I860" s="3">
        <v>12166</v>
      </c>
      <c r="J860" t="b">
        <v>1</v>
      </c>
      <c r="K860" t="b">
        <v>1</v>
      </c>
      <c r="L860" t="b">
        <v>0</v>
      </c>
    </row>
    <row r="861" spans="1:12" x14ac:dyDescent="0.3">
      <c r="A861">
        <v>43</v>
      </c>
      <c r="B861" t="s">
        <v>18</v>
      </c>
      <c r="C861" s="1">
        <v>9</v>
      </c>
      <c r="D861" t="s">
        <v>28</v>
      </c>
      <c r="E861" t="s">
        <v>20</v>
      </c>
      <c r="F861" t="s">
        <v>27</v>
      </c>
      <c r="G861" t="s">
        <v>23</v>
      </c>
      <c r="H861" t="s">
        <v>21</v>
      </c>
      <c r="I861" s="3">
        <v>18526</v>
      </c>
      <c r="J861" t="b">
        <v>1</v>
      </c>
      <c r="K861" t="b">
        <v>1</v>
      </c>
      <c r="L861" t="b">
        <v>1</v>
      </c>
    </row>
    <row r="862" spans="1:12" x14ac:dyDescent="0.3">
      <c r="A862">
        <v>64</v>
      </c>
      <c r="B862" t="s">
        <v>18</v>
      </c>
      <c r="C862" s="1">
        <v>8</v>
      </c>
      <c r="D862" t="s">
        <v>19</v>
      </c>
      <c r="E862" t="s">
        <v>26</v>
      </c>
      <c r="F862" t="s">
        <v>22</v>
      </c>
      <c r="G862" t="s">
        <v>23</v>
      </c>
      <c r="H862" t="s">
        <v>17</v>
      </c>
      <c r="I862" s="3">
        <v>19551</v>
      </c>
      <c r="J862" t="b">
        <v>1</v>
      </c>
      <c r="K862" t="b">
        <v>1</v>
      </c>
      <c r="L862" t="b">
        <v>1</v>
      </c>
    </row>
    <row r="863" spans="1:12" x14ac:dyDescent="0.3">
      <c r="A863">
        <v>39</v>
      </c>
      <c r="B863" t="s">
        <v>18</v>
      </c>
      <c r="C863" s="1">
        <v>2</v>
      </c>
      <c r="D863" t="s">
        <v>19</v>
      </c>
      <c r="E863" t="s">
        <v>26</v>
      </c>
      <c r="F863" t="s">
        <v>15</v>
      </c>
      <c r="G863" t="s">
        <v>16</v>
      </c>
      <c r="H863" t="s">
        <v>21</v>
      </c>
      <c r="I863" s="3">
        <v>15193</v>
      </c>
      <c r="J863" t="b">
        <v>0</v>
      </c>
      <c r="K863" t="b">
        <v>0</v>
      </c>
      <c r="L863" t="b">
        <v>0</v>
      </c>
    </row>
    <row r="864" spans="1:12" x14ac:dyDescent="0.3">
      <c r="A864">
        <v>64</v>
      </c>
      <c r="B864" t="s">
        <v>25</v>
      </c>
      <c r="C864" s="1">
        <v>4</v>
      </c>
      <c r="D864" t="s">
        <v>19</v>
      </c>
      <c r="E864" t="s">
        <v>20</v>
      </c>
      <c r="F864" t="s">
        <v>27</v>
      </c>
      <c r="G864" t="s">
        <v>29</v>
      </c>
      <c r="H864" t="s">
        <v>17</v>
      </c>
      <c r="I864" s="3">
        <v>11214</v>
      </c>
      <c r="J864" t="b">
        <v>1</v>
      </c>
      <c r="K864" t="b">
        <v>0</v>
      </c>
      <c r="L864" t="b">
        <v>1</v>
      </c>
    </row>
    <row r="865" spans="1:12" x14ac:dyDescent="0.3">
      <c r="A865">
        <v>47</v>
      </c>
      <c r="B865" t="s">
        <v>25</v>
      </c>
      <c r="C865" s="1">
        <v>6</v>
      </c>
      <c r="D865" t="s">
        <v>19</v>
      </c>
      <c r="E865" t="s">
        <v>20</v>
      </c>
      <c r="F865" t="s">
        <v>22</v>
      </c>
      <c r="G865" t="s">
        <v>23</v>
      </c>
      <c r="H865" t="s">
        <v>24</v>
      </c>
      <c r="I865" s="3">
        <v>14419</v>
      </c>
      <c r="J865" t="b">
        <v>1</v>
      </c>
      <c r="K865" t="b">
        <v>0</v>
      </c>
      <c r="L865" t="b">
        <v>1</v>
      </c>
    </row>
    <row r="866" spans="1:12" x14ac:dyDescent="0.3">
      <c r="A866">
        <v>60</v>
      </c>
      <c r="B866" t="s">
        <v>18</v>
      </c>
      <c r="C866" s="1">
        <v>2</v>
      </c>
      <c r="D866" t="s">
        <v>19</v>
      </c>
      <c r="E866" t="s">
        <v>26</v>
      </c>
      <c r="F866" t="s">
        <v>15</v>
      </c>
      <c r="G866" t="s">
        <v>23</v>
      </c>
      <c r="H866" t="s">
        <v>21</v>
      </c>
      <c r="I866" s="3">
        <v>17314</v>
      </c>
      <c r="J866" t="b">
        <v>0</v>
      </c>
      <c r="K866" t="b">
        <v>1</v>
      </c>
      <c r="L866" t="b">
        <v>0</v>
      </c>
    </row>
    <row r="867" spans="1:12" x14ac:dyDescent="0.3">
      <c r="A867">
        <v>34</v>
      </c>
      <c r="B867" t="s">
        <v>25</v>
      </c>
      <c r="C867" s="1">
        <v>7</v>
      </c>
      <c r="D867" t="s">
        <v>28</v>
      </c>
      <c r="E867" t="s">
        <v>26</v>
      </c>
      <c r="F867" t="s">
        <v>22</v>
      </c>
      <c r="G867" t="s">
        <v>29</v>
      </c>
      <c r="H867" t="s">
        <v>21</v>
      </c>
      <c r="I867" s="3">
        <v>18475</v>
      </c>
      <c r="J867" t="b">
        <v>1</v>
      </c>
      <c r="K867" t="b">
        <v>1</v>
      </c>
      <c r="L867" t="b">
        <v>0</v>
      </c>
    </row>
    <row r="868" spans="1:12" x14ac:dyDescent="0.3">
      <c r="A868">
        <v>43</v>
      </c>
      <c r="B868" t="s">
        <v>12</v>
      </c>
      <c r="C868" s="1">
        <v>3</v>
      </c>
      <c r="D868" t="s">
        <v>13</v>
      </c>
      <c r="E868" t="s">
        <v>14</v>
      </c>
      <c r="F868" t="s">
        <v>27</v>
      </c>
      <c r="G868" t="s">
        <v>23</v>
      </c>
      <c r="H868" t="s">
        <v>21</v>
      </c>
      <c r="I868" s="3">
        <v>10212</v>
      </c>
      <c r="J868" t="b">
        <v>1</v>
      </c>
      <c r="K868" t="b">
        <v>1</v>
      </c>
      <c r="L868" t="b">
        <v>0</v>
      </c>
    </row>
    <row r="869" spans="1:12" x14ac:dyDescent="0.3">
      <c r="A869">
        <v>53</v>
      </c>
      <c r="B869" t="s">
        <v>12</v>
      </c>
      <c r="C869" s="1">
        <v>3</v>
      </c>
      <c r="D869" t="s">
        <v>28</v>
      </c>
      <c r="E869" t="s">
        <v>14</v>
      </c>
      <c r="F869" t="s">
        <v>27</v>
      </c>
      <c r="G869" t="s">
        <v>16</v>
      </c>
      <c r="H869" t="s">
        <v>17</v>
      </c>
      <c r="I869" s="3">
        <v>11658</v>
      </c>
      <c r="J869" t="b">
        <v>0</v>
      </c>
      <c r="K869" t="b">
        <v>0</v>
      </c>
      <c r="L869" t="b">
        <v>1</v>
      </c>
    </row>
    <row r="870" spans="1:12" x14ac:dyDescent="0.3">
      <c r="A870">
        <v>18</v>
      </c>
      <c r="B870" t="s">
        <v>12</v>
      </c>
      <c r="C870" s="1">
        <v>2</v>
      </c>
      <c r="D870" t="s">
        <v>13</v>
      </c>
      <c r="E870" t="s">
        <v>26</v>
      </c>
      <c r="F870" t="s">
        <v>15</v>
      </c>
      <c r="G870" t="s">
        <v>23</v>
      </c>
      <c r="H870" t="s">
        <v>17</v>
      </c>
      <c r="I870" s="3">
        <v>15024</v>
      </c>
      <c r="J870" t="b">
        <v>1</v>
      </c>
      <c r="K870" t="b">
        <v>1</v>
      </c>
      <c r="L870" t="b">
        <v>1</v>
      </c>
    </row>
    <row r="871" spans="1:12" x14ac:dyDescent="0.3">
      <c r="A871">
        <v>25</v>
      </c>
      <c r="B871" t="s">
        <v>18</v>
      </c>
      <c r="C871" s="1">
        <v>8</v>
      </c>
      <c r="D871" t="s">
        <v>19</v>
      </c>
      <c r="E871" t="s">
        <v>14</v>
      </c>
      <c r="F871" t="s">
        <v>22</v>
      </c>
      <c r="G871" t="s">
        <v>23</v>
      </c>
      <c r="H871" t="s">
        <v>24</v>
      </c>
      <c r="I871" s="3">
        <v>19609</v>
      </c>
      <c r="J871" t="b">
        <v>1</v>
      </c>
      <c r="K871" t="b">
        <v>1</v>
      </c>
      <c r="L871" t="b">
        <v>0</v>
      </c>
    </row>
    <row r="872" spans="1:12" x14ac:dyDescent="0.3">
      <c r="A872">
        <v>52</v>
      </c>
      <c r="B872" t="s">
        <v>12</v>
      </c>
      <c r="C872" s="1">
        <v>6</v>
      </c>
      <c r="D872" t="s">
        <v>13</v>
      </c>
      <c r="E872" t="s">
        <v>26</v>
      </c>
      <c r="F872" t="s">
        <v>15</v>
      </c>
      <c r="G872" t="s">
        <v>29</v>
      </c>
      <c r="H872" t="s">
        <v>21</v>
      </c>
      <c r="I872" s="3">
        <v>15917</v>
      </c>
      <c r="J872" t="b">
        <v>1</v>
      </c>
      <c r="K872" t="b">
        <v>0</v>
      </c>
      <c r="L872" t="b">
        <v>1</v>
      </c>
    </row>
    <row r="873" spans="1:12" x14ac:dyDescent="0.3">
      <c r="A873">
        <v>32</v>
      </c>
      <c r="B873" t="s">
        <v>25</v>
      </c>
      <c r="C873" s="1">
        <v>1</v>
      </c>
      <c r="D873" t="s">
        <v>28</v>
      </c>
      <c r="E873" t="s">
        <v>26</v>
      </c>
      <c r="F873" t="s">
        <v>27</v>
      </c>
      <c r="G873" t="s">
        <v>16</v>
      </c>
      <c r="H873" t="s">
        <v>21</v>
      </c>
      <c r="I873" s="3">
        <v>15141</v>
      </c>
      <c r="J873" t="b">
        <v>1</v>
      </c>
      <c r="K873" t="b">
        <v>0</v>
      </c>
      <c r="L873" t="b">
        <v>0</v>
      </c>
    </row>
    <row r="874" spans="1:12" x14ac:dyDescent="0.3">
      <c r="A874">
        <v>64</v>
      </c>
      <c r="B874" t="s">
        <v>18</v>
      </c>
      <c r="C874" s="1">
        <v>1</v>
      </c>
      <c r="D874" t="s">
        <v>28</v>
      </c>
      <c r="E874" t="s">
        <v>14</v>
      </c>
      <c r="F874" t="s">
        <v>27</v>
      </c>
      <c r="G874" t="s">
        <v>29</v>
      </c>
      <c r="H874" t="s">
        <v>17</v>
      </c>
      <c r="I874" s="3">
        <v>11794</v>
      </c>
      <c r="J874" t="b">
        <v>0</v>
      </c>
      <c r="K874" t="b">
        <v>1</v>
      </c>
      <c r="L874" t="b">
        <v>1</v>
      </c>
    </row>
    <row r="875" spans="1:12" x14ac:dyDescent="0.3">
      <c r="A875">
        <v>39</v>
      </c>
      <c r="B875" t="s">
        <v>25</v>
      </c>
      <c r="C875" s="1">
        <v>7</v>
      </c>
      <c r="D875" t="s">
        <v>13</v>
      </c>
      <c r="E875" t="s">
        <v>14</v>
      </c>
      <c r="F875" t="s">
        <v>22</v>
      </c>
      <c r="G875" t="s">
        <v>23</v>
      </c>
      <c r="H875" t="s">
        <v>17</v>
      </c>
      <c r="I875" s="3">
        <v>15988</v>
      </c>
      <c r="J875" t="b">
        <v>1</v>
      </c>
      <c r="K875" t="b">
        <v>0</v>
      </c>
      <c r="L875" t="b">
        <v>0</v>
      </c>
    </row>
    <row r="876" spans="1:12" x14ac:dyDescent="0.3">
      <c r="A876">
        <v>31</v>
      </c>
      <c r="B876" t="s">
        <v>12</v>
      </c>
      <c r="C876" s="1">
        <v>8</v>
      </c>
      <c r="D876" t="s">
        <v>19</v>
      </c>
      <c r="E876" t="s">
        <v>20</v>
      </c>
      <c r="F876" t="s">
        <v>22</v>
      </c>
      <c r="G876" t="s">
        <v>23</v>
      </c>
      <c r="H876" t="s">
        <v>24</v>
      </c>
      <c r="I876" s="3">
        <v>18296</v>
      </c>
      <c r="J876" t="b">
        <v>0</v>
      </c>
      <c r="K876" t="b">
        <v>1</v>
      </c>
      <c r="L876" t="b">
        <v>1</v>
      </c>
    </row>
    <row r="877" spans="1:12" x14ac:dyDescent="0.3">
      <c r="A877">
        <v>43</v>
      </c>
      <c r="B877" t="s">
        <v>12</v>
      </c>
      <c r="C877" s="1">
        <v>5</v>
      </c>
      <c r="D877" t="s">
        <v>19</v>
      </c>
      <c r="E877" t="s">
        <v>20</v>
      </c>
      <c r="F877" t="s">
        <v>22</v>
      </c>
      <c r="G877" t="s">
        <v>29</v>
      </c>
      <c r="H877" t="s">
        <v>24</v>
      </c>
      <c r="I877" s="3">
        <v>15578</v>
      </c>
      <c r="J877" t="b">
        <v>1</v>
      </c>
      <c r="K877" t="b">
        <v>0</v>
      </c>
      <c r="L877" t="b">
        <v>0</v>
      </c>
    </row>
    <row r="878" spans="1:12" x14ac:dyDescent="0.3">
      <c r="A878">
        <v>45</v>
      </c>
      <c r="B878" t="s">
        <v>12</v>
      </c>
      <c r="C878" s="1">
        <v>5</v>
      </c>
      <c r="D878" t="s">
        <v>28</v>
      </c>
      <c r="E878" t="s">
        <v>20</v>
      </c>
      <c r="F878" t="s">
        <v>15</v>
      </c>
      <c r="G878" t="s">
        <v>29</v>
      </c>
      <c r="H878" t="s">
        <v>17</v>
      </c>
      <c r="I878" s="3">
        <v>15551</v>
      </c>
      <c r="J878" t="b">
        <v>0</v>
      </c>
      <c r="K878" t="b">
        <v>0</v>
      </c>
      <c r="L878" t="b">
        <v>1</v>
      </c>
    </row>
    <row r="879" spans="1:12" x14ac:dyDescent="0.3">
      <c r="A879">
        <v>40</v>
      </c>
      <c r="B879" t="s">
        <v>18</v>
      </c>
      <c r="C879" s="1">
        <v>4</v>
      </c>
      <c r="D879" t="s">
        <v>13</v>
      </c>
      <c r="E879" t="s">
        <v>26</v>
      </c>
      <c r="F879" t="s">
        <v>22</v>
      </c>
      <c r="G879" t="s">
        <v>29</v>
      </c>
      <c r="H879" t="s">
        <v>21</v>
      </c>
      <c r="I879" s="3">
        <v>13845</v>
      </c>
      <c r="J879" t="b">
        <v>0</v>
      </c>
      <c r="K879" t="b">
        <v>0</v>
      </c>
      <c r="L879" t="b">
        <v>1</v>
      </c>
    </row>
    <row r="880" spans="1:12" x14ac:dyDescent="0.3">
      <c r="A880">
        <v>31</v>
      </c>
      <c r="B880" t="s">
        <v>25</v>
      </c>
      <c r="C880" s="1">
        <v>6</v>
      </c>
      <c r="D880" t="s">
        <v>19</v>
      </c>
      <c r="E880" t="s">
        <v>14</v>
      </c>
      <c r="F880" t="s">
        <v>22</v>
      </c>
      <c r="G880" t="s">
        <v>16</v>
      </c>
      <c r="H880" t="s">
        <v>24</v>
      </c>
      <c r="I880" s="3">
        <v>16906</v>
      </c>
      <c r="J880" t="b">
        <v>0</v>
      </c>
      <c r="K880" t="b">
        <v>1</v>
      </c>
      <c r="L880" t="b">
        <v>0</v>
      </c>
    </row>
    <row r="881" spans="1:12" x14ac:dyDescent="0.3">
      <c r="A881">
        <v>41</v>
      </c>
      <c r="B881" t="s">
        <v>18</v>
      </c>
      <c r="C881" s="1">
        <v>6</v>
      </c>
      <c r="D881" t="s">
        <v>19</v>
      </c>
      <c r="E881" t="s">
        <v>26</v>
      </c>
      <c r="F881" t="s">
        <v>27</v>
      </c>
      <c r="G881" t="s">
        <v>23</v>
      </c>
      <c r="H881" t="s">
        <v>17</v>
      </c>
      <c r="I881" s="3">
        <v>10378</v>
      </c>
      <c r="J881" t="b">
        <v>1</v>
      </c>
      <c r="K881" t="b">
        <v>1</v>
      </c>
      <c r="L881" t="b">
        <v>1</v>
      </c>
    </row>
    <row r="882" spans="1:12" x14ac:dyDescent="0.3">
      <c r="A882">
        <v>19</v>
      </c>
      <c r="B882" t="s">
        <v>18</v>
      </c>
      <c r="C882" s="1">
        <v>3</v>
      </c>
      <c r="D882" t="s">
        <v>28</v>
      </c>
      <c r="E882" t="s">
        <v>14</v>
      </c>
      <c r="F882" t="s">
        <v>27</v>
      </c>
      <c r="G882" t="s">
        <v>29</v>
      </c>
      <c r="H882" t="s">
        <v>17</v>
      </c>
      <c r="I882" s="3">
        <v>13293</v>
      </c>
      <c r="J882" t="b">
        <v>1</v>
      </c>
      <c r="K882" t="b">
        <v>1</v>
      </c>
      <c r="L882" t="b">
        <v>1</v>
      </c>
    </row>
    <row r="883" spans="1:12" x14ac:dyDescent="0.3">
      <c r="A883">
        <v>62</v>
      </c>
      <c r="B883" t="s">
        <v>12</v>
      </c>
      <c r="C883" s="1">
        <v>9</v>
      </c>
      <c r="D883" t="s">
        <v>19</v>
      </c>
      <c r="E883" t="s">
        <v>26</v>
      </c>
      <c r="F883" t="s">
        <v>22</v>
      </c>
      <c r="G883" t="s">
        <v>23</v>
      </c>
      <c r="H883" t="s">
        <v>21</v>
      </c>
      <c r="I883" s="3">
        <v>13329</v>
      </c>
      <c r="J883" t="b">
        <v>1</v>
      </c>
      <c r="K883" t="b">
        <v>0</v>
      </c>
      <c r="L883" t="b">
        <v>0</v>
      </c>
    </row>
    <row r="884" spans="1:12" x14ac:dyDescent="0.3">
      <c r="A884">
        <v>43</v>
      </c>
      <c r="B884" t="s">
        <v>18</v>
      </c>
      <c r="C884" s="1">
        <v>7</v>
      </c>
      <c r="D884" t="s">
        <v>13</v>
      </c>
      <c r="E884" t="s">
        <v>20</v>
      </c>
      <c r="F884" t="s">
        <v>22</v>
      </c>
      <c r="G884" t="s">
        <v>16</v>
      </c>
      <c r="H884" t="s">
        <v>17</v>
      </c>
      <c r="I884" s="3">
        <v>14808</v>
      </c>
      <c r="J884" t="b">
        <v>0</v>
      </c>
      <c r="K884" t="b">
        <v>0</v>
      </c>
      <c r="L884" t="b">
        <v>1</v>
      </c>
    </row>
    <row r="885" spans="1:12" x14ac:dyDescent="0.3">
      <c r="A885">
        <v>31</v>
      </c>
      <c r="B885" t="s">
        <v>18</v>
      </c>
      <c r="C885" s="1">
        <v>1</v>
      </c>
      <c r="D885" t="s">
        <v>28</v>
      </c>
      <c r="E885" t="s">
        <v>20</v>
      </c>
      <c r="F885" t="s">
        <v>27</v>
      </c>
      <c r="G885" t="s">
        <v>16</v>
      </c>
      <c r="H885" t="s">
        <v>17</v>
      </c>
      <c r="I885" s="3">
        <v>17937</v>
      </c>
      <c r="J885" t="b">
        <v>1</v>
      </c>
      <c r="K885" t="b">
        <v>0</v>
      </c>
      <c r="L885" t="b">
        <v>1</v>
      </c>
    </row>
    <row r="886" spans="1:12" x14ac:dyDescent="0.3">
      <c r="A886">
        <v>24</v>
      </c>
      <c r="B886" t="s">
        <v>12</v>
      </c>
      <c r="C886" s="1">
        <v>7</v>
      </c>
      <c r="D886" t="s">
        <v>28</v>
      </c>
      <c r="E886" t="s">
        <v>20</v>
      </c>
      <c r="F886" t="s">
        <v>22</v>
      </c>
      <c r="G886" t="s">
        <v>16</v>
      </c>
      <c r="H886" t="s">
        <v>24</v>
      </c>
      <c r="I886" s="3">
        <v>10224</v>
      </c>
      <c r="J886" t="b">
        <v>1</v>
      </c>
      <c r="K886" t="b">
        <v>0</v>
      </c>
      <c r="L886" t="b">
        <v>1</v>
      </c>
    </row>
    <row r="887" spans="1:12" x14ac:dyDescent="0.3">
      <c r="A887">
        <v>20</v>
      </c>
      <c r="B887" t="s">
        <v>18</v>
      </c>
      <c r="C887" s="1">
        <v>5</v>
      </c>
      <c r="D887" t="s">
        <v>13</v>
      </c>
      <c r="E887" t="s">
        <v>26</v>
      </c>
      <c r="F887" t="s">
        <v>15</v>
      </c>
      <c r="G887" t="s">
        <v>16</v>
      </c>
      <c r="H887" t="s">
        <v>17</v>
      </c>
      <c r="I887" s="3">
        <v>10737</v>
      </c>
      <c r="J887" t="b">
        <v>1</v>
      </c>
      <c r="K887" t="b">
        <v>1</v>
      </c>
      <c r="L887" t="b">
        <v>0</v>
      </c>
    </row>
    <row r="888" spans="1:12" x14ac:dyDescent="0.3">
      <c r="A888">
        <v>64</v>
      </c>
      <c r="B888" t="s">
        <v>12</v>
      </c>
      <c r="C888" s="1">
        <v>5</v>
      </c>
      <c r="D888" t="s">
        <v>28</v>
      </c>
      <c r="E888" t="s">
        <v>14</v>
      </c>
      <c r="F888" t="s">
        <v>15</v>
      </c>
      <c r="G888" t="s">
        <v>23</v>
      </c>
      <c r="H888" t="s">
        <v>17</v>
      </c>
      <c r="I888" s="3">
        <v>10235</v>
      </c>
      <c r="J888" t="b">
        <v>1</v>
      </c>
      <c r="K888" t="b">
        <v>1</v>
      </c>
      <c r="L888" t="b">
        <v>0</v>
      </c>
    </row>
    <row r="889" spans="1:12" x14ac:dyDescent="0.3">
      <c r="A889">
        <v>40</v>
      </c>
      <c r="B889" t="s">
        <v>12</v>
      </c>
      <c r="C889" s="1">
        <v>2</v>
      </c>
      <c r="D889" t="s">
        <v>19</v>
      </c>
      <c r="E889" t="s">
        <v>14</v>
      </c>
      <c r="F889" t="s">
        <v>15</v>
      </c>
      <c r="G889" t="s">
        <v>16</v>
      </c>
      <c r="H889" t="s">
        <v>24</v>
      </c>
      <c r="I889" s="3">
        <v>10711</v>
      </c>
      <c r="J889" t="b">
        <v>0</v>
      </c>
      <c r="K889" t="b">
        <v>1</v>
      </c>
      <c r="L889" t="b">
        <v>0</v>
      </c>
    </row>
    <row r="890" spans="1:12" x14ac:dyDescent="0.3">
      <c r="A890">
        <v>63</v>
      </c>
      <c r="B890" t="s">
        <v>12</v>
      </c>
      <c r="C890" s="1">
        <v>4</v>
      </c>
      <c r="D890" t="s">
        <v>19</v>
      </c>
      <c r="E890" t="s">
        <v>20</v>
      </c>
      <c r="F890" t="s">
        <v>22</v>
      </c>
      <c r="G890" t="s">
        <v>16</v>
      </c>
      <c r="H890" t="s">
        <v>21</v>
      </c>
      <c r="I890" s="3">
        <v>15988</v>
      </c>
      <c r="J890" t="b">
        <v>0</v>
      </c>
      <c r="K890" t="b">
        <v>0</v>
      </c>
      <c r="L890" t="b">
        <v>0</v>
      </c>
    </row>
    <row r="891" spans="1:12" x14ac:dyDescent="0.3">
      <c r="A891">
        <v>60</v>
      </c>
      <c r="B891" t="s">
        <v>12</v>
      </c>
      <c r="C891" s="1">
        <v>6</v>
      </c>
      <c r="D891" t="s">
        <v>13</v>
      </c>
      <c r="E891" t="s">
        <v>20</v>
      </c>
      <c r="F891" t="s">
        <v>27</v>
      </c>
      <c r="G891" t="s">
        <v>29</v>
      </c>
      <c r="H891" t="s">
        <v>21</v>
      </c>
      <c r="I891" s="3">
        <v>11888</v>
      </c>
      <c r="J891" t="b">
        <v>1</v>
      </c>
      <c r="K891" t="b">
        <v>0</v>
      </c>
      <c r="L891" t="b">
        <v>0</v>
      </c>
    </row>
    <row r="892" spans="1:12" x14ac:dyDescent="0.3">
      <c r="A892">
        <v>64</v>
      </c>
      <c r="B892" t="s">
        <v>18</v>
      </c>
      <c r="C892" s="1">
        <v>7</v>
      </c>
      <c r="D892" t="s">
        <v>19</v>
      </c>
      <c r="E892" t="s">
        <v>20</v>
      </c>
      <c r="F892" t="s">
        <v>22</v>
      </c>
      <c r="G892" t="s">
        <v>16</v>
      </c>
      <c r="H892" t="s">
        <v>24</v>
      </c>
      <c r="I892" s="3">
        <v>17173</v>
      </c>
      <c r="J892" t="b">
        <v>1</v>
      </c>
      <c r="K892" t="b">
        <v>1</v>
      </c>
      <c r="L892" t="b">
        <v>1</v>
      </c>
    </row>
    <row r="893" spans="1:12" x14ac:dyDescent="0.3">
      <c r="A893">
        <v>62</v>
      </c>
      <c r="B893" t="s">
        <v>12</v>
      </c>
      <c r="C893" s="1">
        <v>5</v>
      </c>
      <c r="D893" t="s">
        <v>13</v>
      </c>
      <c r="E893" t="s">
        <v>20</v>
      </c>
      <c r="F893" t="s">
        <v>22</v>
      </c>
      <c r="G893" t="s">
        <v>29</v>
      </c>
      <c r="H893" t="s">
        <v>24</v>
      </c>
      <c r="I893" s="3">
        <v>11259</v>
      </c>
      <c r="J893" t="b">
        <v>1</v>
      </c>
      <c r="K893" t="b">
        <v>0</v>
      </c>
      <c r="L893" t="b">
        <v>1</v>
      </c>
    </row>
    <row r="894" spans="1:12" x14ac:dyDescent="0.3">
      <c r="A894">
        <v>35</v>
      </c>
      <c r="B894" t="s">
        <v>12</v>
      </c>
      <c r="C894" s="1">
        <v>9</v>
      </c>
      <c r="D894" t="s">
        <v>13</v>
      </c>
      <c r="E894" t="s">
        <v>14</v>
      </c>
      <c r="F894" t="s">
        <v>27</v>
      </c>
      <c r="G894" t="s">
        <v>16</v>
      </c>
      <c r="H894" t="s">
        <v>21</v>
      </c>
      <c r="I894" s="3">
        <v>15246</v>
      </c>
      <c r="J894" t="b">
        <v>0</v>
      </c>
      <c r="K894" t="b">
        <v>1</v>
      </c>
      <c r="L894" t="b">
        <v>0</v>
      </c>
    </row>
    <row r="895" spans="1:12" x14ac:dyDescent="0.3">
      <c r="A895">
        <v>55</v>
      </c>
      <c r="B895" t="s">
        <v>18</v>
      </c>
      <c r="C895" s="1">
        <v>3</v>
      </c>
      <c r="D895" t="s">
        <v>19</v>
      </c>
      <c r="E895" t="s">
        <v>26</v>
      </c>
      <c r="F895" t="s">
        <v>27</v>
      </c>
      <c r="G895" t="s">
        <v>16</v>
      </c>
      <c r="H895" t="s">
        <v>21</v>
      </c>
      <c r="I895" s="3">
        <v>17271</v>
      </c>
      <c r="J895" t="b">
        <v>1</v>
      </c>
      <c r="K895" t="b">
        <v>0</v>
      </c>
      <c r="L895" t="b">
        <v>1</v>
      </c>
    </row>
    <row r="896" spans="1:12" x14ac:dyDescent="0.3">
      <c r="A896">
        <v>52</v>
      </c>
      <c r="B896" t="s">
        <v>18</v>
      </c>
      <c r="C896" s="1">
        <v>1</v>
      </c>
      <c r="D896" t="s">
        <v>13</v>
      </c>
      <c r="E896" t="s">
        <v>26</v>
      </c>
      <c r="F896" t="s">
        <v>27</v>
      </c>
      <c r="G896" t="s">
        <v>29</v>
      </c>
      <c r="H896" t="s">
        <v>21</v>
      </c>
      <c r="I896" s="3">
        <v>10748</v>
      </c>
      <c r="J896" t="b">
        <v>0</v>
      </c>
      <c r="K896" t="b">
        <v>0</v>
      </c>
      <c r="L896" t="b">
        <v>1</v>
      </c>
    </row>
    <row r="897" spans="1:12" x14ac:dyDescent="0.3">
      <c r="A897">
        <v>32</v>
      </c>
      <c r="B897" t="s">
        <v>25</v>
      </c>
      <c r="C897" s="1">
        <v>4</v>
      </c>
      <c r="D897" t="s">
        <v>19</v>
      </c>
      <c r="E897" t="s">
        <v>26</v>
      </c>
      <c r="F897" t="s">
        <v>15</v>
      </c>
      <c r="G897" t="s">
        <v>16</v>
      </c>
      <c r="H897" t="s">
        <v>21</v>
      </c>
      <c r="I897" s="3">
        <v>13551</v>
      </c>
      <c r="J897" t="b">
        <v>0</v>
      </c>
      <c r="K897" t="b">
        <v>1</v>
      </c>
      <c r="L897" t="b">
        <v>1</v>
      </c>
    </row>
    <row r="898" spans="1:12" x14ac:dyDescent="0.3">
      <c r="A898">
        <v>42</v>
      </c>
      <c r="B898" t="s">
        <v>18</v>
      </c>
      <c r="C898" s="1">
        <v>9</v>
      </c>
      <c r="D898" t="s">
        <v>28</v>
      </c>
      <c r="E898" t="s">
        <v>26</v>
      </c>
      <c r="F898" t="s">
        <v>22</v>
      </c>
      <c r="G898" t="s">
        <v>23</v>
      </c>
      <c r="H898" t="s">
        <v>21</v>
      </c>
      <c r="I898" s="3">
        <v>16400</v>
      </c>
      <c r="J898" t="b">
        <v>1</v>
      </c>
      <c r="K898" t="b">
        <v>1</v>
      </c>
      <c r="L898" t="b">
        <v>1</v>
      </c>
    </row>
    <row r="899" spans="1:12" x14ac:dyDescent="0.3">
      <c r="A899">
        <v>54</v>
      </c>
      <c r="B899" t="s">
        <v>18</v>
      </c>
      <c r="C899" s="1">
        <v>4</v>
      </c>
      <c r="D899" t="s">
        <v>28</v>
      </c>
      <c r="E899" t="s">
        <v>20</v>
      </c>
      <c r="F899" t="s">
        <v>27</v>
      </c>
      <c r="G899" t="s">
        <v>23</v>
      </c>
      <c r="H899" t="s">
        <v>24</v>
      </c>
      <c r="I899" s="3">
        <v>16643</v>
      </c>
      <c r="J899" t="b">
        <v>1</v>
      </c>
      <c r="K899" t="b">
        <v>0</v>
      </c>
      <c r="L899" t="b">
        <v>0</v>
      </c>
    </row>
    <row r="900" spans="1:12" x14ac:dyDescent="0.3">
      <c r="A900">
        <v>45</v>
      </c>
      <c r="B900" t="s">
        <v>25</v>
      </c>
      <c r="C900" s="1">
        <v>2</v>
      </c>
      <c r="D900" t="s">
        <v>13</v>
      </c>
      <c r="E900" t="s">
        <v>20</v>
      </c>
      <c r="F900" t="s">
        <v>22</v>
      </c>
      <c r="G900" t="s">
        <v>16</v>
      </c>
      <c r="H900" t="s">
        <v>17</v>
      </c>
      <c r="I900" s="3">
        <v>18701</v>
      </c>
      <c r="J900" t="b">
        <v>1</v>
      </c>
      <c r="K900" t="b">
        <v>1</v>
      </c>
      <c r="L900" t="b">
        <v>0</v>
      </c>
    </row>
    <row r="901" spans="1:12" x14ac:dyDescent="0.3">
      <c r="A901">
        <v>27</v>
      </c>
      <c r="B901" t="s">
        <v>18</v>
      </c>
      <c r="C901" s="1">
        <v>5</v>
      </c>
      <c r="D901" t="s">
        <v>19</v>
      </c>
      <c r="E901" t="s">
        <v>20</v>
      </c>
      <c r="F901" t="s">
        <v>15</v>
      </c>
      <c r="G901" t="s">
        <v>23</v>
      </c>
      <c r="H901" t="s">
        <v>21</v>
      </c>
      <c r="I901" s="3">
        <v>11823</v>
      </c>
      <c r="J901" t="b">
        <v>0</v>
      </c>
      <c r="K901" t="b">
        <v>1</v>
      </c>
      <c r="L901" t="b">
        <v>1</v>
      </c>
    </row>
    <row r="902" spans="1:12" x14ac:dyDescent="0.3">
      <c r="A902">
        <v>56</v>
      </c>
      <c r="B902" t="s">
        <v>18</v>
      </c>
      <c r="C902" s="1">
        <v>3</v>
      </c>
      <c r="D902" t="s">
        <v>19</v>
      </c>
      <c r="E902" t="s">
        <v>26</v>
      </c>
      <c r="F902" t="s">
        <v>15</v>
      </c>
      <c r="G902" t="s">
        <v>29</v>
      </c>
      <c r="H902" t="s">
        <v>21</v>
      </c>
      <c r="I902" s="3">
        <v>16852</v>
      </c>
      <c r="J902" t="b">
        <v>0</v>
      </c>
      <c r="K902" t="b">
        <v>0</v>
      </c>
      <c r="L902" t="b">
        <v>1</v>
      </c>
    </row>
    <row r="903" spans="1:12" x14ac:dyDescent="0.3">
      <c r="A903">
        <v>34</v>
      </c>
      <c r="B903" t="s">
        <v>18</v>
      </c>
      <c r="C903" s="1">
        <v>9</v>
      </c>
      <c r="D903" t="s">
        <v>28</v>
      </c>
      <c r="E903" t="s">
        <v>20</v>
      </c>
      <c r="F903" t="s">
        <v>27</v>
      </c>
      <c r="G903" t="s">
        <v>16</v>
      </c>
      <c r="H903" t="s">
        <v>17</v>
      </c>
      <c r="I903" s="3">
        <v>17777</v>
      </c>
      <c r="J903" t="b">
        <v>1</v>
      </c>
      <c r="K903" t="b">
        <v>0</v>
      </c>
      <c r="L903" t="b">
        <v>0</v>
      </c>
    </row>
    <row r="904" spans="1:12" x14ac:dyDescent="0.3">
      <c r="A904">
        <v>56</v>
      </c>
      <c r="B904" t="s">
        <v>18</v>
      </c>
      <c r="C904" s="1">
        <v>4</v>
      </c>
      <c r="D904" t="s">
        <v>28</v>
      </c>
      <c r="E904" t="s">
        <v>20</v>
      </c>
      <c r="F904" t="s">
        <v>27</v>
      </c>
      <c r="G904" t="s">
        <v>16</v>
      </c>
      <c r="H904" t="s">
        <v>17</v>
      </c>
      <c r="I904" s="3">
        <v>14232</v>
      </c>
      <c r="J904" t="b">
        <v>0</v>
      </c>
      <c r="K904" t="b">
        <v>0</v>
      </c>
      <c r="L904" t="b">
        <v>1</v>
      </c>
    </row>
    <row r="905" spans="1:12" x14ac:dyDescent="0.3">
      <c r="A905">
        <v>39</v>
      </c>
      <c r="B905" t="s">
        <v>25</v>
      </c>
      <c r="C905" s="1">
        <v>6</v>
      </c>
      <c r="D905" t="s">
        <v>19</v>
      </c>
      <c r="E905" t="s">
        <v>14</v>
      </c>
      <c r="F905" t="s">
        <v>22</v>
      </c>
      <c r="G905" t="s">
        <v>29</v>
      </c>
      <c r="H905" t="s">
        <v>17</v>
      </c>
      <c r="I905" s="3">
        <v>16519</v>
      </c>
      <c r="J905" t="b">
        <v>1</v>
      </c>
      <c r="K905" t="b">
        <v>1</v>
      </c>
      <c r="L905" t="b">
        <v>1</v>
      </c>
    </row>
    <row r="906" spans="1:12" x14ac:dyDescent="0.3">
      <c r="A906">
        <v>43</v>
      </c>
      <c r="B906" t="s">
        <v>18</v>
      </c>
      <c r="C906" s="1">
        <v>2</v>
      </c>
      <c r="D906" t="s">
        <v>13</v>
      </c>
      <c r="E906" t="s">
        <v>14</v>
      </c>
      <c r="F906" t="s">
        <v>27</v>
      </c>
      <c r="G906" t="s">
        <v>29</v>
      </c>
      <c r="H906" t="s">
        <v>17</v>
      </c>
      <c r="I906" s="3">
        <v>11777</v>
      </c>
      <c r="J906" t="b">
        <v>1</v>
      </c>
      <c r="K906" t="b">
        <v>0</v>
      </c>
      <c r="L906" t="b">
        <v>1</v>
      </c>
    </row>
    <row r="907" spans="1:12" x14ac:dyDescent="0.3">
      <c r="A907">
        <v>61</v>
      </c>
      <c r="B907" t="s">
        <v>18</v>
      </c>
      <c r="C907" s="1">
        <v>6</v>
      </c>
      <c r="D907" t="s">
        <v>28</v>
      </c>
      <c r="E907" t="s">
        <v>20</v>
      </c>
      <c r="F907" t="s">
        <v>22</v>
      </c>
      <c r="G907" t="s">
        <v>29</v>
      </c>
      <c r="H907" t="s">
        <v>17</v>
      </c>
      <c r="I907" s="3">
        <v>11222</v>
      </c>
      <c r="J907" t="b">
        <v>0</v>
      </c>
      <c r="K907" t="b">
        <v>0</v>
      </c>
      <c r="L907" t="b">
        <v>0</v>
      </c>
    </row>
    <row r="908" spans="1:12" x14ac:dyDescent="0.3">
      <c r="A908">
        <v>42</v>
      </c>
      <c r="B908" t="s">
        <v>25</v>
      </c>
      <c r="C908" s="1">
        <v>3</v>
      </c>
      <c r="D908" t="s">
        <v>13</v>
      </c>
      <c r="E908" t="s">
        <v>14</v>
      </c>
      <c r="F908" t="s">
        <v>27</v>
      </c>
      <c r="G908" t="s">
        <v>16</v>
      </c>
      <c r="H908" t="s">
        <v>17</v>
      </c>
      <c r="I908" s="3">
        <v>17630</v>
      </c>
      <c r="J908" t="b">
        <v>0</v>
      </c>
      <c r="K908" t="b">
        <v>0</v>
      </c>
      <c r="L908" t="b">
        <v>0</v>
      </c>
    </row>
    <row r="909" spans="1:12" x14ac:dyDescent="0.3">
      <c r="A909">
        <v>34</v>
      </c>
      <c r="B909" t="s">
        <v>12</v>
      </c>
      <c r="C909" s="1">
        <v>9</v>
      </c>
      <c r="D909" t="s">
        <v>13</v>
      </c>
      <c r="E909" t="s">
        <v>14</v>
      </c>
      <c r="F909" t="s">
        <v>22</v>
      </c>
      <c r="G909" t="s">
        <v>29</v>
      </c>
      <c r="H909" t="s">
        <v>24</v>
      </c>
      <c r="I909" s="3">
        <v>11777</v>
      </c>
      <c r="J909" t="b">
        <v>0</v>
      </c>
      <c r="K909" t="b">
        <v>0</v>
      </c>
      <c r="L909" t="b">
        <v>1</v>
      </c>
    </row>
    <row r="910" spans="1:12" x14ac:dyDescent="0.3">
      <c r="A910">
        <v>30</v>
      </c>
      <c r="B910" t="s">
        <v>25</v>
      </c>
      <c r="C910" s="1">
        <v>2</v>
      </c>
      <c r="D910" t="s">
        <v>28</v>
      </c>
      <c r="E910" t="s">
        <v>20</v>
      </c>
      <c r="F910" t="s">
        <v>22</v>
      </c>
      <c r="G910" t="s">
        <v>29</v>
      </c>
      <c r="H910" t="s">
        <v>17</v>
      </c>
      <c r="I910" s="3">
        <v>19496</v>
      </c>
      <c r="J910" t="b">
        <v>0</v>
      </c>
      <c r="K910" t="b">
        <v>0</v>
      </c>
      <c r="L910" t="b">
        <v>1</v>
      </c>
    </row>
    <row r="911" spans="1:12" x14ac:dyDescent="0.3">
      <c r="A911">
        <v>37</v>
      </c>
      <c r="B911" t="s">
        <v>12</v>
      </c>
      <c r="C911" s="1">
        <v>9</v>
      </c>
      <c r="D911" t="s">
        <v>13</v>
      </c>
      <c r="E911" t="s">
        <v>20</v>
      </c>
      <c r="F911" t="s">
        <v>22</v>
      </c>
      <c r="G911" t="s">
        <v>23</v>
      </c>
      <c r="H911" t="s">
        <v>17</v>
      </c>
      <c r="I911" s="3">
        <v>17490</v>
      </c>
      <c r="J911" t="b">
        <v>1</v>
      </c>
      <c r="K911" t="b">
        <v>1</v>
      </c>
      <c r="L911" t="b">
        <v>1</v>
      </c>
    </row>
    <row r="912" spans="1:12" x14ac:dyDescent="0.3">
      <c r="A912">
        <v>42</v>
      </c>
      <c r="B912" t="s">
        <v>25</v>
      </c>
      <c r="C912" s="1">
        <v>5</v>
      </c>
      <c r="D912" t="s">
        <v>13</v>
      </c>
      <c r="E912" t="s">
        <v>20</v>
      </c>
      <c r="F912" t="s">
        <v>22</v>
      </c>
      <c r="G912" t="s">
        <v>23</v>
      </c>
      <c r="H912" t="s">
        <v>24</v>
      </c>
      <c r="I912" s="3">
        <v>14859</v>
      </c>
      <c r="J912" t="b">
        <v>1</v>
      </c>
      <c r="K912" t="b">
        <v>0</v>
      </c>
      <c r="L912" t="b">
        <v>1</v>
      </c>
    </row>
    <row r="913" spans="1:12" x14ac:dyDescent="0.3">
      <c r="A913">
        <v>21</v>
      </c>
      <c r="B913" t="s">
        <v>25</v>
      </c>
      <c r="C913" s="1">
        <v>8</v>
      </c>
      <c r="D913" t="s">
        <v>19</v>
      </c>
      <c r="E913" t="s">
        <v>20</v>
      </c>
      <c r="F913" t="s">
        <v>15</v>
      </c>
      <c r="G913" t="s">
        <v>16</v>
      </c>
      <c r="H913" t="s">
        <v>17</v>
      </c>
      <c r="I913" s="3">
        <v>18893</v>
      </c>
      <c r="J913" t="b">
        <v>1</v>
      </c>
      <c r="K913" t="b">
        <v>0</v>
      </c>
      <c r="L913" t="b">
        <v>1</v>
      </c>
    </row>
    <row r="914" spans="1:12" x14ac:dyDescent="0.3">
      <c r="A914">
        <v>27</v>
      </c>
      <c r="B914" t="s">
        <v>18</v>
      </c>
      <c r="C914" s="1">
        <v>2</v>
      </c>
      <c r="D914" t="s">
        <v>13</v>
      </c>
      <c r="E914" t="s">
        <v>26</v>
      </c>
      <c r="F914" t="s">
        <v>22</v>
      </c>
      <c r="G914" t="s">
        <v>23</v>
      </c>
      <c r="H914" t="s">
        <v>21</v>
      </c>
      <c r="I914" s="3">
        <v>18118</v>
      </c>
      <c r="J914" t="b">
        <v>0</v>
      </c>
      <c r="K914" t="b">
        <v>1</v>
      </c>
      <c r="L914" t="b">
        <v>1</v>
      </c>
    </row>
    <row r="915" spans="1:12" x14ac:dyDescent="0.3">
      <c r="A915">
        <v>20</v>
      </c>
      <c r="B915" t="s">
        <v>12</v>
      </c>
      <c r="C915" s="1">
        <v>6</v>
      </c>
      <c r="D915" t="s">
        <v>19</v>
      </c>
      <c r="E915" t="s">
        <v>26</v>
      </c>
      <c r="F915" t="s">
        <v>27</v>
      </c>
      <c r="G915" t="s">
        <v>23</v>
      </c>
      <c r="H915" t="s">
        <v>21</v>
      </c>
      <c r="I915" s="3">
        <v>12989</v>
      </c>
      <c r="J915" t="b">
        <v>1</v>
      </c>
      <c r="K915" t="b">
        <v>0</v>
      </c>
      <c r="L915" t="b">
        <v>0</v>
      </c>
    </row>
    <row r="916" spans="1:12" x14ac:dyDescent="0.3">
      <c r="A916">
        <v>58</v>
      </c>
      <c r="B916" t="s">
        <v>18</v>
      </c>
      <c r="C916" s="1">
        <v>3</v>
      </c>
      <c r="D916" t="s">
        <v>28</v>
      </c>
      <c r="E916" t="s">
        <v>20</v>
      </c>
      <c r="F916" t="s">
        <v>15</v>
      </c>
      <c r="G916" t="s">
        <v>29</v>
      </c>
      <c r="H916" t="s">
        <v>17</v>
      </c>
      <c r="I916" s="3">
        <v>18343</v>
      </c>
      <c r="J916" t="b">
        <v>0</v>
      </c>
      <c r="K916" t="b">
        <v>0</v>
      </c>
      <c r="L916" t="b">
        <v>0</v>
      </c>
    </row>
    <row r="917" spans="1:12" x14ac:dyDescent="0.3">
      <c r="A917">
        <v>62</v>
      </c>
      <c r="B917" t="s">
        <v>12</v>
      </c>
      <c r="C917" s="1">
        <v>5</v>
      </c>
      <c r="D917" t="s">
        <v>28</v>
      </c>
      <c r="E917" t="s">
        <v>14</v>
      </c>
      <c r="F917" t="s">
        <v>15</v>
      </c>
      <c r="G917" t="s">
        <v>29</v>
      </c>
      <c r="H917" t="s">
        <v>24</v>
      </c>
      <c r="I917" s="3">
        <v>11325</v>
      </c>
      <c r="J917" t="b">
        <v>0</v>
      </c>
      <c r="K917" t="b">
        <v>1</v>
      </c>
      <c r="L917" t="b">
        <v>1</v>
      </c>
    </row>
    <row r="918" spans="1:12" x14ac:dyDescent="0.3">
      <c r="A918">
        <v>35</v>
      </c>
      <c r="B918" t="s">
        <v>25</v>
      </c>
      <c r="C918" s="1">
        <v>8</v>
      </c>
      <c r="D918" t="s">
        <v>19</v>
      </c>
      <c r="E918" t="s">
        <v>20</v>
      </c>
      <c r="F918" t="s">
        <v>22</v>
      </c>
      <c r="G918" t="s">
        <v>23</v>
      </c>
      <c r="H918" t="s">
        <v>21</v>
      </c>
      <c r="I918" s="3">
        <v>19493</v>
      </c>
      <c r="J918" t="b">
        <v>0</v>
      </c>
      <c r="K918" t="b">
        <v>0</v>
      </c>
      <c r="L918" t="b">
        <v>0</v>
      </c>
    </row>
    <row r="919" spans="1:12" x14ac:dyDescent="0.3">
      <c r="A919">
        <v>64</v>
      </c>
      <c r="B919" t="s">
        <v>25</v>
      </c>
      <c r="C919" s="1">
        <v>1</v>
      </c>
      <c r="D919" t="s">
        <v>28</v>
      </c>
      <c r="E919" t="s">
        <v>20</v>
      </c>
      <c r="F919" t="s">
        <v>15</v>
      </c>
      <c r="G919" t="s">
        <v>23</v>
      </c>
      <c r="H919" t="s">
        <v>24</v>
      </c>
      <c r="I919" s="3">
        <v>19903</v>
      </c>
      <c r="J919" t="b">
        <v>1</v>
      </c>
      <c r="K919" t="b">
        <v>1</v>
      </c>
      <c r="L919" t="b">
        <v>1</v>
      </c>
    </row>
    <row r="920" spans="1:12" x14ac:dyDescent="0.3">
      <c r="A920">
        <v>53</v>
      </c>
      <c r="B920" t="s">
        <v>12</v>
      </c>
      <c r="C920" s="1">
        <v>5</v>
      </c>
      <c r="D920" t="s">
        <v>13</v>
      </c>
      <c r="E920" t="s">
        <v>14</v>
      </c>
      <c r="F920" t="s">
        <v>22</v>
      </c>
      <c r="G920" t="s">
        <v>23</v>
      </c>
      <c r="H920" t="s">
        <v>21</v>
      </c>
      <c r="I920" s="3">
        <v>15127</v>
      </c>
      <c r="J920" t="b">
        <v>0</v>
      </c>
      <c r="K920" t="b">
        <v>0</v>
      </c>
      <c r="L920" t="b">
        <v>1</v>
      </c>
    </row>
    <row r="921" spans="1:12" x14ac:dyDescent="0.3">
      <c r="A921">
        <v>64</v>
      </c>
      <c r="B921" t="s">
        <v>18</v>
      </c>
      <c r="C921" s="1">
        <v>3</v>
      </c>
      <c r="D921" t="s">
        <v>13</v>
      </c>
      <c r="E921" t="s">
        <v>26</v>
      </c>
      <c r="F921" t="s">
        <v>27</v>
      </c>
      <c r="G921" t="s">
        <v>16</v>
      </c>
      <c r="H921" t="s">
        <v>17</v>
      </c>
      <c r="I921" s="3">
        <v>18998</v>
      </c>
      <c r="J921" t="b">
        <v>0</v>
      </c>
      <c r="K921" t="b">
        <v>1</v>
      </c>
      <c r="L921" t="b">
        <v>0</v>
      </c>
    </row>
    <row r="922" spans="1:12" x14ac:dyDescent="0.3">
      <c r="A922">
        <v>39</v>
      </c>
      <c r="B922" t="s">
        <v>18</v>
      </c>
      <c r="C922" s="1">
        <v>4</v>
      </c>
      <c r="D922" t="s">
        <v>13</v>
      </c>
      <c r="E922" t="s">
        <v>20</v>
      </c>
      <c r="F922" t="s">
        <v>22</v>
      </c>
      <c r="G922" t="s">
        <v>16</v>
      </c>
      <c r="H922" t="s">
        <v>24</v>
      </c>
      <c r="I922" s="3">
        <v>12722</v>
      </c>
      <c r="J922" t="b">
        <v>0</v>
      </c>
      <c r="K922" t="b">
        <v>1</v>
      </c>
      <c r="L922" t="b">
        <v>0</v>
      </c>
    </row>
    <row r="923" spans="1:12" x14ac:dyDescent="0.3">
      <c r="A923">
        <v>51</v>
      </c>
      <c r="B923" t="s">
        <v>18</v>
      </c>
      <c r="C923" s="1">
        <v>2</v>
      </c>
      <c r="D923" t="s">
        <v>28</v>
      </c>
      <c r="E923" t="s">
        <v>20</v>
      </c>
      <c r="F923" t="s">
        <v>15</v>
      </c>
      <c r="G923" t="s">
        <v>16</v>
      </c>
      <c r="H923" t="s">
        <v>24</v>
      </c>
      <c r="I923" s="3">
        <v>14656</v>
      </c>
      <c r="J923" t="b">
        <v>0</v>
      </c>
      <c r="K923" t="b">
        <v>0</v>
      </c>
      <c r="L923" t="b">
        <v>1</v>
      </c>
    </row>
    <row r="924" spans="1:12" x14ac:dyDescent="0.3">
      <c r="A924">
        <v>64</v>
      </c>
      <c r="B924" t="s">
        <v>18</v>
      </c>
      <c r="C924" s="1">
        <v>9</v>
      </c>
      <c r="D924" t="s">
        <v>13</v>
      </c>
      <c r="E924" t="s">
        <v>26</v>
      </c>
      <c r="F924" t="s">
        <v>27</v>
      </c>
      <c r="G924" t="s">
        <v>23</v>
      </c>
      <c r="H924" t="s">
        <v>24</v>
      </c>
      <c r="I924" s="3">
        <v>11325</v>
      </c>
      <c r="J924" t="b">
        <v>0</v>
      </c>
      <c r="K924" t="b">
        <v>1</v>
      </c>
      <c r="L924" t="b">
        <v>1</v>
      </c>
    </row>
    <row r="925" spans="1:12" x14ac:dyDescent="0.3">
      <c r="A925">
        <v>25</v>
      </c>
      <c r="B925" t="s">
        <v>25</v>
      </c>
      <c r="C925" s="1">
        <v>3</v>
      </c>
      <c r="D925" t="s">
        <v>28</v>
      </c>
      <c r="E925" t="s">
        <v>26</v>
      </c>
      <c r="F925" t="s">
        <v>22</v>
      </c>
      <c r="G925" t="s">
        <v>23</v>
      </c>
      <c r="H925" t="s">
        <v>21</v>
      </c>
      <c r="I925" s="3">
        <v>14133</v>
      </c>
      <c r="J925" t="b">
        <v>0</v>
      </c>
      <c r="K925" t="b">
        <v>1</v>
      </c>
      <c r="L925" t="b">
        <v>0</v>
      </c>
    </row>
    <row r="926" spans="1:12" x14ac:dyDescent="0.3">
      <c r="A926">
        <v>57</v>
      </c>
      <c r="B926" t="s">
        <v>25</v>
      </c>
      <c r="C926" s="1">
        <v>2</v>
      </c>
      <c r="D926" t="s">
        <v>13</v>
      </c>
      <c r="E926" t="s">
        <v>14</v>
      </c>
      <c r="F926" t="s">
        <v>27</v>
      </c>
      <c r="G926" t="s">
        <v>16</v>
      </c>
      <c r="H926" t="s">
        <v>21</v>
      </c>
      <c r="I926" s="3">
        <v>19351</v>
      </c>
      <c r="J926" t="b">
        <v>0</v>
      </c>
      <c r="K926" t="b">
        <v>0</v>
      </c>
      <c r="L926" t="b">
        <v>0</v>
      </c>
    </row>
    <row r="927" spans="1:12" x14ac:dyDescent="0.3">
      <c r="A927">
        <v>61</v>
      </c>
      <c r="B927" t="s">
        <v>25</v>
      </c>
      <c r="C927" s="1">
        <v>9</v>
      </c>
      <c r="D927" t="s">
        <v>19</v>
      </c>
      <c r="E927" t="s">
        <v>26</v>
      </c>
      <c r="F927" t="s">
        <v>27</v>
      </c>
      <c r="G927" t="s">
        <v>16</v>
      </c>
      <c r="H927" t="s">
        <v>21</v>
      </c>
      <c r="I927" s="3">
        <v>12869</v>
      </c>
      <c r="J927" t="b">
        <v>0</v>
      </c>
      <c r="K927" t="b">
        <v>0</v>
      </c>
      <c r="L927" t="b">
        <v>1</v>
      </c>
    </row>
    <row r="928" spans="1:12" x14ac:dyDescent="0.3">
      <c r="A928">
        <v>36</v>
      </c>
      <c r="B928" t="s">
        <v>25</v>
      </c>
      <c r="C928" s="1">
        <v>7</v>
      </c>
      <c r="D928" t="s">
        <v>28</v>
      </c>
      <c r="E928" t="s">
        <v>26</v>
      </c>
      <c r="F928" t="s">
        <v>15</v>
      </c>
      <c r="G928" t="s">
        <v>23</v>
      </c>
      <c r="H928" t="s">
        <v>17</v>
      </c>
      <c r="I928" s="3">
        <v>11242</v>
      </c>
      <c r="J928" t="b">
        <v>0</v>
      </c>
      <c r="K928" t="b">
        <v>1</v>
      </c>
      <c r="L928" t="b">
        <v>1</v>
      </c>
    </row>
    <row r="929" spans="1:12" x14ac:dyDescent="0.3">
      <c r="A929">
        <v>59</v>
      </c>
      <c r="B929" t="s">
        <v>25</v>
      </c>
      <c r="C929" s="1">
        <v>6</v>
      </c>
      <c r="D929" t="s">
        <v>28</v>
      </c>
      <c r="E929" t="s">
        <v>26</v>
      </c>
      <c r="F929" t="s">
        <v>27</v>
      </c>
      <c r="G929" t="s">
        <v>29</v>
      </c>
      <c r="H929" t="s">
        <v>21</v>
      </c>
      <c r="I929" s="3">
        <v>18539</v>
      </c>
      <c r="J929" t="b">
        <v>0</v>
      </c>
      <c r="K929" t="b">
        <v>0</v>
      </c>
      <c r="L929" t="b">
        <v>1</v>
      </c>
    </row>
    <row r="930" spans="1:12" x14ac:dyDescent="0.3">
      <c r="A930">
        <v>58</v>
      </c>
      <c r="B930" t="s">
        <v>18</v>
      </c>
      <c r="C930" s="1">
        <v>1</v>
      </c>
      <c r="D930" t="s">
        <v>13</v>
      </c>
      <c r="E930" t="s">
        <v>14</v>
      </c>
      <c r="F930" t="s">
        <v>15</v>
      </c>
      <c r="G930" t="s">
        <v>16</v>
      </c>
      <c r="H930" t="s">
        <v>17</v>
      </c>
      <c r="I930" s="3">
        <v>11831</v>
      </c>
      <c r="J930" t="b">
        <v>0</v>
      </c>
      <c r="K930" t="b">
        <v>1</v>
      </c>
      <c r="L930" t="b">
        <v>0</v>
      </c>
    </row>
    <row r="931" spans="1:12" x14ac:dyDescent="0.3">
      <c r="A931">
        <v>54</v>
      </c>
      <c r="B931" t="s">
        <v>18</v>
      </c>
      <c r="C931" s="1">
        <v>5</v>
      </c>
      <c r="D931" t="s">
        <v>28</v>
      </c>
      <c r="E931" t="s">
        <v>26</v>
      </c>
      <c r="F931" t="s">
        <v>27</v>
      </c>
      <c r="G931" t="s">
        <v>23</v>
      </c>
      <c r="H931" t="s">
        <v>24</v>
      </c>
      <c r="I931" s="3">
        <v>11569</v>
      </c>
      <c r="J931" t="b">
        <v>0</v>
      </c>
      <c r="K931" t="b">
        <v>1</v>
      </c>
      <c r="L931" t="b">
        <v>1</v>
      </c>
    </row>
    <row r="932" spans="1:12" x14ac:dyDescent="0.3">
      <c r="A932">
        <v>23</v>
      </c>
      <c r="B932" t="s">
        <v>18</v>
      </c>
      <c r="C932" s="1">
        <v>3</v>
      </c>
      <c r="D932" t="s">
        <v>28</v>
      </c>
      <c r="E932" t="s">
        <v>26</v>
      </c>
      <c r="F932" t="s">
        <v>22</v>
      </c>
      <c r="G932" t="s">
        <v>23</v>
      </c>
      <c r="H932" t="s">
        <v>24</v>
      </c>
      <c r="I932" s="3">
        <v>17246</v>
      </c>
      <c r="J932" t="b">
        <v>1</v>
      </c>
      <c r="K932" t="b">
        <v>0</v>
      </c>
      <c r="L932" t="b">
        <v>0</v>
      </c>
    </row>
    <row r="933" spans="1:12" x14ac:dyDescent="0.3">
      <c r="A933">
        <v>43</v>
      </c>
      <c r="B933" t="s">
        <v>18</v>
      </c>
      <c r="C933" s="1">
        <v>1</v>
      </c>
      <c r="D933" t="s">
        <v>19</v>
      </c>
      <c r="E933" t="s">
        <v>14</v>
      </c>
      <c r="F933" t="s">
        <v>27</v>
      </c>
      <c r="G933" t="s">
        <v>29</v>
      </c>
      <c r="H933" t="s">
        <v>17</v>
      </c>
      <c r="I933" s="3">
        <v>11918</v>
      </c>
      <c r="J933" t="b">
        <v>1</v>
      </c>
      <c r="K933" t="b">
        <v>0</v>
      </c>
      <c r="L933" t="b">
        <v>1</v>
      </c>
    </row>
    <row r="934" spans="1:12" x14ac:dyDescent="0.3">
      <c r="A934">
        <v>51</v>
      </c>
      <c r="B934" t="s">
        <v>25</v>
      </c>
      <c r="C934" s="1">
        <v>4</v>
      </c>
      <c r="D934" t="s">
        <v>19</v>
      </c>
      <c r="E934" t="s">
        <v>26</v>
      </c>
      <c r="F934" t="s">
        <v>22</v>
      </c>
      <c r="G934" t="s">
        <v>23</v>
      </c>
      <c r="H934" t="s">
        <v>21</v>
      </c>
      <c r="I934" s="3">
        <v>16416</v>
      </c>
      <c r="J934" t="b">
        <v>0</v>
      </c>
      <c r="K934" t="b">
        <v>1</v>
      </c>
      <c r="L934" t="b">
        <v>0</v>
      </c>
    </row>
    <row r="935" spans="1:12" x14ac:dyDescent="0.3">
      <c r="A935">
        <v>62</v>
      </c>
      <c r="B935" t="s">
        <v>25</v>
      </c>
      <c r="C935" s="1">
        <v>2</v>
      </c>
      <c r="D935" t="s">
        <v>13</v>
      </c>
      <c r="E935" t="s">
        <v>26</v>
      </c>
      <c r="F935" t="s">
        <v>22</v>
      </c>
      <c r="G935" t="s">
        <v>23</v>
      </c>
      <c r="H935" t="s">
        <v>17</v>
      </c>
      <c r="I935" s="3">
        <v>13232</v>
      </c>
      <c r="J935" t="b">
        <v>0</v>
      </c>
      <c r="K935" t="b">
        <v>0</v>
      </c>
      <c r="L935" t="b">
        <v>0</v>
      </c>
    </row>
    <row r="936" spans="1:12" x14ac:dyDescent="0.3">
      <c r="A936">
        <v>23</v>
      </c>
      <c r="B936" t="s">
        <v>25</v>
      </c>
      <c r="C936" s="1">
        <v>2</v>
      </c>
      <c r="D936" t="s">
        <v>19</v>
      </c>
      <c r="E936" t="s">
        <v>14</v>
      </c>
      <c r="F936" t="s">
        <v>27</v>
      </c>
      <c r="G936" t="s">
        <v>16</v>
      </c>
      <c r="H936" t="s">
        <v>24</v>
      </c>
      <c r="I936" s="3">
        <v>13758</v>
      </c>
      <c r="J936" t="b">
        <v>0</v>
      </c>
      <c r="K936" t="b">
        <v>0</v>
      </c>
      <c r="L936" t="b">
        <v>0</v>
      </c>
    </row>
    <row r="937" spans="1:12" x14ac:dyDescent="0.3">
      <c r="A937">
        <v>54</v>
      </c>
      <c r="B937" t="s">
        <v>12</v>
      </c>
      <c r="C937" s="1">
        <v>3</v>
      </c>
      <c r="D937" t="s">
        <v>13</v>
      </c>
      <c r="E937" t="s">
        <v>20</v>
      </c>
      <c r="F937" t="s">
        <v>22</v>
      </c>
      <c r="G937" t="s">
        <v>16</v>
      </c>
      <c r="H937" t="s">
        <v>24</v>
      </c>
      <c r="I937" s="3">
        <v>15997</v>
      </c>
      <c r="J937" t="b">
        <v>1</v>
      </c>
      <c r="K937" t="b">
        <v>1</v>
      </c>
      <c r="L937" t="b">
        <v>0</v>
      </c>
    </row>
    <row r="938" spans="1:12" x14ac:dyDescent="0.3">
      <c r="A938">
        <v>50</v>
      </c>
      <c r="B938" t="s">
        <v>18</v>
      </c>
      <c r="C938" s="1">
        <v>8</v>
      </c>
      <c r="D938" t="s">
        <v>13</v>
      </c>
      <c r="E938" t="s">
        <v>14</v>
      </c>
      <c r="F938" t="s">
        <v>27</v>
      </c>
      <c r="G938" t="s">
        <v>29</v>
      </c>
      <c r="H938" t="s">
        <v>17</v>
      </c>
      <c r="I938" s="3">
        <v>12355</v>
      </c>
      <c r="J938" t="b">
        <v>1</v>
      </c>
      <c r="K938" t="b">
        <v>1</v>
      </c>
      <c r="L938" t="b">
        <v>1</v>
      </c>
    </row>
    <row r="939" spans="1:12" x14ac:dyDescent="0.3">
      <c r="A939">
        <v>39</v>
      </c>
      <c r="B939" t="s">
        <v>18</v>
      </c>
      <c r="C939" s="1">
        <v>8</v>
      </c>
      <c r="D939" t="s">
        <v>13</v>
      </c>
      <c r="E939" t="s">
        <v>26</v>
      </c>
      <c r="F939" t="s">
        <v>27</v>
      </c>
      <c r="G939" t="s">
        <v>29</v>
      </c>
      <c r="H939" t="s">
        <v>21</v>
      </c>
      <c r="I939" s="3">
        <v>19589</v>
      </c>
      <c r="J939" t="b">
        <v>1</v>
      </c>
      <c r="K939" t="b">
        <v>1</v>
      </c>
      <c r="L939" t="b">
        <v>0</v>
      </c>
    </row>
    <row r="940" spans="1:12" x14ac:dyDescent="0.3">
      <c r="A940">
        <v>38</v>
      </c>
      <c r="B940" t="s">
        <v>25</v>
      </c>
      <c r="C940" s="1">
        <v>7</v>
      </c>
      <c r="D940" t="s">
        <v>28</v>
      </c>
      <c r="E940" t="s">
        <v>26</v>
      </c>
      <c r="F940" t="s">
        <v>22</v>
      </c>
      <c r="G940" t="s">
        <v>23</v>
      </c>
      <c r="H940" t="s">
        <v>21</v>
      </c>
      <c r="I940" s="3">
        <v>11824</v>
      </c>
      <c r="J940" t="b">
        <v>0</v>
      </c>
      <c r="K940" t="b">
        <v>1</v>
      </c>
      <c r="L940" t="b">
        <v>0</v>
      </c>
    </row>
    <row r="941" spans="1:12" x14ac:dyDescent="0.3">
      <c r="A941">
        <v>23</v>
      </c>
      <c r="B941" t="s">
        <v>18</v>
      </c>
      <c r="C941" s="1">
        <v>6</v>
      </c>
      <c r="D941" t="s">
        <v>19</v>
      </c>
      <c r="E941" t="s">
        <v>26</v>
      </c>
      <c r="F941" t="s">
        <v>22</v>
      </c>
      <c r="G941" t="s">
        <v>16</v>
      </c>
      <c r="H941" t="s">
        <v>17</v>
      </c>
      <c r="I941" s="3">
        <v>17280</v>
      </c>
      <c r="J941" t="b">
        <v>0</v>
      </c>
      <c r="K941" t="b">
        <v>1</v>
      </c>
      <c r="L941" t="b">
        <v>0</v>
      </c>
    </row>
    <row r="942" spans="1:12" x14ac:dyDescent="0.3">
      <c r="A942">
        <v>23</v>
      </c>
      <c r="B942" t="s">
        <v>18</v>
      </c>
      <c r="C942" s="1">
        <v>9</v>
      </c>
      <c r="D942" t="s">
        <v>13</v>
      </c>
      <c r="E942" t="s">
        <v>14</v>
      </c>
      <c r="F942" t="s">
        <v>15</v>
      </c>
      <c r="G942" t="s">
        <v>29</v>
      </c>
      <c r="H942" t="s">
        <v>17</v>
      </c>
      <c r="I942" s="3">
        <v>14060</v>
      </c>
      <c r="J942" t="b">
        <v>0</v>
      </c>
      <c r="K942" t="b">
        <v>1</v>
      </c>
      <c r="L942" t="b">
        <v>1</v>
      </c>
    </row>
    <row r="943" spans="1:12" x14ac:dyDescent="0.3">
      <c r="A943">
        <v>21</v>
      </c>
      <c r="B943" t="s">
        <v>25</v>
      </c>
      <c r="C943" s="1">
        <v>4</v>
      </c>
      <c r="D943" t="s">
        <v>19</v>
      </c>
      <c r="E943" t="s">
        <v>26</v>
      </c>
      <c r="F943" t="s">
        <v>22</v>
      </c>
      <c r="G943" t="s">
        <v>29</v>
      </c>
      <c r="H943" t="s">
        <v>21</v>
      </c>
      <c r="I943" s="3">
        <v>15324</v>
      </c>
      <c r="J943" t="b">
        <v>0</v>
      </c>
      <c r="K943" t="b">
        <v>0</v>
      </c>
      <c r="L943" t="b">
        <v>1</v>
      </c>
    </row>
    <row r="944" spans="1:12" x14ac:dyDescent="0.3">
      <c r="A944">
        <v>47</v>
      </c>
      <c r="B944" t="s">
        <v>12</v>
      </c>
      <c r="C944" s="1">
        <v>1</v>
      </c>
      <c r="D944" t="s">
        <v>13</v>
      </c>
      <c r="E944" t="s">
        <v>26</v>
      </c>
      <c r="F944" t="s">
        <v>15</v>
      </c>
      <c r="G944" t="s">
        <v>29</v>
      </c>
      <c r="H944" t="s">
        <v>24</v>
      </c>
      <c r="I944" s="3">
        <v>10404</v>
      </c>
      <c r="J944" t="b">
        <v>1</v>
      </c>
      <c r="K944" t="b">
        <v>1</v>
      </c>
      <c r="L944" t="b">
        <v>1</v>
      </c>
    </row>
    <row r="945" spans="1:12" x14ac:dyDescent="0.3">
      <c r="A945">
        <v>28</v>
      </c>
      <c r="B945" t="s">
        <v>12</v>
      </c>
      <c r="C945" s="1">
        <v>8</v>
      </c>
      <c r="D945" t="s">
        <v>19</v>
      </c>
      <c r="E945" t="s">
        <v>14</v>
      </c>
      <c r="F945" t="s">
        <v>22</v>
      </c>
      <c r="G945" t="s">
        <v>23</v>
      </c>
      <c r="H945" t="s">
        <v>17</v>
      </c>
      <c r="I945" s="3">
        <v>11721</v>
      </c>
      <c r="J945" t="b">
        <v>0</v>
      </c>
      <c r="K945" t="b">
        <v>0</v>
      </c>
      <c r="L945" t="b">
        <v>1</v>
      </c>
    </row>
    <row r="946" spans="1:12" x14ac:dyDescent="0.3">
      <c r="A946">
        <v>47</v>
      </c>
      <c r="B946" t="s">
        <v>12</v>
      </c>
      <c r="C946" s="1">
        <v>7</v>
      </c>
      <c r="D946" t="s">
        <v>19</v>
      </c>
      <c r="E946" t="s">
        <v>20</v>
      </c>
      <c r="F946" t="s">
        <v>27</v>
      </c>
      <c r="G946" t="s">
        <v>16</v>
      </c>
      <c r="H946" t="s">
        <v>21</v>
      </c>
      <c r="I946" s="3">
        <v>15316</v>
      </c>
      <c r="J946" t="b">
        <v>1</v>
      </c>
      <c r="K946" t="b">
        <v>0</v>
      </c>
      <c r="L946" t="b">
        <v>1</v>
      </c>
    </row>
    <row r="947" spans="1:12" x14ac:dyDescent="0.3">
      <c r="A947">
        <v>48</v>
      </c>
      <c r="B947" t="s">
        <v>25</v>
      </c>
      <c r="C947" s="1">
        <v>7</v>
      </c>
      <c r="D947" t="s">
        <v>13</v>
      </c>
      <c r="E947" t="s">
        <v>20</v>
      </c>
      <c r="F947" t="s">
        <v>22</v>
      </c>
      <c r="G947" t="s">
        <v>29</v>
      </c>
      <c r="H947" t="s">
        <v>21</v>
      </c>
      <c r="I947" s="3">
        <v>13845</v>
      </c>
      <c r="J947" t="b">
        <v>1</v>
      </c>
      <c r="K947" t="b">
        <v>1</v>
      </c>
      <c r="L947" t="b">
        <v>1</v>
      </c>
    </row>
    <row r="948" spans="1:12" x14ac:dyDescent="0.3">
      <c r="A948">
        <v>41</v>
      </c>
      <c r="B948" t="s">
        <v>18</v>
      </c>
      <c r="C948" s="1">
        <v>3</v>
      </c>
      <c r="D948" t="s">
        <v>28</v>
      </c>
      <c r="E948" t="s">
        <v>26</v>
      </c>
      <c r="F948" t="s">
        <v>27</v>
      </c>
      <c r="G948" t="s">
        <v>16</v>
      </c>
      <c r="H948" t="s">
        <v>24</v>
      </c>
      <c r="I948" s="3">
        <v>14210</v>
      </c>
      <c r="J948" t="b">
        <v>0</v>
      </c>
      <c r="K948" t="b">
        <v>0</v>
      </c>
      <c r="L948" t="b">
        <v>0</v>
      </c>
    </row>
    <row r="949" spans="1:12" x14ac:dyDescent="0.3">
      <c r="A949">
        <v>26</v>
      </c>
      <c r="B949" t="s">
        <v>25</v>
      </c>
      <c r="C949" s="1">
        <v>4</v>
      </c>
      <c r="D949" t="s">
        <v>19</v>
      </c>
      <c r="E949" t="s">
        <v>14</v>
      </c>
      <c r="F949" t="s">
        <v>27</v>
      </c>
      <c r="G949" t="s">
        <v>29</v>
      </c>
      <c r="H949" t="s">
        <v>24</v>
      </c>
      <c r="I949" s="3">
        <v>10064</v>
      </c>
      <c r="J949" t="b">
        <v>1</v>
      </c>
      <c r="K949" t="b">
        <v>1</v>
      </c>
      <c r="L949" t="b">
        <v>0</v>
      </c>
    </row>
    <row r="950" spans="1:12" x14ac:dyDescent="0.3">
      <c r="A950">
        <v>20</v>
      </c>
      <c r="B950" t="s">
        <v>25</v>
      </c>
      <c r="C950" s="1">
        <v>9</v>
      </c>
      <c r="D950" t="s">
        <v>28</v>
      </c>
      <c r="E950" t="s">
        <v>26</v>
      </c>
      <c r="F950" t="s">
        <v>27</v>
      </c>
      <c r="G950" t="s">
        <v>29</v>
      </c>
      <c r="H950" t="s">
        <v>24</v>
      </c>
      <c r="I950" s="3">
        <v>19491</v>
      </c>
      <c r="J950" t="b">
        <v>1</v>
      </c>
      <c r="K950" t="b">
        <v>0</v>
      </c>
      <c r="L950" t="b">
        <v>0</v>
      </c>
    </row>
    <row r="951" spans="1:12" x14ac:dyDescent="0.3">
      <c r="A951">
        <v>48</v>
      </c>
      <c r="B951" t="s">
        <v>18</v>
      </c>
      <c r="C951" s="1">
        <v>6</v>
      </c>
      <c r="D951" t="s">
        <v>28</v>
      </c>
      <c r="E951" t="s">
        <v>14</v>
      </c>
      <c r="F951" t="s">
        <v>15</v>
      </c>
      <c r="G951" t="s">
        <v>16</v>
      </c>
      <c r="H951" t="s">
        <v>24</v>
      </c>
      <c r="I951" s="3">
        <v>16382</v>
      </c>
      <c r="J951" t="b">
        <v>1</v>
      </c>
      <c r="K951" t="b">
        <v>1</v>
      </c>
      <c r="L951" t="b">
        <v>1</v>
      </c>
    </row>
    <row r="952" spans="1:12" x14ac:dyDescent="0.3">
      <c r="A952">
        <v>57</v>
      </c>
      <c r="B952" t="s">
        <v>12</v>
      </c>
      <c r="C952" s="1">
        <v>5</v>
      </c>
      <c r="D952" t="s">
        <v>13</v>
      </c>
      <c r="E952" t="s">
        <v>14</v>
      </c>
      <c r="F952" t="s">
        <v>22</v>
      </c>
      <c r="G952" t="s">
        <v>16</v>
      </c>
      <c r="H952" t="s">
        <v>24</v>
      </c>
      <c r="I952" s="3">
        <v>19607</v>
      </c>
      <c r="J952" t="b">
        <v>1</v>
      </c>
      <c r="K952" t="b">
        <v>1</v>
      </c>
      <c r="L952" t="b">
        <v>0</v>
      </c>
    </row>
    <row r="953" spans="1:12" x14ac:dyDescent="0.3">
      <c r="A953">
        <v>54</v>
      </c>
      <c r="B953" t="s">
        <v>12</v>
      </c>
      <c r="C953" s="1">
        <v>3</v>
      </c>
      <c r="D953" t="s">
        <v>13</v>
      </c>
      <c r="E953" t="s">
        <v>20</v>
      </c>
      <c r="F953" t="s">
        <v>27</v>
      </c>
      <c r="G953" t="s">
        <v>16</v>
      </c>
      <c r="H953" t="s">
        <v>17</v>
      </c>
      <c r="I953" s="3">
        <v>10968</v>
      </c>
      <c r="J953" t="b">
        <v>0</v>
      </c>
      <c r="K953" t="b">
        <v>1</v>
      </c>
      <c r="L953" t="b">
        <v>0</v>
      </c>
    </row>
    <row r="954" spans="1:12" x14ac:dyDescent="0.3">
      <c r="A954">
        <v>53</v>
      </c>
      <c r="B954" t="s">
        <v>25</v>
      </c>
      <c r="C954" s="1">
        <v>9</v>
      </c>
      <c r="D954" t="s">
        <v>13</v>
      </c>
      <c r="E954" t="s">
        <v>20</v>
      </c>
      <c r="F954" t="s">
        <v>27</v>
      </c>
      <c r="G954" t="s">
        <v>23</v>
      </c>
      <c r="H954" t="s">
        <v>21</v>
      </c>
      <c r="I954" s="3">
        <v>10368</v>
      </c>
      <c r="J954" t="b">
        <v>0</v>
      </c>
      <c r="K954" t="b">
        <v>1</v>
      </c>
      <c r="L954" t="b">
        <v>1</v>
      </c>
    </row>
    <row r="955" spans="1:12" x14ac:dyDescent="0.3">
      <c r="A955">
        <v>41</v>
      </c>
      <c r="B955" t="s">
        <v>12</v>
      </c>
      <c r="C955" s="1">
        <v>5</v>
      </c>
      <c r="D955" t="s">
        <v>19</v>
      </c>
      <c r="E955" t="s">
        <v>14</v>
      </c>
      <c r="F955" t="s">
        <v>15</v>
      </c>
      <c r="G955" t="s">
        <v>29</v>
      </c>
      <c r="H955" t="s">
        <v>17</v>
      </c>
      <c r="I955" s="3">
        <v>18424</v>
      </c>
      <c r="J955" t="b">
        <v>1</v>
      </c>
      <c r="K955" t="b">
        <v>0</v>
      </c>
      <c r="L955" t="b">
        <v>0</v>
      </c>
    </row>
    <row r="956" spans="1:12" x14ac:dyDescent="0.3">
      <c r="A956">
        <v>48</v>
      </c>
      <c r="B956" t="s">
        <v>25</v>
      </c>
      <c r="C956" s="1">
        <v>5</v>
      </c>
      <c r="D956" t="s">
        <v>13</v>
      </c>
      <c r="E956" t="s">
        <v>26</v>
      </c>
      <c r="F956" t="s">
        <v>22</v>
      </c>
      <c r="G956" t="s">
        <v>23</v>
      </c>
      <c r="H956" t="s">
        <v>17</v>
      </c>
      <c r="I956" s="3">
        <v>12242</v>
      </c>
      <c r="J956" t="b">
        <v>0</v>
      </c>
      <c r="K956" t="b">
        <v>0</v>
      </c>
      <c r="L956" t="b">
        <v>1</v>
      </c>
    </row>
    <row r="957" spans="1:12" x14ac:dyDescent="0.3">
      <c r="A957">
        <v>23</v>
      </c>
      <c r="B957" t="s">
        <v>25</v>
      </c>
      <c r="C957" s="1">
        <v>4</v>
      </c>
      <c r="D957" t="s">
        <v>13</v>
      </c>
      <c r="E957" t="s">
        <v>20</v>
      </c>
      <c r="F957" t="s">
        <v>22</v>
      </c>
      <c r="G957" t="s">
        <v>16</v>
      </c>
      <c r="H957" t="s">
        <v>17</v>
      </c>
      <c r="I957" s="3">
        <v>15002</v>
      </c>
      <c r="J957" t="b">
        <v>1</v>
      </c>
      <c r="K957" t="b">
        <v>0</v>
      </c>
      <c r="L957" t="b">
        <v>0</v>
      </c>
    </row>
    <row r="958" spans="1:12" x14ac:dyDescent="0.3">
      <c r="A958">
        <v>19</v>
      </c>
      <c r="B958" t="s">
        <v>18</v>
      </c>
      <c r="C958" s="1">
        <v>4</v>
      </c>
      <c r="D958" t="s">
        <v>19</v>
      </c>
      <c r="E958" t="s">
        <v>26</v>
      </c>
      <c r="F958" t="s">
        <v>15</v>
      </c>
      <c r="G958" t="s">
        <v>29</v>
      </c>
      <c r="H958" t="s">
        <v>17</v>
      </c>
      <c r="I958" s="3">
        <v>13083</v>
      </c>
      <c r="J958" t="b">
        <v>0</v>
      </c>
      <c r="K958" t="b">
        <v>0</v>
      </c>
      <c r="L958" t="b">
        <v>1</v>
      </c>
    </row>
    <row r="959" spans="1:12" x14ac:dyDescent="0.3">
      <c r="A959">
        <v>37</v>
      </c>
      <c r="B959" t="s">
        <v>18</v>
      </c>
      <c r="C959" s="1">
        <v>1</v>
      </c>
      <c r="D959" t="s">
        <v>19</v>
      </c>
      <c r="E959" t="s">
        <v>20</v>
      </c>
      <c r="F959" t="s">
        <v>15</v>
      </c>
      <c r="G959" t="s">
        <v>23</v>
      </c>
      <c r="H959" t="s">
        <v>17</v>
      </c>
      <c r="I959" s="3">
        <v>18073</v>
      </c>
      <c r="J959" t="b">
        <v>0</v>
      </c>
      <c r="K959" t="b">
        <v>0</v>
      </c>
      <c r="L959" t="b">
        <v>1</v>
      </c>
    </row>
    <row r="960" spans="1:12" x14ac:dyDescent="0.3">
      <c r="A960">
        <v>45</v>
      </c>
      <c r="B960" t="s">
        <v>18</v>
      </c>
      <c r="C960" s="1">
        <v>7</v>
      </c>
      <c r="D960" t="s">
        <v>13</v>
      </c>
      <c r="E960" t="s">
        <v>20</v>
      </c>
      <c r="F960" t="s">
        <v>22</v>
      </c>
      <c r="G960" t="s">
        <v>29</v>
      </c>
      <c r="H960" t="s">
        <v>24</v>
      </c>
      <c r="I960" s="3">
        <v>19112</v>
      </c>
      <c r="J960" t="b">
        <v>0</v>
      </c>
      <c r="K960" t="b">
        <v>1</v>
      </c>
      <c r="L960" t="b">
        <v>1</v>
      </c>
    </row>
    <row r="961" spans="1:12" x14ac:dyDescent="0.3">
      <c r="A961">
        <v>28</v>
      </c>
      <c r="B961" t="s">
        <v>25</v>
      </c>
      <c r="C961" s="1">
        <v>9</v>
      </c>
      <c r="D961" t="s">
        <v>13</v>
      </c>
      <c r="E961" t="s">
        <v>26</v>
      </c>
      <c r="F961" t="s">
        <v>15</v>
      </c>
      <c r="G961" t="s">
        <v>23</v>
      </c>
      <c r="H961" t="s">
        <v>24</v>
      </c>
      <c r="I961" s="3">
        <v>18880</v>
      </c>
      <c r="J961" t="b">
        <v>0</v>
      </c>
      <c r="K961" t="b">
        <v>1</v>
      </c>
      <c r="L961" t="b">
        <v>0</v>
      </c>
    </row>
    <row r="962" spans="1:12" x14ac:dyDescent="0.3">
      <c r="A962">
        <v>21</v>
      </c>
      <c r="B962" t="s">
        <v>18</v>
      </c>
      <c r="C962" s="1">
        <v>3</v>
      </c>
      <c r="D962" t="s">
        <v>13</v>
      </c>
      <c r="E962" t="s">
        <v>20</v>
      </c>
      <c r="F962" t="s">
        <v>22</v>
      </c>
      <c r="G962" t="s">
        <v>16</v>
      </c>
      <c r="H962" t="s">
        <v>21</v>
      </c>
      <c r="I962" s="3">
        <v>11469</v>
      </c>
      <c r="J962" t="b">
        <v>0</v>
      </c>
      <c r="K962" t="b">
        <v>1</v>
      </c>
      <c r="L962" t="b">
        <v>0</v>
      </c>
    </row>
    <row r="963" spans="1:12" x14ac:dyDescent="0.3">
      <c r="A963">
        <v>32</v>
      </c>
      <c r="B963" t="s">
        <v>12</v>
      </c>
      <c r="C963" s="1">
        <v>2</v>
      </c>
      <c r="D963" t="s">
        <v>13</v>
      </c>
      <c r="E963" t="s">
        <v>20</v>
      </c>
      <c r="F963" t="s">
        <v>22</v>
      </c>
      <c r="G963" t="s">
        <v>23</v>
      </c>
      <c r="H963" t="s">
        <v>17</v>
      </c>
      <c r="I963" s="3">
        <v>14725</v>
      </c>
      <c r="J963" t="b">
        <v>1</v>
      </c>
      <c r="K963" t="b">
        <v>1</v>
      </c>
      <c r="L963" t="b">
        <v>1</v>
      </c>
    </row>
    <row r="964" spans="1:12" x14ac:dyDescent="0.3">
      <c r="A964">
        <v>23</v>
      </c>
      <c r="B964" t="s">
        <v>12</v>
      </c>
      <c r="C964" s="1">
        <v>3</v>
      </c>
      <c r="D964" t="s">
        <v>28</v>
      </c>
      <c r="E964" t="s">
        <v>26</v>
      </c>
      <c r="F964" t="s">
        <v>27</v>
      </c>
      <c r="G964" t="s">
        <v>29</v>
      </c>
      <c r="H964" t="s">
        <v>21</v>
      </c>
      <c r="I964" s="3">
        <v>14259</v>
      </c>
      <c r="J964" t="b">
        <v>0</v>
      </c>
      <c r="K964" t="b">
        <v>1</v>
      </c>
      <c r="L964" t="b">
        <v>1</v>
      </c>
    </row>
    <row r="965" spans="1:12" x14ac:dyDescent="0.3">
      <c r="A965">
        <v>47</v>
      </c>
      <c r="B965" t="s">
        <v>25</v>
      </c>
      <c r="C965" s="1">
        <v>1</v>
      </c>
      <c r="D965" t="s">
        <v>28</v>
      </c>
      <c r="E965" t="s">
        <v>20</v>
      </c>
      <c r="F965" t="s">
        <v>27</v>
      </c>
      <c r="G965" t="s">
        <v>29</v>
      </c>
      <c r="H965" t="s">
        <v>24</v>
      </c>
      <c r="I965" s="3">
        <v>13622</v>
      </c>
      <c r="J965" t="b">
        <v>1</v>
      </c>
      <c r="K965" t="b">
        <v>0</v>
      </c>
      <c r="L965" t="b">
        <v>0</v>
      </c>
    </row>
    <row r="966" spans="1:12" x14ac:dyDescent="0.3">
      <c r="A966">
        <v>55</v>
      </c>
      <c r="B966" t="s">
        <v>25</v>
      </c>
      <c r="C966" s="1">
        <v>6</v>
      </c>
      <c r="D966" t="s">
        <v>13</v>
      </c>
      <c r="E966" t="s">
        <v>20</v>
      </c>
      <c r="F966" t="s">
        <v>22</v>
      </c>
      <c r="G966" t="s">
        <v>29</v>
      </c>
      <c r="H966" t="s">
        <v>24</v>
      </c>
      <c r="I966" s="3">
        <v>10823</v>
      </c>
      <c r="J966" t="b">
        <v>1</v>
      </c>
      <c r="K966" t="b">
        <v>1</v>
      </c>
      <c r="L966" t="b">
        <v>0</v>
      </c>
    </row>
    <row r="967" spans="1:12" x14ac:dyDescent="0.3">
      <c r="A967">
        <v>19</v>
      </c>
      <c r="B967" t="s">
        <v>18</v>
      </c>
      <c r="C967" s="1">
        <v>7</v>
      </c>
      <c r="D967" t="s">
        <v>28</v>
      </c>
      <c r="E967" t="s">
        <v>20</v>
      </c>
      <c r="F967" t="s">
        <v>22</v>
      </c>
      <c r="G967" t="s">
        <v>29</v>
      </c>
      <c r="H967" t="s">
        <v>24</v>
      </c>
      <c r="I967" s="3">
        <v>13431</v>
      </c>
      <c r="J967" t="b">
        <v>0</v>
      </c>
      <c r="K967" t="b">
        <v>1</v>
      </c>
      <c r="L967" t="b">
        <v>1</v>
      </c>
    </row>
    <row r="968" spans="1:12" x14ac:dyDescent="0.3">
      <c r="A968">
        <v>32</v>
      </c>
      <c r="B968" t="s">
        <v>25</v>
      </c>
      <c r="C968" s="1">
        <v>2</v>
      </c>
      <c r="D968" t="s">
        <v>19</v>
      </c>
      <c r="E968" t="s">
        <v>26</v>
      </c>
      <c r="F968" t="s">
        <v>22</v>
      </c>
      <c r="G968" t="s">
        <v>16</v>
      </c>
      <c r="H968" t="s">
        <v>17</v>
      </c>
      <c r="I968" s="3">
        <v>16528</v>
      </c>
      <c r="J968" t="b">
        <v>1</v>
      </c>
      <c r="K968" t="b">
        <v>0</v>
      </c>
      <c r="L968" t="b">
        <v>0</v>
      </c>
    </row>
    <row r="969" spans="1:12" x14ac:dyDescent="0.3">
      <c r="A969">
        <v>28</v>
      </c>
      <c r="B969" t="s">
        <v>25</v>
      </c>
      <c r="C969" s="1">
        <v>8</v>
      </c>
      <c r="D969" t="s">
        <v>28</v>
      </c>
      <c r="E969" t="s">
        <v>14</v>
      </c>
      <c r="F969" t="s">
        <v>22</v>
      </c>
      <c r="G969" t="s">
        <v>23</v>
      </c>
      <c r="H969" t="s">
        <v>17</v>
      </c>
      <c r="I969" s="3">
        <v>14151</v>
      </c>
      <c r="J969" t="b">
        <v>0</v>
      </c>
      <c r="K969" t="b">
        <v>0</v>
      </c>
      <c r="L969" t="b">
        <v>0</v>
      </c>
    </row>
    <row r="970" spans="1:12" x14ac:dyDescent="0.3">
      <c r="A970">
        <v>25</v>
      </c>
      <c r="B970" t="s">
        <v>12</v>
      </c>
      <c r="C970" s="1">
        <v>6</v>
      </c>
      <c r="D970" t="s">
        <v>28</v>
      </c>
      <c r="E970" t="s">
        <v>26</v>
      </c>
      <c r="F970" t="s">
        <v>22</v>
      </c>
      <c r="G970" t="s">
        <v>16</v>
      </c>
      <c r="H970" t="s">
        <v>24</v>
      </c>
      <c r="I970" s="3">
        <v>14213</v>
      </c>
      <c r="J970" t="b">
        <v>1</v>
      </c>
      <c r="K970" t="b">
        <v>1</v>
      </c>
      <c r="L970" t="b">
        <v>0</v>
      </c>
    </row>
    <row r="971" spans="1:12" x14ac:dyDescent="0.3">
      <c r="A971">
        <v>43</v>
      </c>
      <c r="B971" t="s">
        <v>12</v>
      </c>
      <c r="C971" s="1">
        <v>4</v>
      </c>
      <c r="D971" t="s">
        <v>13</v>
      </c>
      <c r="E971" t="s">
        <v>14</v>
      </c>
      <c r="F971" t="s">
        <v>22</v>
      </c>
      <c r="G971" t="s">
        <v>16</v>
      </c>
      <c r="H971" t="s">
        <v>21</v>
      </c>
      <c r="I971" s="3">
        <v>17420</v>
      </c>
      <c r="J971" t="b">
        <v>1</v>
      </c>
      <c r="K971" t="b">
        <v>1</v>
      </c>
      <c r="L971" t="b">
        <v>1</v>
      </c>
    </row>
    <row r="972" spans="1:12" x14ac:dyDescent="0.3">
      <c r="A972">
        <v>62</v>
      </c>
      <c r="B972" t="s">
        <v>18</v>
      </c>
      <c r="C972" s="1">
        <v>5</v>
      </c>
      <c r="D972" t="s">
        <v>28</v>
      </c>
      <c r="E972" t="s">
        <v>20</v>
      </c>
      <c r="F972" t="s">
        <v>15</v>
      </c>
      <c r="G972" t="s">
        <v>16</v>
      </c>
      <c r="H972" t="s">
        <v>21</v>
      </c>
      <c r="I972" s="3">
        <v>18989</v>
      </c>
      <c r="J972" t="b">
        <v>0</v>
      </c>
      <c r="K972" t="b">
        <v>0</v>
      </c>
      <c r="L972" t="b">
        <v>1</v>
      </c>
    </row>
    <row r="973" spans="1:12" x14ac:dyDescent="0.3">
      <c r="A973">
        <v>61</v>
      </c>
      <c r="B973" t="s">
        <v>25</v>
      </c>
      <c r="C973" s="1">
        <v>8</v>
      </c>
      <c r="D973" t="s">
        <v>28</v>
      </c>
      <c r="E973" t="s">
        <v>14</v>
      </c>
      <c r="F973" t="s">
        <v>22</v>
      </c>
      <c r="G973" t="s">
        <v>29</v>
      </c>
      <c r="H973" t="s">
        <v>24</v>
      </c>
      <c r="I973" s="3">
        <v>10779</v>
      </c>
      <c r="J973" t="b">
        <v>0</v>
      </c>
      <c r="K973" t="b">
        <v>1</v>
      </c>
      <c r="L973" t="b">
        <v>0</v>
      </c>
    </row>
    <row r="974" spans="1:12" x14ac:dyDescent="0.3">
      <c r="A974">
        <v>22</v>
      </c>
      <c r="B974" t="s">
        <v>25</v>
      </c>
      <c r="C974" s="1">
        <v>3</v>
      </c>
      <c r="D974" t="s">
        <v>28</v>
      </c>
      <c r="E974" t="s">
        <v>26</v>
      </c>
      <c r="F974" t="s">
        <v>15</v>
      </c>
      <c r="G974" t="s">
        <v>29</v>
      </c>
      <c r="H974" t="s">
        <v>21</v>
      </c>
      <c r="I974" s="3">
        <v>12892</v>
      </c>
      <c r="J974" t="b">
        <v>0</v>
      </c>
      <c r="K974" t="b">
        <v>1</v>
      </c>
      <c r="L974" t="b">
        <v>1</v>
      </c>
    </row>
    <row r="975" spans="1:12" x14ac:dyDescent="0.3">
      <c r="A975">
        <v>23</v>
      </c>
      <c r="B975" t="s">
        <v>12</v>
      </c>
      <c r="C975" s="1">
        <v>3</v>
      </c>
      <c r="D975" t="s">
        <v>28</v>
      </c>
      <c r="E975" t="s">
        <v>26</v>
      </c>
      <c r="F975" t="s">
        <v>15</v>
      </c>
      <c r="G975" t="s">
        <v>29</v>
      </c>
      <c r="H975" t="s">
        <v>24</v>
      </c>
      <c r="I975" s="3">
        <v>15534</v>
      </c>
      <c r="J975" t="b">
        <v>0</v>
      </c>
      <c r="K975" t="b">
        <v>1</v>
      </c>
      <c r="L975" t="b">
        <v>0</v>
      </c>
    </row>
    <row r="976" spans="1:12" x14ac:dyDescent="0.3">
      <c r="A976">
        <v>43</v>
      </c>
      <c r="B976" t="s">
        <v>25</v>
      </c>
      <c r="C976" s="1">
        <v>4</v>
      </c>
      <c r="D976" t="s">
        <v>19</v>
      </c>
      <c r="E976" t="s">
        <v>20</v>
      </c>
      <c r="F976" t="s">
        <v>22</v>
      </c>
      <c r="G976" t="s">
        <v>23</v>
      </c>
      <c r="H976" t="s">
        <v>21</v>
      </c>
      <c r="I976" s="3">
        <v>13306</v>
      </c>
      <c r="J976" t="b">
        <v>1</v>
      </c>
      <c r="K976" t="b">
        <v>0</v>
      </c>
      <c r="L976" t="b">
        <v>0</v>
      </c>
    </row>
    <row r="977" spans="1:12" x14ac:dyDescent="0.3">
      <c r="A977">
        <v>21</v>
      </c>
      <c r="B977" t="s">
        <v>12</v>
      </c>
      <c r="C977" s="1">
        <v>1</v>
      </c>
      <c r="D977" t="s">
        <v>13</v>
      </c>
      <c r="E977" t="s">
        <v>14</v>
      </c>
      <c r="F977" t="s">
        <v>22</v>
      </c>
      <c r="G977" t="s">
        <v>29</v>
      </c>
      <c r="H977" t="s">
        <v>24</v>
      </c>
      <c r="I977" s="3">
        <v>12902</v>
      </c>
      <c r="J977" t="b">
        <v>0</v>
      </c>
      <c r="K977" t="b">
        <v>1</v>
      </c>
      <c r="L977" t="b">
        <v>1</v>
      </c>
    </row>
    <row r="978" spans="1:12" x14ac:dyDescent="0.3">
      <c r="A978">
        <v>36</v>
      </c>
      <c r="B978" t="s">
        <v>18</v>
      </c>
      <c r="C978" s="1">
        <v>9</v>
      </c>
      <c r="D978" t="s">
        <v>13</v>
      </c>
      <c r="E978" t="s">
        <v>20</v>
      </c>
      <c r="F978" t="s">
        <v>15</v>
      </c>
      <c r="G978" t="s">
        <v>23</v>
      </c>
      <c r="H978" t="s">
        <v>21</v>
      </c>
      <c r="I978" s="3">
        <v>13718</v>
      </c>
      <c r="J978" t="b">
        <v>1</v>
      </c>
      <c r="K978" t="b">
        <v>1</v>
      </c>
      <c r="L978" t="b">
        <v>1</v>
      </c>
    </row>
    <row r="979" spans="1:12" x14ac:dyDescent="0.3">
      <c r="A979">
        <v>37</v>
      </c>
      <c r="B979" t="s">
        <v>12</v>
      </c>
      <c r="C979" s="1">
        <v>8</v>
      </c>
      <c r="D979" t="s">
        <v>19</v>
      </c>
      <c r="E979" t="s">
        <v>20</v>
      </c>
      <c r="F979" t="s">
        <v>15</v>
      </c>
      <c r="G979" t="s">
        <v>29</v>
      </c>
      <c r="H979" t="s">
        <v>17</v>
      </c>
      <c r="I979" s="3">
        <v>10021</v>
      </c>
      <c r="J979" t="b">
        <v>1</v>
      </c>
      <c r="K979" t="b">
        <v>0</v>
      </c>
      <c r="L979" t="b">
        <v>1</v>
      </c>
    </row>
    <row r="980" spans="1:12" x14ac:dyDescent="0.3">
      <c r="A980">
        <v>50</v>
      </c>
      <c r="B980" t="s">
        <v>25</v>
      </c>
      <c r="C980" s="1">
        <v>8</v>
      </c>
      <c r="D980" t="s">
        <v>28</v>
      </c>
      <c r="E980" t="s">
        <v>26</v>
      </c>
      <c r="F980" t="s">
        <v>22</v>
      </c>
      <c r="G980" t="s">
        <v>29</v>
      </c>
      <c r="H980" t="s">
        <v>24</v>
      </c>
      <c r="I980" s="3">
        <v>11500</v>
      </c>
      <c r="J980" t="b">
        <v>1</v>
      </c>
      <c r="K980" t="b">
        <v>0</v>
      </c>
      <c r="L980" t="b">
        <v>0</v>
      </c>
    </row>
    <row r="981" spans="1:12" x14ac:dyDescent="0.3">
      <c r="A981">
        <v>37</v>
      </c>
      <c r="B981" t="s">
        <v>18</v>
      </c>
      <c r="C981" s="1">
        <v>6</v>
      </c>
      <c r="D981" t="s">
        <v>19</v>
      </c>
      <c r="E981" t="s">
        <v>14</v>
      </c>
      <c r="F981" t="s">
        <v>22</v>
      </c>
      <c r="G981" t="s">
        <v>16</v>
      </c>
      <c r="H981" t="s">
        <v>24</v>
      </c>
      <c r="I981" s="3">
        <v>19034</v>
      </c>
      <c r="J981" t="b">
        <v>1</v>
      </c>
      <c r="K981" t="b">
        <v>0</v>
      </c>
      <c r="L981" t="b">
        <v>0</v>
      </c>
    </row>
    <row r="982" spans="1:12" x14ac:dyDescent="0.3">
      <c r="A982">
        <v>29</v>
      </c>
      <c r="B982" t="s">
        <v>12</v>
      </c>
      <c r="C982" s="1">
        <v>7</v>
      </c>
      <c r="D982" t="s">
        <v>28</v>
      </c>
      <c r="E982" t="s">
        <v>14</v>
      </c>
      <c r="F982" t="s">
        <v>15</v>
      </c>
      <c r="G982" t="s">
        <v>16</v>
      </c>
      <c r="H982" t="s">
        <v>21</v>
      </c>
      <c r="I982" s="3">
        <v>19952</v>
      </c>
      <c r="J982" t="b">
        <v>1</v>
      </c>
      <c r="K982" t="b">
        <v>1</v>
      </c>
      <c r="L982" t="b">
        <v>1</v>
      </c>
    </row>
    <row r="983" spans="1:12" x14ac:dyDescent="0.3">
      <c r="A983">
        <v>64</v>
      </c>
      <c r="B983" t="s">
        <v>12</v>
      </c>
      <c r="C983" s="1">
        <v>6</v>
      </c>
      <c r="D983" t="s">
        <v>19</v>
      </c>
      <c r="E983" t="s">
        <v>14</v>
      </c>
      <c r="F983" t="s">
        <v>15</v>
      </c>
      <c r="G983" t="s">
        <v>16</v>
      </c>
      <c r="H983" t="s">
        <v>24</v>
      </c>
      <c r="I983" s="3">
        <v>13641</v>
      </c>
      <c r="J983" t="b">
        <v>1</v>
      </c>
      <c r="K983" t="b">
        <v>0</v>
      </c>
      <c r="L983" t="b">
        <v>1</v>
      </c>
    </row>
    <row r="984" spans="1:12" x14ac:dyDescent="0.3">
      <c r="A984">
        <v>18</v>
      </c>
      <c r="B984" t="s">
        <v>18</v>
      </c>
      <c r="C984" s="1">
        <v>9</v>
      </c>
      <c r="D984" t="s">
        <v>13</v>
      </c>
      <c r="E984" t="s">
        <v>14</v>
      </c>
      <c r="F984" t="s">
        <v>15</v>
      </c>
      <c r="G984" t="s">
        <v>23</v>
      </c>
      <c r="H984" t="s">
        <v>24</v>
      </c>
      <c r="I984" s="3">
        <v>15212</v>
      </c>
      <c r="J984" t="b">
        <v>0</v>
      </c>
      <c r="K984" t="b">
        <v>1</v>
      </c>
      <c r="L984" t="b">
        <v>1</v>
      </c>
    </row>
    <row r="985" spans="1:12" x14ac:dyDescent="0.3">
      <c r="A985">
        <v>43</v>
      </c>
      <c r="B985" t="s">
        <v>18</v>
      </c>
      <c r="C985" s="1">
        <v>3</v>
      </c>
      <c r="D985" t="s">
        <v>13</v>
      </c>
      <c r="E985" t="s">
        <v>20</v>
      </c>
      <c r="F985" t="s">
        <v>27</v>
      </c>
      <c r="G985" t="s">
        <v>23</v>
      </c>
      <c r="H985" t="s">
        <v>24</v>
      </c>
      <c r="I985" s="3">
        <v>10191</v>
      </c>
      <c r="J985" t="b">
        <v>1</v>
      </c>
      <c r="K985" t="b">
        <v>0</v>
      </c>
      <c r="L985" t="b">
        <v>0</v>
      </c>
    </row>
    <row r="986" spans="1:12" x14ac:dyDescent="0.3">
      <c r="A986">
        <v>31</v>
      </c>
      <c r="B986" t="s">
        <v>12</v>
      </c>
      <c r="C986" s="1">
        <v>3</v>
      </c>
      <c r="D986" t="s">
        <v>13</v>
      </c>
      <c r="E986" t="s">
        <v>20</v>
      </c>
      <c r="F986" t="s">
        <v>15</v>
      </c>
      <c r="G986" t="s">
        <v>29</v>
      </c>
      <c r="H986" t="s">
        <v>17</v>
      </c>
      <c r="I986" s="3">
        <v>18587</v>
      </c>
      <c r="J986" t="b">
        <v>1</v>
      </c>
      <c r="K986" t="b">
        <v>1</v>
      </c>
      <c r="L986" t="b">
        <v>0</v>
      </c>
    </row>
    <row r="987" spans="1:12" x14ac:dyDescent="0.3">
      <c r="A987">
        <v>55</v>
      </c>
      <c r="B987" t="s">
        <v>25</v>
      </c>
      <c r="C987" s="1">
        <v>3</v>
      </c>
      <c r="D987" t="s">
        <v>28</v>
      </c>
      <c r="E987" t="s">
        <v>26</v>
      </c>
      <c r="F987" t="s">
        <v>27</v>
      </c>
      <c r="G987" t="s">
        <v>23</v>
      </c>
      <c r="H987" t="s">
        <v>17</v>
      </c>
      <c r="I987" s="3">
        <v>17174</v>
      </c>
      <c r="J987" t="b">
        <v>1</v>
      </c>
      <c r="K987" t="b">
        <v>0</v>
      </c>
      <c r="L987" t="b">
        <v>0</v>
      </c>
    </row>
    <row r="988" spans="1:12" x14ac:dyDescent="0.3">
      <c r="A988">
        <v>54</v>
      </c>
      <c r="B988" t="s">
        <v>12</v>
      </c>
      <c r="C988" s="1">
        <v>3</v>
      </c>
      <c r="D988" t="s">
        <v>28</v>
      </c>
      <c r="E988" t="s">
        <v>20</v>
      </c>
      <c r="F988" t="s">
        <v>22</v>
      </c>
      <c r="G988" t="s">
        <v>29</v>
      </c>
      <c r="H988" t="s">
        <v>21</v>
      </c>
      <c r="I988" s="3">
        <v>15114</v>
      </c>
      <c r="J988" t="b">
        <v>0</v>
      </c>
      <c r="K988" t="b">
        <v>1</v>
      </c>
      <c r="L988" t="b">
        <v>1</v>
      </c>
    </row>
    <row r="989" spans="1:12" x14ac:dyDescent="0.3">
      <c r="A989">
        <v>28</v>
      </c>
      <c r="B989" t="s">
        <v>18</v>
      </c>
      <c r="C989" s="1">
        <v>9</v>
      </c>
      <c r="D989" t="s">
        <v>19</v>
      </c>
      <c r="E989" t="s">
        <v>20</v>
      </c>
      <c r="F989" t="s">
        <v>22</v>
      </c>
      <c r="G989" t="s">
        <v>23</v>
      </c>
      <c r="H989" t="s">
        <v>17</v>
      </c>
      <c r="I989" s="3">
        <v>14662</v>
      </c>
      <c r="J989" t="b">
        <v>0</v>
      </c>
      <c r="K989" t="b">
        <v>1</v>
      </c>
      <c r="L989" t="b">
        <v>1</v>
      </c>
    </row>
    <row r="990" spans="1:12" x14ac:dyDescent="0.3">
      <c r="A990">
        <v>53</v>
      </c>
      <c r="B990" t="s">
        <v>12</v>
      </c>
      <c r="C990" s="1">
        <v>4</v>
      </c>
      <c r="D990" t="s">
        <v>19</v>
      </c>
      <c r="E990" t="s">
        <v>26</v>
      </c>
      <c r="F990" t="s">
        <v>15</v>
      </c>
      <c r="G990" t="s">
        <v>23</v>
      </c>
      <c r="H990" t="s">
        <v>21</v>
      </c>
      <c r="I990" s="3">
        <v>14326</v>
      </c>
      <c r="J990" t="b">
        <v>1</v>
      </c>
      <c r="K990" t="b">
        <v>0</v>
      </c>
      <c r="L990" t="b">
        <v>0</v>
      </c>
    </row>
    <row r="991" spans="1:12" x14ac:dyDescent="0.3">
      <c r="A991">
        <v>30</v>
      </c>
      <c r="B991" t="s">
        <v>18</v>
      </c>
      <c r="C991" s="1">
        <v>7</v>
      </c>
      <c r="D991" t="s">
        <v>13</v>
      </c>
      <c r="E991" t="s">
        <v>26</v>
      </c>
      <c r="F991" t="s">
        <v>22</v>
      </c>
      <c r="G991" t="s">
        <v>23</v>
      </c>
      <c r="H991" t="s">
        <v>17</v>
      </c>
      <c r="I991" s="3">
        <v>19065</v>
      </c>
      <c r="J991" t="b">
        <v>0</v>
      </c>
      <c r="K991" t="b">
        <v>0</v>
      </c>
      <c r="L991" t="b">
        <v>1</v>
      </c>
    </row>
    <row r="992" spans="1:12" x14ac:dyDescent="0.3">
      <c r="A992">
        <v>60</v>
      </c>
      <c r="B992" t="s">
        <v>18</v>
      </c>
      <c r="C992" s="1">
        <v>9</v>
      </c>
      <c r="D992" t="s">
        <v>28</v>
      </c>
      <c r="E992" t="s">
        <v>26</v>
      </c>
      <c r="F992" t="s">
        <v>22</v>
      </c>
      <c r="G992" t="s">
        <v>16</v>
      </c>
      <c r="H992" t="s">
        <v>21</v>
      </c>
      <c r="I992" s="3">
        <v>14335</v>
      </c>
      <c r="J992" t="b">
        <v>1</v>
      </c>
      <c r="K992" t="b">
        <v>1</v>
      </c>
      <c r="L992" t="b">
        <v>1</v>
      </c>
    </row>
    <row r="993" spans="1:12" x14ac:dyDescent="0.3">
      <c r="A993">
        <v>20</v>
      </c>
      <c r="B993" t="s">
        <v>25</v>
      </c>
      <c r="C993" s="1">
        <v>7</v>
      </c>
      <c r="D993" t="s">
        <v>19</v>
      </c>
      <c r="E993" t="s">
        <v>20</v>
      </c>
      <c r="F993" t="s">
        <v>22</v>
      </c>
      <c r="G993" t="s">
        <v>23</v>
      </c>
      <c r="H993" t="s">
        <v>17</v>
      </c>
      <c r="I993" s="3">
        <v>18281</v>
      </c>
      <c r="J993" t="b">
        <v>0</v>
      </c>
      <c r="K993" t="b">
        <v>0</v>
      </c>
      <c r="L993" t="b">
        <v>1</v>
      </c>
    </row>
    <row r="994" spans="1:12" x14ac:dyDescent="0.3">
      <c r="A994">
        <v>50</v>
      </c>
      <c r="B994" t="s">
        <v>18</v>
      </c>
      <c r="C994" s="1">
        <v>9</v>
      </c>
      <c r="D994" t="s">
        <v>28</v>
      </c>
      <c r="E994" t="s">
        <v>20</v>
      </c>
      <c r="F994" t="s">
        <v>22</v>
      </c>
      <c r="G994" t="s">
        <v>16</v>
      </c>
      <c r="H994" t="s">
        <v>17</v>
      </c>
      <c r="I994" s="3">
        <v>18648</v>
      </c>
      <c r="J994" t="b">
        <v>1</v>
      </c>
      <c r="K994" t="b">
        <v>1</v>
      </c>
      <c r="L994" t="b">
        <v>1</v>
      </c>
    </row>
    <row r="995" spans="1:12" x14ac:dyDescent="0.3">
      <c r="A995">
        <v>23</v>
      </c>
      <c r="B995" t="s">
        <v>18</v>
      </c>
      <c r="C995" s="1">
        <v>3</v>
      </c>
      <c r="D995" t="s">
        <v>28</v>
      </c>
      <c r="E995" t="s">
        <v>26</v>
      </c>
      <c r="F995" t="s">
        <v>27</v>
      </c>
      <c r="G995" t="s">
        <v>16</v>
      </c>
      <c r="H995" t="s">
        <v>21</v>
      </c>
      <c r="I995" s="3">
        <v>19196</v>
      </c>
      <c r="J995" t="b">
        <v>0</v>
      </c>
      <c r="K995" t="b">
        <v>0</v>
      </c>
      <c r="L995" t="b">
        <v>0</v>
      </c>
    </row>
    <row r="996" spans="1:12" x14ac:dyDescent="0.3">
      <c r="A996">
        <v>27</v>
      </c>
      <c r="B996" t="s">
        <v>25</v>
      </c>
      <c r="C996" s="1">
        <v>4</v>
      </c>
      <c r="D996" t="s">
        <v>13</v>
      </c>
      <c r="E996" t="s">
        <v>26</v>
      </c>
      <c r="F996" t="s">
        <v>27</v>
      </c>
      <c r="G996" t="s">
        <v>23</v>
      </c>
      <c r="H996" t="s">
        <v>24</v>
      </c>
      <c r="I996" s="3">
        <v>15494</v>
      </c>
      <c r="J996" t="b">
        <v>0</v>
      </c>
      <c r="K996" t="b">
        <v>0</v>
      </c>
      <c r="L996" t="b">
        <v>1</v>
      </c>
    </row>
    <row r="997" spans="1:12" x14ac:dyDescent="0.3">
      <c r="A997">
        <v>22</v>
      </c>
      <c r="B997" t="s">
        <v>18</v>
      </c>
      <c r="C997" s="1">
        <v>8</v>
      </c>
      <c r="D997" t="s">
        <v>13</v>
      </c>
      <c r="E997" t="s">
        <v>26</v>
      </c>
      <c r="F997" t="s">
        <v>15</v>
      </c>
      <c r="G997" t="s">
        <v>29</v>
      </c>
      <c r="H997" t="s">
        <v>24</v>
      </c>
      <c r="I997" s="3">
        <v>18536</v>
      </c>
      <c r="J997" t="b">
        <v>0</v>
      </c>
      <c r="K997" t="b">
        <v>1</v>
      </c>
      <c r="L997" t="b">
        <v>0</v>
      </c>
    </row>
    <row r="998" spans="1:12" x14ac:dyDescent="0.3">
      <c r="A998">
        <v>40</v>
      </c>
      <c r="B998" t="s">
        <v>25</v>
      </c>
      <c r="C998" s="1">
        <v>6</v>
      </c>
      <c r="D998" t="s">
        <v>28</v>
      </c>
      <c r="E998" t="s">
        <v>20</v>
      </c>
      <c r="F998" t="s">
        <v>15</v>
      </c>
      <c r="G998" t="s">
        <v>29</v>
      </c>
      <c r="H998" t="s">
        <v>17</v>
      </c>
      <c r="I998" s="3">
        <v>12711</v>
      </c>
      <c r="J998" t="b">
        <v>1</v>
      </c>
      <c r="K998" t="b">
        <v>0</v>
      </c>
      <c r="L998" t="b">
        <v>0</v>
      </c>
    </row>
    <row r="999" spans="1:12" x14ac:dyDescent="0.3">
      <c r="A999">
        <v>27</v>
      </c>
      <c r="B999" t="s">
        <v>25</v>
      </c>
      <c r="C999" s="1">
        <v>5</v>
      </c>
      <c r="D999" t="s">
        <v>28</v>
      </c>
      <c r="E999" t="s">
        <v>20</v>
      </c>
      <c r="F999" t="s">
        <v>15</v>
      </c>
      <c r="G999" t="s">
        <v>29</v>
      </c>
      <c r="H999" t="s">
        <v>21</v>
      </c>
      <c r="I999" s="3">
        <v>17595</v>
      </c>
      <c r="J999" t="b">
        <v>1</v>
      </c>
      <c r="K999" t="b">
        <v>0</v>
      </c>
      <c r="L999" t="b">
        <v>1</v>
      </c>
    </row>
    <row r="1000" spans="1:12" x14ac:dyDescent="0.3">
      <c r="A1000">
        <v>61</v>
      </c>
      <c r="B1000" t="s">
        <v>18</v>
      </c>
      <c r="C1000" s="1">
        <v>4</v>
      </c>
      <c r="D1000" t="s">
        <v>28</v>
      </c>
      <c r="E1000" t="s">
        <v>14</v>
      </c>
      <c r="F1000" t="s">
        <v>22</v>
      </c>
      <c r="G1000" t="s">
        <v>23</v>
      </c>
      <c r="H1000" t="s">
        <v>24</v>
      </c>
      <c r="I1000" s="3">
        <v>16273</v>
      </c>
      <c r="J1000" t="b">
        <v>1</v>
      </c>
      <c r="K1000" t="b">
        <v>1</v>
      </c>
      <c r="L1000" t="b">
        <v>0</v>
      </c>
    </row>
    <row r="1001" spans="1:12" x14ac:dyDescent="0.3">
      <c r="A1001">
        <v>19</v>
      </c>
      <c r="B1001" t="s">
        <v>18</v>
      </c>
      <c r="C1001" s="1">
        <v>8</v>
      </c>
      <c r="D1001" t="s">
        <v>28</v>
      </c>
      <c r="E1001" t="s">
        <v>20</v>
      </c>
      <c r="F1001" t="s">
        <v>22</v>
      </c>
      <c r="G1001" t="s">
        <v>29</v>
      </c>
      <c r="H1001" t="s">
        <v>21</v>
      </c>
      <c r="I1001" s="3">
        <v>16284</v>
      </c>
      <c r="J1001" t="b">
        <v>0</v>
      </c>
      <c r="K1001" t="b">
        <v>1</v>
      </c>
      <c r="L1001"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Formatting</vt:lpstr>
      <vt:lpstr>Tables and formulas</vt:lpstr>
      <vt:lpstr>Tables and formulas_2</vt:lpstr>
      <vt:lpstr>Pivot_table</vt:lpstr>
      <vt:lpstr>Analysis and playing</vt:lpstr>
      <vt:lpstr>Display and visualize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Sivakkumaran P</dc:creator>
  <cp:lastModifiedBy>Sivakkumaran P</cp:lastModifiedBy>
  <dcterms:created xsi:type="dcterms:W3CDTF">2024-09-03T17:13:19Z</dcterms:created>
  <dcterms:modified xsi:type="dcterms:W3CDTF">2024-09-03T18:25:10Z</dcterms:modified>
</cp:coreProperties>
</file>